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6"/>
  <workbookPr filterPrivacy="1" defaultThemeVersion="124226"/>
  <xr:revisionPtr revIDLastSave="0" documentId="8_{E3969B85-3C9D-4281-B0E7-5E564BA614DA}" xr6:coauthVersionLast="47" xr6:coauthVersionMax="47" xr10:uidLastSave="{00000000-0000-0000-0000-000000000000}"/>
  <bookViews>
    <workbookView xWindow="-108" yWindow="-108" windowWidth="23256" windowHeight="13896" tabRatio="595" xr2:uid="{00000000-000D-0000-FFFF-FFFF00000000}"/>
  </bookViews>
  <sheets>
    <sheet name="List-6" sheetId="137" r:id="rId1"/>
    <sheet name="Sheet1" sheetId="139" r:id="rId2"/>
    <sheet name="Nov-Dec Combined Schedule" sheetId="140" r:id="rId3"/>
    <sheet name="Sheet3" sheetId="141" r:id="rId4"/>
    <sheet name="Check" sheetId="142" r:id="rId5"/>
  </sheets>
  <definedNames>
    <definedName name="_xlnm.Print_Titles" localSheetId="0">'List-6'!$3:$3</definedName>
    <definedName name="_xlnm.Print_Titles" localSheetId="2">'Nov-Dec Combined Schedule'!$3:$3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35" i="137" l="1"/>
  <c r="N6" i="139"/>
  <c r="T6" i="139"/>
  <c r="B1021" i="137"/>
  <c r="B1010" i="137"/>
  <c r="B1022" i="137"/>
  <c r="B1011" i="137"/>
  <c r="B1009" i="137"/>
  <c r="B1020" i="137"/>
  <c r="B1023" i="137"/>
  <c r="B974" i="137" l="1"/>
  <c r="B968" i="137"/>
  <c r="B1071" i="137"/>
  <c r="B1072" i="137"/>
  <c r="B957" i="137"/>
  <c r="B953" i="137"/>
  <c r="B954" i="137"/>
  <c r="B997" i="137"/>
  <c r="B998" i="137"/>
  <c r="B996" i="137"/>
  <c r="B999" i="137"/>
  <c r="B946" i="137"/>
  <c r="B947" i="137"/>
  <c r="B948" i="137"/>
  <c r="B949" i="137"/>
  <c r="B1001" i="137"/>
  <c r="B1002" i="137"/>
  <c r="B1003" i="137"/>
  <c r="B894" i="137"/>
  <c r="B895" i="137"/>
  <c r="B896" i="137"/>
  <c r="B897" i="137"/>
  <c r="B886" i="137"/>
  <c r="B887" i="137"/>
  <c r="B888" i="137"/>
  <c r="B889" i="137"/>
  <c r="B890" i="137"/>
  <c r="B891" i="137"/>
  <c r="B834" i="137"/>
  <c r="B864" i="137"/>
  <c r="B876" i="137"/>
  <c r="B808" i="137"/>
  <c r="B1694" i="137"/>
  <c r="B1695" i="137"/>
  <c r="B1696" i="137"/>
  <c r="B1697" i="137"/>
  <c r="B1698" i="137"/>
  <c r="B1699" i="137"/>
  <c r="B1700" i="137"/>
  <c r="B1701" i="137"/>
  <c r="B1702" i="137"/>
  <c r="B1703" i="137"/>
  <c r="B746" i="137"/>
  <c r="B1154" i="137"/>
  <c r="B1430" i="137"/>
  <c r="B1570" i="137"/>
  <c r="B1637" i="137"/>
  <c r="B1666" i="137"/>
  <c r="B1664" i="137"/>
  <c r="B917" i="137"/>
  <c r="B1108" i="137"/>
  <c r="B1267" i="137"/>
  <c r="B1415" i="137"/>
  <c r="B1510" i="137"/>
  <c r="B1559" i="137"/>
  <c r="B743" i="137"/>
  <c r="B1596" i="137"/>
  <c r="B1627" i="137"/>
  <c r="B1652" i="137"/>
  <c r="B745" i="137"/>
  <c r="B918" i="137"/>
  <c r="B1110" i="137"/>
  <c r="B1269" i="137"/>
  <c r="B1417" i="137"/>
  <c r="B1512" i="137"/>
  <c r="B1560" i="137"/>
  <c r="B1597" i="137"/>
  <c r="B1628" i="137"/>
  <c r="B1653" i="137"/>
  <c r="B1665" i="137"/>
  <c r="B804" i="137"/>
  <c r="B1331" i="137"/>
  <c r="B1571" i="137"/>
  <c r="B1638" i="137"/>
  <c r="B805" i="137"/>
  <c r="B1166" i="137"/>
  <c r="B1437" i="137"/>
  <c r="B1572" i="137"/>
  <c r="B762" i="137"/>
  <c r="B763" i="137"/>
  <c r="B764" i="137"/>
  <c r="B752" i="137"/>
  <c r="B753" i="137"/>
  <c r="B754" i="137"/>
  <c r="B731" i="137"/>
  <c r="B1655" i="137"/>
  <c r="B1139" i="137"/>
  <c r="B1300" i="137"/>
  <c r="B1436" i="137"/>
  <c r="B1520" i="137"/>
  <c r="B1567" i="137"/>
  <c r="B1604" i="137"/>
  <c r="B1634" i="137"/>
  <c r="B1425" i="137"/>
  <c r="B1603" i="137"/>
  <c r="B1622" i="137"/>
  <c r="B1566" i="137"/>
  <c r="B1654" i="137"/>
  <c r="B1663" i="137"/>
  <c r="B463" i="137"/>
  <c r="B717" i="137"/>
  <c r="B885" i="137"/>
  <c r="B1136" i="137"/>
  <c r="B1297" i="137"/>
  <c r="B1502" i="137"/>
  <c r="B1684" i="137"/>
  <c r="B1685" i="137"/>
  <c r="B1686" i="137"/>
  <c r="B1687" i="137"/>
  <c r="B1688" i="137"/>
  <c r="B1689" i="137"/>
  <c r="B1690" i="137"/>
  <c r="B1691" i="137"/>
  <c r="B1692" i="137"/>
  <c r="B1693" i="137"/>
  <c r="B1679" i="137"/>
  <c r="B1672" i="137"/>
  <c r="B1671" i="137"/>
  <c r="B1660" i="137"/>
  <c r="B1669" i="137"/>
  <c r="B1583" i="137"/>
  <c r="B1620" i="137"/>
  <c r="B1648" i="137"/>
  <c r="B835" i="137"/>
  <c r="B1063" i="137"/>
  <c r="B1225" i="137"/>
  <c r="B1378" i="137"/>
  <c r="B1496" i="137"/>
  <c r="B1543" i="137"/>
  <c r="B1676" i="137"/>
  <c r="B1680" i="137"/>
  <c r="B1681" i="137"/>
  <c r="B1682" i="137"/>
  <c r="B1651" i="137"/>
  <c r="B1662" i="137"/>
  <c r="B1670" i="137"/>
  <c r="B1586" i="137"/>
  <c r="B1621" i="137"/>
  <c r="B666" i="137"/>
  <c r="B880" i="137"/>
  <c r="B1074" i="137"/>
  <c r="B1249" i="137"/>
  <c r="B1400" i="137"/>
  <c r="B1501" i="137"/>
  <c r="B1551" i="137"/>
  <c r="B1683" i="137"/>
  <c r="B414" i="137"/>
  <c r="X6" i="139"/>
  <c r="B1556" i="140"/>
  <c r="B551" i="140"/>
  <c r="B547" i="140"/>
  <c r="B1444" i="140"/>
  <c r="B1441" i="140"/>
  <c r="B1440" i="140"/>
  <c r="B1439" i="140"/>
  <c r="B1438" i="140"/>
  <c r="B1367" i="140"/>
  <c r="B1366" i="140"/>
  <c r="B1365" i="140"/>
  <c r="B1364" i="140"/>
  <c r="B1363" i="140"/>
  <c r="B1246" i="140"/>
  <c r="B1236" i="140"/>
  <c r="B1235" i="140"/>
  <c r="B1234" i="140"/>
  <c r="B1233" i="140"/>
  <c r="B1094" i="140"/>
  <c r="B1084" i="140"/>
  <c r="B1083" i="140"/>
  <c r="B1082" i="140"/>
  <c r="B1081" i="140"/>
  <c r="B936" i="140"/>
  <c r="B924" i="140"/>
  <c r="B923" i="140"/>
  <c r="B922" i="140"/>
  <c r="B921" i="140"/>
  <c r="B746" i="140"/>
  <c r="B734" i="140"/>
  <c r="B733" i="140"/>
  <c r="B732" i="140"/>
  <c r="B731" i="140"/>
  <c r="B667" i="140"/>
  <c r="B666" i="140"/>
  <c r="B665" i="140"/>
  <c r="B664" i="140"/>
  <c r="B663" i="140"/>
  <c r="B459" i="140"/>
  <c r="B458" i="140"/>
  <c r="B457" i="140"/>
  <c r="B456" i="140"/>
  <c r="B455" i="140"/>
  <c r="B82" i="140"/>
  <c r="B77" i="140"/>
  <c r="B76" i="140"/>
  <c r="B75" i="140"/>
  <c r="B74" i="140"/>
  <c r="B1333" i="140"/>
  <c r="B1332" i="140"/>
  <c r="B1187" i="140"/>
  <c r="B1186" i="140"/>
  <c r="B1003" i="140"/>
  <c r="B1002" i="140"/>
  <c r="B857" i="140"/>
  <c r="B856" i="140"/>
  <c r="B662" i="140"/>
  <c r="B661" i="140"/>
  <c r="B454" i="140"/>
  <c r="B453" i="140"/>
  <c r="B225" i="140"/>
  <c r="B224" i="140"/>
  <c r="B1270" i="140"/>
  <c r="B1269" i="140"/>
  <c r="B1120" i="140"/>
  <c r="B1119" i="140"/>
  <c r="B956" i="140"/>
  <c r="B955" i="140"/>
  <c r="B763" i="140"/>
  <c r="B762" i="140"/>
  <c r="B660" i="140"/>
  <c r="B659" i="140"/>
  <c r="B452" i="140"/>
  <c r="B451" i="140"/>
  <c r="B119" i="140"/>
  <c r="B118" i="140"/>
  <c r="B1530" i="140"/>
  <c r="B1529" i="140"/>
  <c r="B1528" i="140"/>
  <c r="B1527" i="140"/>
  <c r="B1526" i="140"/>
  <c r="B1525" i="140"/>
  <c r="B1524" i="140"/>
  <c r="B1523" i="140"/>
  <c r="B1522" i="140"/>
  <c r="B1506" i="140"/>
  <c r="B1505" i="140"/>
  <c r="B1504" i="140"/>
  <c r="B1503" i="140"/>
  <c r="B1502" i="140"/>
  <c r="B1501" i="140"/>
  <c r="B1500" i="140"/>
  <c r="B1499" i="140"/>
  <c r="B1498" i="140"/>
  <c r="B1478" i="140"/>
  <c r="B1477" i="140"/>
  <c r="B1476" i="140"/>
  <c r="B1475" i="140"/>
  <c r="B1474" i="140"/>
  <c r="B1473" i="140"/>
  <c r="B1472" i="140"/>
  <c r="B1471" i="140"/>
  <c r="B1470" i="140"/>
  <c r="B1435" i="140"/>
  <c r="B1434" i="140"/>
  <c r="B1433" i="140"/>
  <c r="B1432" i="140"/>
  <c r="B1431" i="140"/>
  <c r="B1429" i="140"/>
  <c r="B1428" i="140"/>
  <c r="B1427" i="140"/>
  <c r="B1426" i="140"/>
  <c r="B1349" i="140"/>
  <c r="B1348" i="140"/>
  <c r="B1347" i="140"/>
  <c r="B1346" i="140"/>
  <c r="B1345" i="140"/>
  <c r="B1343" i="140"/>
  <c r="B1342" i="140"/>
  <c r="B1341" i="140"/>
  <c r="B1340" i="140"/>
  <c r="B1212" i="140"/>
  <c r="B1211" i="140"/>
  <c r="B1210" i="140"/>
  <c r="B1209" i="140"/>
  <c r="B1208" i="140"/>
  <c r="B1202" i="140"/>
  <c r="B1201" i="140"/>
  <c r="B1200" i="140"/>
  <c r="B1199" i="140"/>
  <c r="B1061" i="140"/>
  <c r="B1060" i="140"/>
  <c r="B1059" i="140"/>
  <c r="B1058" i="140"/>
  <c r="B1057" i="140"/>
  <c r="B1051" i="140"/>
  <c r="B1050" i="140"/>
  <c r="B1049" i="140"/>
  <c r="B1048" i="140"/>
  <c r="B899" i="140"/>
  <c r="B898" i="140"/>
  <c r="B897" i="140"/>
  <c r="B896" i="140"/>
  <c r="B895" i="140"/>
  <c r="B890" i="140"/>
  <c r="B889" i="140"/>
  <c r="B888" i="140"/>
  <c r="B887" i="140"/>
  <c r="B695" i="140"/>
  <c r="B694" i="140"/>
  <c r="B693" i="140"/>
  <c r="B692" i="140"/>
  <c r="B691" i="140"/>
  <c r="B685" i="140"/>
  <c r="B684" i="140"/>
  <c r="B683" i="140"/>
  <c r="B682" i="140"/>
  <c r="B658" i="140"/>
  <c r="B657" i="140"/>
  <c r="B656" i="140"/>
  <c r="B655" i="140"/>
  <c r="B654" i="140"/>
  <c r="B653" i="140"/>
  <c r="B652" i="140"/>
  <c r="B651" i="140"/>
  <c r="B650" i="140"/>
  <c r="B450" i="140"/>
  <c r="B449" i="140"/>
  <c r="B447" i="140"/>
  <c r="B446" i="140"/>
  <c r="B448" i="140"/>
  <c r="B443" i="140"/>
  <c r="B442" i="140"/>
  <c r="B441" i="140"/>
  <c r="B36" i="140"/>
  <c r="B35" i="140"/>
  <c r="B34" i="140"/>
  <c r="B33" i="140"/>
  <c r="B32" i="140"/>
  <c r="B23" i="140"/>
  <c r="B22" i="140"/>
  <c r="B21" i="140"/>
  <c r="B20" i="140"/>
  <c r="B1413" i="140"/>
  <c r="B1301" i="140"/>
  <c r="B1154" i="140"/>
  <c r="B1006" i="140"/>
  <c r="B830" i="140"/>
  <c r="B649" i="140"/>
  <c r="B440" i="140"/>
  <c r="B190" i="140"/>
  <c r="B1331" i="140"/>
  <c r="B1330" i="140"/>
  <c r="B1189" i="140"/>
  <c r="B1188" i="140"/>
  <c r="B1001" i="140"/>
  <c r="B1000" i="140"/>
  <c r="B855" i="140"/>
  <c r="B854" i="140"/>
  <c r="B648" i="140"/>
  <c r="B647" i="140"/>
  <c r="B437" i="140"/>
  <c r="B436" i="140"/>
  <c r="B223" i="140"/>
  <c r="B222" i="140"/>
  <c r="B1262" i="140"/>
  <c r="B1261" i="140"/>
  <c r="B1260" i="140"/>
  <c r="B1104" i="140"/>
  <c r="B1103" i="140"/>
  <c r="B1102" i="140"/>
  <c r="B919" i="140"/>
  <c r="B918" i="140"/>
  <c r="B917" i="140"/>
  <c r="B768" i="140"/>
  <c r="B767" i="140"/>
  <c r="B766" i="140"/>
  <c r="B646" i="140"/>
  <c r="B645" i="140"/>
  <c r="B644" i="140"/>
  <c r="B439" i="140"/>
  <c r="B438" i="140"/>
  <c r="B445" i="140"/>
  <c r="B122" i="140"/>
  <c r="B121" i="140"/>
  <c r="B120" i="140"/>
  <c r="B643" i="140"/>
  <c r="B444" i="140"/>
  <c r="B57" i="140"/>
  <c r="B642" i="140"/>
  <c r="B435" i="140"/>
  <c r="B169" i="140"/>
  <c r="B1312" i="140"/>
  <c r="B1016" i="140"/>
  <c r="B641" i="140"/>
  <c r="B201" i="140"/>
  <c r="B640" i="140"/>
  <c r="B434" i="140"/>
  <c r="B7" i="140"/>
  <c r="B1298" i="140"/>
  <c r="B960" i="140"/>
  <c r="B639" i="140"/>
  <c r="B181" i="140"/>
  <c r="B1283" i="140"/>
  <c r="B970" i="140"/>
  <c r="B638" i="140"/>
  <c r="B117" i="140"/>
  <c r="B637" i="140"/>
  <c r="B433" i="140"/>
  <c r="B27" i="140"/>
  <c r="B951" i="140"/>
  <c r="B636" i="140"/>
  <c r="B168" i="140"/>
  <c r="B1437" i="140"/>
  <c r="B1436" i="140"/>
  <c r="B1351" i="140"/>
  <c r="B1350" i="140"/>
  <c r="B1226" i="140"/>
  <c r="B1225" i="140"/>
  <c r="B1075" i="140"/>
  <c r="B1074" i="140"/>
  <c r="B914" i="140"/>
  <c r="B913" i="140"/>
  <c r="B710" i="140"/>
  <c r="B709" i="140"/>
  <c r="B635" i="140"/>
  <c r="B634" i="140"/>
  <c r="B432" i="140"/>
  <c r="B431" i="140"/>
  <c r="B53" i="140"/>
  <c r="B52" i="140"/>
  <c r="B1282" i="140"/>
  <c r="B1281" i="140"/>
  <c r="B1132" i="140"/>
  <c r="B1131" i="140"/>
  <c r="B969" i="140"/>
  <c r="B968" i="140"/>
  <c r="B791" i="140"/>
  <c r="B790" i="140"/>
  <c r="B633" i="140"/>
  <c r="B632" i="140"/>
  <c r="B430" i="140"/>
  <c r="B429" i="140"/>
  <c r="B140" i="140"/>
  <c r="B139" i="140"/>
  <c r="B825" i="140"/>
  <c r="B824" i="140"/>
  <c r="B823" i="140"/>
  <c r="B822" i="140"/>
  <c r="B772" i="140"/>
  <c r="B771" i="140"/>
  <c r="B770" i="140"/>
  <c r="B769" i="140"/>
  <c r="B631" i="140"/>
  <c r="B630" i="140"/>
  <c r="B629" i="140"/>
  <c r="B628" i="140"/>
  <c r="B627" i="140"/>
  <c r="B626" i="140"/>
  <c r="B625" i="140"/>
  <c r="B624" i="140"/>
  <c r="B428" i="140"/>
  <c r="B427" i="140"/>
  <c r="B423" i="140"/>
  <c r="B426" i="140"/>
  <c r="B422" i="140"/>
  <c r="B425" i="140"/>
  <c r="B421" i="140"/>
  <c r="B424" i="140"/>
  <c r="B180" i="140"/>
  <c r="B179" i="140"/>
  <c r="B178" i="140"/>
  <c r="B177" i="140"/>
  <c r="B126" i="140"/>
  <c r="B125" i="140"/>
  <c r="B124" i="140"/>
  <c r="B123" i="140"/>
  <c r="B727" i="140"/>
  <c r="B726" i="140"/>
  <c r="B725" i="140"/>
  <c r="B724" i="140"/>
  <c r="B721" i="140"/>
  <c r="B720" i="140"/>
  <c r="B719" i="140"/>
  <c r="B718" i="140"/>
  <c r="B717" i="140"/>
  <c r="B716" i="140"/>
  <c r="B623" i="140"/>
  <c r="B622" i="140"/>
  <c r="B621" i="140"/>
  <c r="B620" i="140"/>
  <c r="B619" i="140"/>
  <c r="B618" i="140"/>
  <c r="B617" i="140"/>
  <c r="B616" i="140"/>
  <c r="B615" i="140"/>
  <c r="B614" i="140"/>
  <c r="B414" i="140"/>
  <c r="B418" i="140"/>
  <c r="B417" i="140"/>
  <c r="B420" i="140"/>
  <c r="B419" i="140"/>
  <c r="B416" i="140"/>
  <c r="B415" i="140"/>
  <c r="B408" i="140"/>
  <c r="B409" i="140"/>
  <c r="B413" i="140"/>
  <c r="B69" i="140"/>
  <c r="B68" i="140"/>
  <c r="B67" i="140"/>
  <c r="B66" i="140"/>
  <c r="B63" i="140"/>
  <c r="B62" i="140"/>
  <c r="B61" i="140"/>
  <c r="B60" i="140"/>
  <c r="B59" i="140"/>
  <c r="B58" i="140"/>
  <c r="B1207" i="140"/>
  <c r="B1206" i="140"/>
  <c r="B885" i="140"/>
  <c r="B884" i="140"/>
  <c r="B613" i="140"/>
  <c r="B612" i="140"/>
  <c r="B18" i="140"/>
  <c r="B17" i="140"/>
  <c r="B1205" i="140"/>
  <c r="B1204" i="140"/>
  <c r="B883" i="140"/>
  <c r="B882" i="140"/>
  <c r="B611" i="140"/>
  <c r="B610" i="140"/>
  <c r="B16" i="140"/>
  <c r="B15" i="140"/>
  <c r="B1197" i="140"/>
  <c r="B1196" i="140"/>
  <c r="B881" i="140"/>
  <c r="B880" i="140"/>
  <c r="B609" i="140"/>
  <c r="B608" i="140"/>
  <c r="B14" i="140"/>
  <c r="B13" i="140"/>
  <c r="B1195" i="140"/>
  <c r="B1194" i="140"/>
  <c r="B879" i="140"/>
  <c r="B878" i="140"/>
  <c r="B607" i="140"/>
  <c r="B606" i="140"/>
  <c r="B12" i="140"/>
  <c r="B11" i="140"/>
  <c r="B1056" i="140"/>
  <c r="B1055" i="140"/>
  <c r="B690" i="140"/>
  <c r="B689" i="140"/>
  <c r="B412" i="140"/>
  <c r="B411" i="140"/>
  <c r="B1046" i="140"/>
  <c r="B1045" i="140"/>
  <c r="B680" i="140"/>
  <c r="B679" i="140"/>
  <c r="B410" i="140"/>
  <c r="B407" i="140"/>
  <c r="B1044" i="140"/>
  <c r="B1043" i="140"/>
  <c r="B678" i="140"/>
  <c r="B677" i="140"/>
  <c r="B406" i="140"/>
  <c r="B405" i="140"/>
  <c r="B1042" i="140"/>
  <c r="B1041" i="140"/>
  <c r="B676" i="140"/>
  <c r="B675" i="140"/>
  <c r="B403" i="140"/>
  <c r="B402" i="140"/>
  <c r="B1219" i="140"/>
  <c r="B1218" i="140"/>
  <c r="B1054" i="140"/>
  <c r="B1053" i="140"/>
  <c r="B894" i="140"/>
  <c r="B893" i="140"/>
  <c r="B702" i="140"/>
  <c r="B701" i="140"/>
  <c r="B605" i="140"/>
  <c r="B604" i="140"/>
  <c r="B401" i="140"/>
  <c r="B400" i="140"/>
  <c r="B31" i="140"/>
  <c r="B30" i="140"/>
  <c r="B1217" i="140"/>
  <c r="B1216" i="140"/>
  <c r="B892" i="140"/>
  <c r="B891" i="140"/>
  <c r="B688" i="140"/>
  <c r="B687" i="140"/>
  <c r="B603" i="140"/>
  <c r="B602" i="140"/>
  <c r="B399" i="140"/>
  <c r="B404" i="140"/>
  <c r="B29" i="140"/>
  <c r="B28" i="140"/>
  <c r="B1040" i="140"/>
  <c r="B1039" i="140"/>
  <c r="B674" i="140"/>
  <c r="B673" i="140"/>
  <c r="B398" i="140"/>
  <c r="B397" i="140"/>
  <c r="B1259" i="140"/>
  <c r="B1258" i="140"/>
  <c r="B1257" i="140"/>
  <c r="B1115" i="140"/>
  <c r="B1114" i="140"/>
  <c r="B1113" i="140"/>
  <c r="B946" i="140"/>
  <c r="B945" i="140"/>
  <c r="B944" i="140"/>
  <c r="B756" i="140"/>
  <c r="B755" i="140"/>
  <c r="B754" i="140"/>
  <c r="B601" i="140"/>
  <c r="B600" i="140"/>
  <c r="B599" i="140"/>
  <c r="B396" i="140"/>
  <c r="B395" i="140"/>
  <c r="B394" i="140"/>
  <c r="B108" i="140"/>
  <c r="B107" i="140"/>
  <c r="B106" i="140"/>
  <c r="B1253" i="140"/>
  <c r="B1252" i="140"/>
  <c r="B1251" i="140"/>
  <c r="B1097" i="140"/>
  <c r="B1096" i="140"/>
  <c r="B1095" i="140"/>
  <c r="B939" i="140"/>
  <c r="B938" i="140"/>
  <c r="B937" i="140"/>
  <c r="B749" i="140"/>
  <c r="B748" i="140"/>
  <c r="B747" i="140"/>
  <c r="B598" i="140"/>
  <c r="B597" i="140"/>
  <c r="B596" i="140"/>
  <c r="B393" i="140"/>
  <c r="B392" i="140"/>
  <c r="B391" i="140"/>
  <c r="B98" i="140"/>
  <c r="B97" i="140"/>
  <c r="B96" i="140"/>
  <c r="B1250" i="140"/>
  <c r="B1249" i="140"/>
  <c r="B1248" i="140"/>
  <c r="B1247" i="140"/>
  <c r="B934" i="140"/>
  <c r="B933" i="140"/>
  <c r="B932" i="140"/>
  <c r="B931" i="140"/>
  <c r="B595" i="140"/>
  <c r="B594" i="140"/>
  <c r="B593" i="140"/>
  <c r="B592" i="140"/>
  <c r="B86" i="140"/>
  <c r="B85" i="140"/>
  <c r="B84" i="140"/>
  <c r="B83" i="140"/>
  <c r="B1240" i="140"/>
  <c r="B1239" i="140"/>
  <c r="B1238" i="140"/>
  <c r="B1237" i="140"/>
  <c r="B928" i="140"/>
  <c r="B927" i="140"/>
  <c r="B926" i="140"/>
  <c r="B925" i="140"/>
  <c r="B591" i="140"/>
  <c r="B590" i="140"/>
  <c r="B589" i="140"/>
  <c r="B588" i="140"/>
  <c r="B81" i="140"/>
  <c r="B80" i="140"/>
  <c r="B79" i="140"/>
  <c r="B78" i="140"/>
  <c r="B1092" i="140"/>
  <c r="B1091" i="140"/>
  <c r="B744" i="140"/>
  <c r="B743" i="140"/>
  <c r="B390" i="140"/>
  <c r="B385" i="140"/>
  <c r="B386" i="140"/>
  <c r="B384" i="140"/>
  <c r="B1088" i="140"/>
  <c r="B1087" i="140"/>
  <c r="B742" i="140"/>
  <c r="B741" i="140"/>
  <c r="B383" i="140"/>
  <c r="B389" i="140"/>
  <c r="B1086" i="140"/>
  <c r="B1085" i="140"/>
  <c r="B738" i="140"/>
  <c r="B737" i="140"/>
  <c r="B388" i="140"/>
  <c r="B387" i="140"/>
  <c r="B382" i="140"/>
  <c r="B1244" i="140"/>
  <c r="B1243" i="140"/>
  <c r="B916" i="140"/>
  <c r="B915" i="140"/>
  <c r="B587" i="140"/>
  <c r="B586" i="140"/>
  <c r="B381" i="140"/>
  <c r="B380" i="140"/>
  <c r="B55" i="140"/>
  <c r="B54" i="140"/>
  <c r="B1230" i="140"/>
  <c r="B1229" i="140"/>
  <c r="B1228" i="140"/>
  <c r="B1227" i="140"/>
  <c r="B906" i="140"/>
  <c r="B905" i="140"/>
  <c r="B904" i="140"/>
  <c r="B903" i="140"/>
  <c r="B585" i="140"/>
  <c r="B584" i="140"/>
  <c r="B583" i="140"/>
  <c r="B582" i="140"/>
  <c r="B44" i="140"/>
  <c r="B43" i="140"/>
  <c r="B42" i="140"/>
  <c r="B41" i="140"/>
  <c r="B1077" i="140"/>
  <c r="B1076" i="140"/>
  <c r="B714" i="140"/>
  <c r="B713" i="140"/>
  <c r="B712" i="140"/>
  <c r="B711" i="140"/>
  <c r="B373" i="140"/>
  <c r="B372" i="140"/>
  <c r="B379" i="140"/>
  <c r="B378" i="140"/>
  <c r="B1068" i="140"/>
  <c r="B1067" i="140"/>
  <c r="B736" i="140"/>
  <c r="B735" i="140"/>
  <c r="B377" i="140"/>
  <c r="B376" i="140"/>
  <c r="B375" i="140"/>
  <c r="B1066" i="140"/>
  <c r="B1065" i="140"/>
  <c r="B700" i="140"/>
  <c r="B699" i="140"/>
  <c r="B374" i="140"/>
  <c r="B371" i="140"/>
  <c r="B232" i="140"/>
  <c r="B227" i="140"/>
  <c r="B221" i="140"/>
  <c r="B213" i="140"/>
  <c r="B212" i="140"/>
  <c r="B211" i="140"/>
  <c r="B198" i="140"/>
  <c r="B185" i="140"/>
  <c r="B173" i="140"/>
  <c r="B161" i="140"/>
  <c r="B146" i="140"/>
  <c r="B137" i="140"/>
  <c r="B113" i="140"/>
  <c r="B99" i="140"/>
  <c r="B95" i="140"/>
  <c r="B73" i="140"/>
  <c r="B45" i="140"/>
  <c r="B40" i="140"/>
  <c r="B24" i="140"/>
  <c r="B4" i="140"/>
  <c r="B1317" i="140"/>
  <c r="B1019" i="140"/>
  <c r="B581" i="140"/>
  <c r="B206" i="140"/>
  <c r="B959" i="140"/>
  <c r="B958" i="140"/>
  <c r="B957" i="140"/>
  <c r="B949" i="140"/>
  <c r="B948" i="140"/>
  <c r="B947" i="140"/>
  <c r="B943" i="140"/>
  <c r="B942" i="140"/>
  <c r="B941" i="140"/>
  <c r="B940" i="140"/>
  <c r="B777" i="140"/>
  <c r="B773" i="140"/>
  <c r="B765" i="140"/>
  <c r="B759" i="140"/>
  <c r="B758" i="140"/>
  <c r="B757" i="140"/>
  <c r="B753" i="140"/>
  <c r="B752" i="140"/>
  <c r="B751" i="140"/>
  <c r="B750" i="140"/>
  <c r="B370" i="140"/>
  <c r="B369" i="140"/>
  <c r="B362" i="140"/>
  <c r="B361" i="140"/>
  <c r="B368" i="140"/>
  <c r="B367" i="140"/>
  <c r="B366" i="140"/>
  <c r="B365" i="140"/>
  <c r="B364" i="140"/>
  <c r="B363" i="140"/>
  <c r="B359" i="140"/>
  <c r="B360" i="140"/>
  <c r="B358" i="140"/>
  <c r="B357" i="140"/>
  <c r="B356" i="140"/>
  <c r="B355" i="140"/>
  <c r="B105" i="140"/>
  <c r="B104" i="140"/>
  <c r="B103" i="140"/>
  <c r="B90" i="140"/>
  <c r="B89" i="140"/>
  <c r="B88" i="140"/>
  <c r="B354" i="140"/>
  <c r="B353" i="140"/>
  <c r="B112" i="140"/>
  <c r="B111" i="140"/>
  <c r="B347" i="140"/>
  <c r="B350" i="140"/>
  <c r="B110" i="140"/>
  <c r="B109" i="140"/>
  <c r="B1448" i="140"/>
  <c r="B1358" i="140"/>
  <c r="B1256" i="140"/>
  <c r="B1100" i="140"/>
  <c r="B764" i="140"/>
  <c r="B580" i="140"/>
  <c r="B349" i="140"/>
  <c r="B116" i="140"/>
  <c r="B1456" i="140"/>
  <c r="B1412" i="140"/>
  <c r="B1300" i="140"/>
  <c r="B1153" i="140"/>
  <c r="B1005" i="140"/>
  <c r="B829" i="140"/>
  <c r="B579" i="140"/>
  <c r="B348" i="140"/>
  <c r="B189" i="140"/>
  <c r="B578" i="140"/>
  <c r="B188" i="140"/>
  <c r="B1232" i="140"/>
  <c r="B1079" i="140"/>
  <c r="B873" i="140"/>
  <c r="B723" i="140"/>
  <c r="B577" i="140"/>
  <c r="B352" i="140"/>
  <c r="B65" i="140"/>
  <c r="B1215" i="140"/>
  <c r="B1214" i="140"/>
  <c r="B1213" i="140"/>
  <c r="B1064" i="140"/>
  <c r="B1063" i="140"/>
  <c r="B1062" i="140"/>
  <c r="B902" i="140"/>
  <c r="B901" i="140"/>
  <c r="B900" i="140"/>
  <c r="B698" i="140"/>
  <c r="B697" i="140"/>
  <c r="B696" i="140"/>
  <c r="B576" i="140"/>
  <c r="B575" i="140"/>
  <c r="B574" i="140"/>
  <c r="B351" i="140"/>
  <c r="B346" i="140"/>
  <c r="B342" i="140"/>
  <c r="B39" i="140"/>
  <c r="B38" i="140"/>
  <c r="B37" i="140"/>
  <c r="B1414" i="140"/>
  <c r="B1130" i="140"/>
  <c r="B789" i="140"/>
  <c r="B341" i="140"/>
  <c r="B573" i="140"/>
  <c r="B572" i="140"/>
  <c r="B565" i="140"/>
  <c r="B564" i="140"/>
  <c r="B563" i="140"/>
  <c r="B562" i="140"/>
  <c r="B561" i="140"/>
  <c r="B340" i="140"/>
  <c r="B339" i="140"/>
  <c r="B338" i="140"/>
  <c r="B102" i="140"/>
  <c r="B101" i="140"/>
  <c r="B100" i="140"/>
  <c r="B337" i="140"/>
  <c r="B345" i="140"/>
  <c r="B344" i="140"/>
  <c r="B343" i="140"/>
  <c r="B94" i="140"/>
  <c r="B93" i="140"/>
  <c r="B92" i="140"/>
  <c r="B91" i="140"/>
  <c r="B1405" i="140"/>
  <c r="B1404" i="140"/>
  <c r="B1403" i="140"/>
  <c r="B1399" i="140"/>
  <c r="B1398" i="140"/>
  <c r="B1397" i="140"/>
  <c r="B1289" i="140"/>
  <c r="B1288" i="140"/>
  <c r="B1287" i="140"/>
  <c r="B1279" i="140"/>
  <c r="B1278" i="140"/>
  <c r="B1277" i="140"/>
  <c r="B1138" i="140"/>
  <c r="B1137" i="140"/>
  <c r="B1136" i="140"/>
  <c r="B1128" i="140"/>
  <c r="B1127" i="140"/>
  <c r="B1126" i="140"/>
  <c r="B989" i="140"/>
  <c r="B988" i="140"/>
  <c r="B987" i="140"/>
  <c r="B979" i="140"/>
  <c r="B978" i="140"/>
  <c r="B977" i="140"/>
  <c r="B811" i="140"/>
  <c r="B810" i="140"/>
  <c r="B809" i="140"/>
  <c r="B801" i="140"/>
  <c r="B800" i="140"/>
  <c r="B799" i="140"/>
  <c r="B560" i="140"/>
  <c r="B559" i="140"/>
  <c r="B558" i="140"/>
  <c r="B557" i="140"/>
  <c r="B556" i="140"/>
  <c r="B571" i="140"/>
  <c r="B330" i="140"/>
  <c r="B329" i="140"/>
  <c r="B328" i="140"/>
  <c r="B327" i="140"/>
  <c r="B336" i="140"/>
  <c r="B335" i="140"/>
  <c r="B164" i="140"/>
  <c r="B163" i="140"/>
  <c r="B162" i="140"/>
  <c r="B152" i="140"/>
  <c r="B151" i="140"/>
  <c r="B150" i="140"/>
  <c r="B1147" i="140"/>
  <c r="B950" i="140"/>
  <c r="B814" i="140"/>
  <c r="B570" i="140"/>
  <c r="B334" i="140"/>
  <c r="B167" i="140"/>
  <c r="B730" i="140"/>
  <c r="B569" i="140"/>
  <c r="B333" i="140"/>
  <c r="B72" i="140"/>
  <c r="B1224" i="140"/>
  <c r="B1223" i="140"/>
  <c r="B1073" i="140"/>
  <c r="B1072" i="140"/>
  <c r="B912" i="140"/>
  <c r="B911" i="140"/>
  <c r="B708" i="140"/>
  <c r="B707" i="140"/>
  <c r="B568" i="140"/>
  <c r="B567" i="140"/>
  <c r="B332" i="140"/>
  <c r="B331" i="140"/>
  <c r="B51" i="140"/>
  <c r="B50" i="140"/>
  <c r="B1116" i="140"/>
  <c r="B782" i="140"/>
  <c r="B326" i="140"/>
  <c r="B729" i="140"/>
  <c r="B566" i="140"/>
  <c r="B321" i="140"/>
  <c r="B71" i="140"/>
  <c r="B1496" i="140"/>
  <c r="B1495" i="140"/>
  <c r="B1494" i="140"/>
  <c r="B1493" i="140"/>
  <c r="B1466" i="140"/>
  <c r="B1465" i="140"/>
  <c r="B1464" i="140"/>
  <c r="B1463" i="140"/>
  <c r="B1422" i="140"/>
  <c r="B1421" i="140"/>
  <c r="B1420" i="140"/>
  <c r="B1419" i="140"/>
  <c r="B1338" i="140"/>
  <c r="B1337" i="140"/>
  <c r="B1336" i="140"/>
  <c r="B1335" i="140"/>
  <c r="B1185" i="140"/>
  <c r="B1184" i="140"/>
  <c r="B1183" i="140"/>
  <c r="B1182" i="140"/>
  <c r="B1035" i="140"/>
  <c r="B1034" i="140"/>
  <c r="B1033" i="140"/>
  <c r="B1032" i="140"/>
  <c r="B865" i="140"/>
  <c r="B864" i="140"/>
  <c r="B863" i="140"/>
  <c r="B862" i="140"/>
  <c r="B555" i="140"/>
  <c r="B554" i="140"/>
  <c r="B553" i="140"/>
  <c r="B552" i="140"/>
  <c r="B325" i="140"/>
  <c r="B324" i="140"/>
  <c r="B323" i="140"/>
  <c r="B322" i="140"/>
  <c r="B231" i="140"/>
  <c r="B230" i="140"/>
  <c r="B229" i="140"/>
  <c r="B228" i="140"/>
  <c r="B1316" i="140"/>
  <c r="B1169" i="140"/>
  <c r="B1018" i="140"/>
  <c r="B840" i="140"/>
  <c r="B550" i="140"/>
  <c r="B320" i="140"/>
  <c r="B205" i="140"/>
  <c r="B1231" i="140"/>
  <c r="B1078" i="140"/>
  <c r="B872" i="140"/>
  <c r="B722" i="140"/>
  <c r="B549" i="140"/>
  <c r="B317" i="140"/>
  <c r="B64" i="140"/>
  <c r="B1553" i="140"/>
  <c r="B548" i="140"/>
  <c r="B200" i="140"/>
  <c r="B1396" i="140"/>
  <c r="B1311" i="140"/>
  <c r="B1165" i="140"/>
  <c r="B1015" i="140"/>
  <c r="B838" i="140"/>
  <c r="B546" i="140"/>
  <c r="B316" i="140"/>
  <c r="B199" i="140"/>
  <c r="B1265" i="140"/>
  <c r="B1108" i="140"/>
  <c r="B963" i="140"/>
  <c r="B781" i="140"/>
  <c r="B545" i="140"/>
  <c r="B315" i="140"/>
  <c r="B133" i="140"/>
  <c r="B1393" i="140"/>
  <c r="B1392" i="140"/>
  <c r="B1391" i="140"/>
  <c r="B1268" i="140"/>
  <c r="B1267" i="140"/>
  <c r="B1266" i="140"/>
  <c r="B1111" i="140"/>
  <c r="B1110" i="140"/>
  <c r="B1109" i="140"/>
  <c r="B966" i="140"/>
  <c r="B965" i="140"/>
  <c r="B964" i="140"/>
  <c r="B785" i="140"/>
  <c r="B784" i="140"/>
  <c r="B783" i="140"/>
  <c r="B544" i="140"/>
  <c r="B543" i="140"/>
  <c r="B542" i="140"/>
  <c r="B314" i="140"/>
  <c r="B313" i="140"/>
  <c r="B312" i="140"/>
  <c r="B136" i="140"/>
  <c r="B135" i="140"/>
  <c r="B134" i="140"/>
  <c r="B869" i="140"/>
  <c r="B706" i="140"/>
  <c r="B541" i="140"/>
  <c r="B319" i="140"/>
  <c r="B49" i="140"/>
  <c r="B1513" i="140"/>
  <c r="B1488" i="140"/>
  <c r="B1452" i="140"/>
  <c r="B1386" i="140"/>
  <c r="B1280" i="140"/>
  <c r="B1129" i="140"/>
  <c r="B967" i="140"/>
  <c r="B788" i="140"/>
  <c r="B540" i="140"/>
  <c r="B318" i="140"/>
  <c r="B138" i="140"/>
  <c r="B311" i="140"/>
  <c r="B132" i="140"/>
  <c r="B143" i="140"/>
  <c r="B1417" i="140"/>
  <c r="B1516" i="140"/>
  <c r="B1371" i="140"/>
  <c r="B1355" i="140"/>
  <c r="B1308" i="140"/>
  <c r="B1273" i="140"/>
  <c r="B1245" i="140"/>
  <c r="B1198" i="140"/>
  <c r="B1161" i="140"/>
  <c r="B1121" i="140"/>
  <c r="B1093" i="140"/>
  <c r="B1047" i="140"/>
  <c r="B1011" i="140"/>
  <c r="B973" i="140"/>
  <c r="B935" i="140"/>
  <c r="B886" i="140"/>
  <c r="B859" i="140"/>
  <c r="B835" i="140"/>
  <c r="B795" i="140"/>
  <c r="B745" i="140"/>
  <c r="B681" i="140"/>
  <c r="B539" i="140"/>
  <c r="B538" i="140"/>
  <c r="B537" i="140"/>
  <c r="B536" i="140"/>
  <c r="B310" i="140"/>
  <c r="B309" i="140"/>
  <c r="B308" i="140"/>
  <c r="B306" i="140"/>
  <c r="B87" i="140"/>
  <c r="B19" i="140"/>
  <c r="B535" i="140"/>
  <c r="B305" i="140"/>
  <c r="B26" i="140"/>
  <c r="B1469" i="140"/>
  <c r="B1468" i="140"/>
  <c r="B1425" i="140"/>
  <c r="B1424" i="140"/>
  <c r="B1192" i="140"/>
  <c r="B1191" i="140"/>
  <c r="B1038" i="140"/>
  <c r="B1037" i="140"/>
  <c r="B1354" i="140"/>
  <c r="B1353" i="140"/>
  <c r="B877" i="140"/>
  <c r="B876" i="140"/>
  <c r="B672" i="140"/>
  <c r="B671" i="140"/>
  <c r="B534" i="140"/>
  <c r="B533" i="140"/>
  <c r="B304" i="140"/>
  <c r="B303" i="140"/>
  <c r="B10" i="140"/>
  <c r="B9" i="140"/>
  <c r="B1222" i="140"/>
  <c r="B1221" i="140"/>
  <c r="B1220" i="140"/>
  <c r="B1071" i="140"/>
  <c r="B1070" i="140"/>
  <c r="B1069" i="140"/>
  <c r="B909" i="140"/>
  <c r="B908" i="140"/>
  <c r="B907" i="140"/>
  <c r="B705" i="140"/>
  <c r="B704" i="140"/>
  <c r="B703" i="140"/>
  <c r="B532" i="140"/>
  <c r="B531" i="140"/>
  <c r="B530" i="140"/>
  <c r="B302" i="140"/>
  <c r="B301" i="140"/>
  <c r="B300" i="140"/>
  <c r="B48" i="140"/>
  <c r="B47" i="140"/>
  <c r="B46" i="140"/>
  <c r="B1314" i="140"/>
  <c r="B1167" i="140"/>
  <c r="B1008" i="140"/>
  <c r="B832" i="140"/>
  <c r="B529" i="140"/>
  <c r="B307" i="140"/>
  <c r="B203" i="140"/>
  <c r="B1313" i="140"/>
  <c r="B1166" i="140"/>
  <c r="B1007" i="140"/>
  <c r="B831" i="140"/>
  <c r="B528" i="140"/>
  <c r="B298" i="140"/>
  <c r="B202" i="140"/>
  <c r="B1430" i="140"/>
  <c r="B1344" i="140"/>
  <c r="B1203" i="140"/>
  <c r="B1052" i="140"/>
  <c r="B686" i="140"/>
  <c r="B527" i="140"/>
  <c r="B297" i="140"/>
  <c r="B25" i="140"/>
  <c r="B827" i="140"/>
  <c r="B826" i="140"/>
  <c r="B776" i="140"/>
  <c r="B775" i="140"/>
  <c r="B774" i="140"/>
  <c r="B526" i="140"/>
  <c r="B525" i="140"/>
  <c r="B524" i="140"/>
  <c r="B523" i="140"/>
  <c r="B522" i="140"/>
  <c r="B296" i="140"/>
  <c r="B295" i="140"/>
  <c r="B299" i="140"/>
  <c r="B293" i="140"/>
  <c r="B294" i="140"/>
  <c r="B184" i="140"/>
  <c r="B183" i="140"/>
  <c r="B129" i="140"/>
  <c r="B128" i="140"/>
  <c r="B127" i="140"/>
  <c r="B521" i="140"/>
  <c r="B292" i="140"/>
  <c r="B196" i="140"/>
  <c r="B1080" i="140"/>
  <c r="B920" i="140"/>
  <c r="B728" i="140"/>
  <c r="B520" i="140"/>
  <c r="B291" i="140"/>
  <c r="B70" i="140"/>
  <c r="B787" i="140"/>
  <c r="B290" i="140"/>
  <c r="B1379" i="140"/>
  <c r="B1378" i="140"/>
  <c r="B1377" i="140"/>
  <c r="B1286" i="140"/>
  <c r="B1285" i="140"/>
  <c r="B1284" i="140"/>
  <c r="B1135" i="140"/>
  <c r="B1134" i="140"/>
  <c r="B1133" i="140"/>
  <c r="B986" i="140"/>
  <c r="B985" i="140"/>
  <c r="B984" i="140"/>
  <c r="B808" i="140"/>
  <c r="B807" i="140"/>
  <c r="B806" i="140"/>
  <c r="B519" i="140"/>
  <c r="B518" i="140"/>
  <c r="B517" i="140"/>
  <c r="B289" i="140"/>
  <c r="B288" i="140"/>
  <c r="B287" i="140"/>
  <c r="B172" i="140"/>
  <c r="B171" i="140"/>
  <c r="B170" i="140"/>
  <c r="B1146" i="140"/>
  <c r="B1145" i="140"/>
  <c r="B1144" i="140"/>
  <c r="B1143" i="140"/>
  <c r="B516" i="140"/>
  <c r="B515" i="140"/>
  <c r="B514" i="140"/>
  <c r="B513" i="140"/>
  <c r="B1384" i="140"/>
  <c r="B1383" i="140"/>
  <c r="B1382" i="140"/>
  <c r="B1381" i="140"/>
  <c r="B995" i="140"/>
  <c r="B994" i="140"/>
  <c r="B993" i="140"/>
  <c r="B992" i="140"/>
  <c r="B512" i="140"/>
  <c r="B511" i="140"/>
  <c r="B510" i="140"/>
  <c r="B509" i="140"/>
  <c r="B160" i="140"/>
  <c r="B159" i="140"/>
  <c r="B158" i="140"/>
  <c r="B157" i="140"/>
  <c r="B1375" i="140"/>
  <c r="B1374" i="140"/>
  <c r="B1373" i="140"/>
  <c r="B1276" i="140"/>
  <c r="B1275" i="140"/>
  <c r="B1274" i="140"/>
  <c r="B1125" i="140"/>
  <c r="B1124" i="140"/>
  <c r="B1123" i="140"/>
  <c r="B976" i="140"/>
  <c r="B975" i="140"/>
  <c r="B974" i="140"/>
  <c r="B798" i="140"/>
  <c r="B797" i="140"/>
  <c r="B796" i="140"/>
  <c r="B508" i="140"/>
  <c r="B507" i="140"/>
  <c r="B506" i="140"/>
  <c r="B286" i="140"/>
  <c r="B285" i="140"/>
  <c r="B284" i="140"/>
  <c r="B149" i="140"/>
  <c r="B148" i="140"/>
  <c r="B147" i="140"/>
  <c r="B1547" i="140"/>
  <c r="B1534" i="140"/>
  <c r="B1512" i="140"/>
  <c r="B1482" i="140"/>
  <c r="B1390" i="140"/>
  <c r="B1264" i="140"/>
  <c r="B1107" i="140"/>
  <c r="B962" i="140"/>
  <c r="B780" i="140"/>
  <c r="B505" i="140"/>
  <c r="B279" i="140"/>
  <c r="B131" i="140"/>
  <c r="B1543" i="140"/>
  <c r="B1542" i="140"/>
  <c r="B1518" i="140"/>
  <c r="B1517" i="140"/>
  <c r="B1492" i="140"/>
  <c r="B1491" i="140"/>
  <c r="B1462" i="140"/>
  <c r="B1461" i="140"/>
  <c r="B1402" i="140"/>
  <c r="B1401" i="140"/>
  <c r="B1321" i="140"/>
  <c r="B1320" i="140"/>
  <c r="B1173" i="140"/>
  <c r="B1172" i="140"/>
  <c r="B1023" i="140"/>
  <c r="B1022" i="140"/>
  <c r="B844" i="140"/>
  <c r="B843" i="140"/>
  <c r="B504" i="140"/>
  <c r="B503" i="140"/>
  <c r="B278" i="140"/>
  <c r="B283" i="140"/>
  <c r="B210" i="140"/>
  <c r="B209" i="140"/>
  <c r="B1310" i="140"/>
  <c r="B1309" i="140"/>
  <c r="B1299" i="140"/>
  <c r="B1164" i="140"/>
  <c r="B1163" i="140"/>
  <c r="B1152" i="140"/>
  <c r="B1014" i="140"/>
  <c r="B1013" i="140"/>
  <c r="B1004" i="140"/>
  <c r="B837" i="140"/>
  <c r="B836" i="140"/>
  <c r="B828" i="140"/>
  <c r="B502" i="140"/>
  <c r="B501" i="140"/>
  <c r="B500" i="140"/>
  <c r="B282" i="140"/>
  <c r="B281" i="140"/>
  <c r="B280" i="140"/>
  <c r="B197" i="140"/>
  <c r="B187" i="140"/>
  <c r="B186" i="140"/>
  <c r="B874" i="140"/>
  <c r="B271" i="140"/>
  <c r="B1101" i="140"/>
  <c r="B1388" i="140"/>
  <c r="B1387" i="140"/>
  <c r="B1385" i="140"/>
  <c r="B1380" i="140"/>
  <c r="B1376" i="140"/>
  <c r="B1372" i="140"/>
  <c r="B1368" i="140"/>
  <c r="B1360" i="140"/>
  <c r="B1359" i="140"/>
  <c r="B270" i="140"/>
  <c r="B269" i="140"/>
  <c r="B1193" i="140"/>
  <c r="B499" i="140"/>
  <c r="B853" i="140"/>
  <c r="B498" i="140"/>
  <c r="B870" i="140"/>
  <c r="B866" i="140"/>
  <c r="B497" i="140"/>
  <c r="B821" i="140"/>
  <c r="B845" i="140"/>
  <c r="B1122" i="140"/>
  <c r="B1329" i="140"/>
  <c r="B1546" i="140"/>
  <c r="B1533" i="140"/>
  <c r="B1511" i="140"/>
  <c r="B1481" i="140"/>
  <c r="B1389" i="140"/>
  <c r="B1263" i="140"/>
  <c r="B1106" i="140"/>
  <c r="B961" i="140"/>
  <c r="B779" i="140"/>
  <c r="B496" i="140"/>
  <c r="B277" i="140"/>
  <c r="B130" i="140"/>
  <c r="B1451" i="140"/>
  <c r="B1408" i="140"/>
  <c r="B1305" i="140"/>
  <c r="B1158" i="140"/>
  <c r="B999" i="140"/>
  <c r="B820" i="140"/>
  <c r="B495" i="140"/>
  <c r="B276" i="140"/>
  <c r="B275" i="140"/>
  <c r="B176" i="140"/>
  <c r="B1455" i="140"/>
  <c r="B1454" i="140"/>
  <c r="B1453" i="140"/>
  <c r="B1411" i="140"/>
  <c r="B1410" i="140"/>
  <c r="B1409" i="140"/>
  <c r="B1304" i="140"/>
  <c r="B1303" i="140"/>
  <c r="B1302" i="140"/>
  <c r="B1157" i="140"/>
  <c r="B1156" i="140"/>
  <c r="B1155" i="140"/>
  <c r="B998" i="140"/>
  <c r="B997" i="140"/>
  <c r="B996" i="140"/>
  <c r="B819" i="140"/>
  <c r="B818" i="140"/>
  <c r="B817" i="140"/>
  <c r="B494" i="140"/>
  <c r="B493" i="140"/>
  <c r="B492" i="140"/>
  <c r="B274" i="140"/>
  <c r="B273" i="140"/>
  <c r="B272" i="140"/>
  <c r="B193" i="140"/>
  <c r="B192" i="140"/>
  <c r="B191" i="140"/>
  <c r="B1293" i="140"/>
  <c r="B1292" i="140"/>
  <c r="B1291" i="140"/>
  <c r="B1290" i="140"/>
  <c r="B1142" i="140"/>
  <c r="B1141" i="140"/>
  <c r="B1140" i="140"/>
  <c r="B1139" i="140"/>
  <c r="B983" i="140"/>
  <c r="B982" i="140"/>
  <c r="B981" i="140"/>
  <c r="B980" i="140"/>
  <c r="B805" i="140"/>
  <c r="B804" i="140"/>
  <c r="B803" i="140"/>
  <c r="B802" i="140"/>
  <c r="B491" i="140"/>
  <c r="B490" i="140"/>
  <c r="B489" i="140"/>
  <c r="B488" i="140"/>
  <c r="B487" i="140"/>
  <c r="B261" i="140"/>
  <c r="B260" i="140"/>
  <c r="B259" i="140"/>
  <c r="B156" i="140"/>
  <c r="B155" i="140"/>
  <c r="B154" i="140"/>
  <c r="B153" i="140"/>
  <c r="B1357" i="140"/>
  <c r="B1255" i="140"/>
  <c r="B1099" i="140"/>
  <c r="B910" i="140"/>
  <c r="B761" i="140"/>
  <c r="B486" i="140"/>
  <c r="B258" i="140"/>
  <c r="B115" i="140"/>
  <c r="B1328" i="140"/>
  <c r="B1181" i="140"/>
  <c r="B1031" i="140"/>
  <c r="B852" i="140"/>
  <c r="B485" i="140"/>
  <c r="B268" i="140"/>
  <c r="B220" i="140"/>
  <c r="B1324" i="140"/>
  <c r="B1177" i="140"/>
  <c r="B1027" i="140"/>
  <c r="B848" i="140"/>
  <c r="B484" i="140"/>
  <c r="B267" i="140"/>
  <c r="B216" i="140"/>
  <c r="B1327" i="140"/>
  <c r="B1180" i="140"/>
  <c r="B1030" i="140"/>
  <c r="B851" i="140"/>
  <c r="B483" i="140"/>
  <c r="B266" i="140"/>
  <c r="B219" i="140"/>
  <c r="B1323" i="140"/>
  <c r="B1176" i="140"/>
  <c r="B1026" i="140"/>
  <c r="B847" i="140"/>
  <c r="B482" i="140"/>
  <c r="B265" i="140"/>
  <c r="B215" i="140"/>
  <c r="B1326" i="140"/>
  <c r="B1179" i="140"/>
  <c r="B1029" i="140"/>
  <c r="B850" i="140"/>
  <c r="B481" i="140"/>
  <c r="B257" i="140"/>
  <c r="B218" i="140"/>
  <c r="B1322" i="140"/>
  <c r="B1175" i="140"/>
  <c r="B1025" i="140"/>
  <c r="B846" i="140"/>
  <c r="B480" i="140"/>
  <c r="B256" i="140"/>
  <c r="B214" i="140"/>
  <c r="B1325" i="140"/>
  <c r="B1178" i="140"/>
  <c r="B1028" i="140"/>
  <c r="B849" i="140"/>
  <c r="B479" i="140"/>
  <c r="B255" i="140"/>
  <c r="B217" i="140"/>
  <c r="B1467" i="140"/>
  <c r="B1423" i="140"/>
  <c r="B1352" i="140"/>
  <c r="B1190" i="140"/>
  <c r="B1036" i="140"/>
  <c r="B875" i="140"/>
  <c r="B670" i="140"/>
  <c r="B478" i="140"/>
  <c r="B264" i="140"/>
  <c r="B8" i="140"/>
  <c r="B1297" i="140"/>
  <c r="B1296" i="140"/>
  <c r="B1151" i="140"/>
  <c r="B1150" i="140"/>
  <c r="B991" i="140"/>
  <c r="B990" i="140"/>
  <c r="B813" i="140"/>
  <c r="B812" i="140"/>
  <c r="B477" i="140"/>
  <c r="B476" i="140"/>
  <c r="B263" i="140"/>
  <c r="B262" i="140"/>
  <c r="B166" i="140"/>
  <c r="B165" i="140"/>
  <c r="B1555" i="140"/>
  <c r="B1554" i="140"/>
  <c r="B1552" i="140"/>
  <c r="B1551" i="140"/>
  <c r="B1550" i="140"/>
  <c r="B1549" i="140"/>
  <c r="B1545" i="140"/>
  <c r="B1544" i="140"/>
  <c r="B1538" i="140"/>
  <c r="B1537" i="140"/>
  <c r="B1510" i="140"/>
  <c r="B1509" i="140"/>
  <c r="B1487" i="140"/>
  <c r="B1486" i="140"/>
  <c r="B1447" i="140"/>
  <c r="B1446" i="140"/>
  <c r="B1407" i="140"/>
  <c r="B1406" i="140"/>
  <c r="B1295" i="140"/>
  <c r="B1294" i="140"/>
  <c r="B1149" i="140"/>
  <c r="B1148" i="140"/>
  <c r="B954" i="140"/>
  <c r="B953" i="140"/>
  <c r="B816" i="140"/>
  <c r="B815" i="140"/>
  <c r="B475" i="140"/>
  <c r="B474" i="140"/>
  <c r="B241" i="140"/>
  <c r="B240" i="140"/>
  <c r="B175" i="140"/>
  <c r="B174" i="140"/>
  <c r="B1540" i="140"/>
  <c r="B1539" i="140"/>
  <c r="B1536" i="140"/>
  <c r="B1535" i="140"/>
  <c r="B1532" i="140"/>
  <c r="B1531" i="140"/>
  <c r="B1520" i="140"/>
  <c r="B1519" i="140"/>
  <c r="B1515" i="140"/>
  <c r="B1514" i="140"/>
  <c r="B1508" i="140"/>
  <c r="B1507" i="140"/>
  <c r="B1490" i="140"/>
  <c r="B1489" i="140"/>
  <c r="B1485" i="140"/>
  <c r="B1484" i="140"/>
  <c r="B1480" i="140"/>
  <c r="B1479" i="140"/>
  <c r="B1458" i="140"/>
  <c r="B1457" i="140"/>
  <c r="B1450" i="140"/>
  <c r="B1449" i="140"/>
  <c r="B1443" i="140"/>
  <c r="B1442" i="140"/>
  <c r="B1416" i="140"/>
  <c r="B1415" i="140"/>
  <c r="B1395" i="140"/>
  <c r="B1394" i="140"/>
  <c r="B1370" i="140"/>
  <c r="B1369" i="140"/>
  <c r="B1307" i="140"/>
  <c r="B1306" i="140"/>
  <c r="B1272" i="140"/>
  <c r="B1271" i="140"/>
  <c r="B1242" i="140"/>
  <c r="B1241" i="140"/>
  <c r="B1160" i="140"/>
  <c r="B1159" i="140"/>
  <c r="B1118" i="140"/>
  <c r="B1117" i="140"/>
  <c r="B1090" i="140"/>
  <c r="B1089" i="140"/>
  <c r="B1010" i="140"/>
  <c r="B1009" i="140"/>
  <c r="B972" i="140"/>
  <c r="B971" i="140"/>
  <c r="B930" i="140"/>
  <c r="B929" i="140"/>
  <c r="B834" i="140"/>
  <c r="B833" i="140"/>
  <c r="B794" i="140"/>
  <c r="B793" i="140"/>
  <c r="B740" i="140"/>
  <c r="B739" i="140"/>
  <c r="B473" i="140"/>
  <c r="B472" i="140"/>
  <c r="B471" i="140"/>
  <c r="B470" i="140"/>
  <c r="B469" i="140"/>
  <c r="B239" i="140"/>
  <c r="B238" i="140"/>
  <c r="B244" i="140"/>
  <c r="B249" i="140"/>
  <c r="B253" i="140"/>
  <c r="B252" i="140"/>
  <c r="B195" i="140"/>
  <c r="B194" i="140"/>
  <c r="B145" i="140"/>
  <c r="B144" i="140"/>
  <c r="B142" i="140"/>
  <c r="B141" i="140"/>
  <c r="B1334" i="140"/>
  <c r="B1174" i="140"/>
  <c r="B1024" i="140"/>
  <c r="B858" i="140"/>
  <c r="B468" i="140"/>
  <c r="B251" i="140"/>
  <c r="B226" i="140"/>
  <c r="B871" i="140"/>
  <c r="B715" i="140"/>
  <c r="B467" i="140"/>
  <c r="B250" i="140"/>
  <c r="B56" i="140"/>
  <c r="B1483" i="140"/>
  <c r="B1362" i="140"/>
  <c r="B1112" i="140"/>
  <c r="B786" i="140"/>
  <c r="B237" i="140"/>
  <c r="B1315" i="140"/>
  <c r="B1168" i="140"/>
  <c r="B1017" i="140"/>
  <c r="B839" i="140"/>
  <c r="B466" i="140"/>
  <c r="B236" i="140"/>
  <c r="B204" i="140"/>
  <c r="B1548" i="140"/>
  <c r="B1541" i="140"/>
  <c r="B1521" i="140"/>
  <c r="B1497" i="140"/>
  <c r="B1459" i="140"/>
  <c r="B1418" i="140"/>
  <c r="B1339" i="140"/>
  <c r="B1162" i="140"/>
  <c r="B1012" i="140"/>
  <c r="B861" i="140"/>
  <c r="B860" i="140"/>
  <c r="B465" i="140"/>
  <c r="B464" i="140"/>
  <c r="B235" i="140"/>
  <c r="B234" i="140"/>
  <c r="B233" i="140"/>
  <c r="B868" i="140"/>
  <c r="B669" i="140"/>
  <c r="B463" i="140"/>
  <c r="B248" i="140"/>
  <c r="B6" i="140"/>
  <c r="B1361" i="140"/>
  <c r="B1105" i="140"/>
  <c r="B778" i="140"/>
  <c r="B247" i="140"/>
  <c r="B1445" i="140"/>
  <c r="B1356" i="140"/>
  <c r="B1254" i="140"/>
  <c r="B1098" i="140"/>
  <c r="B952" i="140"/>
  <c r="B760" i="140"/>
  <c r="B462" i="140"/>
  <c r="B246" i="140"/>
  <c r="B114" i="140"/>
  <c r="B867" i="140"/>
  <c r="B668" i="140"/>
  <c r="B461" i="140"/>
  <c r="B245" i="140"/>
  <c r="B5" i="140"/>
  <c r="B792" i="140"/>
  <c r="B182" i="140"/>
  <c r="B1319" i="140"/>
  <c r="B1171" i="140"/>
  <c r="B1021" i="140"/>
  <c r="B842" i="140"/>
  <c r="B460" i="140"/>
  <c r="B243" i="140"/>
  <c r="B208" i="140"/>
  <c r="B1460" i="140"/>
  <c r="B1400" i="140"/>
  <c r="B1318" i="140"/>
  <c r="B1170" i="140"/>
  <c r="B1020" i="140"/>
  <c r="B841" i="140"/>
  <c r="B254" i="140"/>
  <c r="B242" i="140"/>
  <c r="B207" i="140"/>
  <c r="G2" i="140"/>
  <c r="B257" i="137"/>
  <c r="L6" i="139"/>
  <c r="L5" i="139"/>
  <c r="D6" i="139"/>
  <c r="D5" i="139"/>
  <c r="B958" i="137"/>
  <c r="B959" i="137"/>
  <c r="B960" i="137"/>
  <c r="B961" i="137"/>
  <c r="B976" i="137"/>
  <c r="B1141" i="137"/>
  <c r="B1142" i="137"/>
  <c r="B1143" i="137"/>
  <c r="B1144" i="137"/>
  <c r="B1155" i="137"/>
  <c r="B1301" i="137"/>
  <c r="B1302" i="137"/>
  <c r="B1303" i="137"/>
  <c r="B1304" i="137"/>
  <c r="B1314" i="137"/>
  <c r="B1440" i="137"/>
  <c r="B1441" i="137"/>
  <c r="B1442" i="137"/>
  <c r="B1443" i="137"/>
  <c r="B1444" i="137"/>
  <c r="B1521" i="137"/>
  <c r="B1522" i="137"/>
  <c r="B1523" i="137"/>
  <c r="B1524" i="137"/>
  <c r="B1527" i="137"/>
  <c r="B525" i="137"/>
  <c r="B526" i="137"/>
  <c r="B527" i="137"/>
  <c r="B528" i="137"/>
  <c r="B544" i="137"/>
  <c r="B733" i="137"/>
  <c r="B734" i="137"/>
  <c r="B735" i="137"/>
  <c r="B736" i="137"/>
  <c r="B744" i="137"/>
  <c r="B1599" i="137"/>
  <c r="B1564" i="137"/>
  <c r="B1623" i="137"/>
  <c r="B1624" i="137"/>
  <c r="B1625" i="137"/>
  <c r="B1626" i="137"/>
  <c r="B1629" i="137"/>
  <c r="B1630" i="137"/>
  <c r="B1631" i="137"/>
  <c r="B1632" i="137"/>
  <c r="B1592" i="137"/>
  <c r="B1593" i="137"/>
  <c r="B1594" i="137"/>
  <c r="B1595" i="137"/>
  <c r="B1598" i="137"/>
  <c r="B1600" i="137"/>
  <c r="B1601" i="137"/>
  <c r="B1555" i="137"/>
  <c r="B1556" i="137"/>
  <c r="B1557" i="137"/>
  <c r="B1558" i="137"/>
  <c r="B1561" i="137"/>
  <c r="B1562" i="137"/>
  <c r="B1563" i="137"/>
  <c r="B1506" i="137"/>
  <c r="B1507" i="137"/>
  <c r="B1508" i="137"/>
  <c r="B1509" i="137"/>
  <c r="B1513" i="137"/>
  <c r="B1514" i="137"/>
  <c r="B1515" i="137"/>
  <c r="B1516" i="137"/>
  <c r="B1411" i="137"/>
  <c r="B1412" i="137"/>
  <c r="B1413" i="137"/>
  <c r="B1414" i="137"/>
  <c r="B1418" i="137"/>
  <c r="B1419" i="137"/>
  <c r="B1420" i="137"/>
  <c r="B1421" i="137"/>
  <c r="B1263" i="137"/>
  <c r="B1264" i="137"/>
  <c r="B1265" i="137"/>
  <c r="B1266" i="137"/>
  <c r="B1274" i="137"/>
  <c r="B1275" i="137"/>
  <c r="B1276" i="137"/>
  <c r="B1277" i="137"/>
  <c r="B1104" i="137"/>
  <c r="B1105" i="137"/>
  <c r="B1106" i="137"/>
  <c r="B1107" i="137"/>
  <c r="B1115" i="137"/>
  <c r="B1116" i="137"/>
  <c r="B1117" i="137"/>
  <c r="B1118" i="137"/>
  <c r="B913" i="137"/>
  <c r="B914" i="137"/>
  <c r="B915" i="137"/>
  <c r="B916" i="137"/>
  <c r="B692" i="137"/>
  <c r="B693" i="137"/>
  <c r="B694" i="137"/>
  <c r="B695" i="137"/>
  <c r="B923" i="137"/>
  <c r="B924" i="137"/>
  <c r="B925" i="137"/>
  <c r="B926" i="137"/>
  <c r="B493" i="137"/>
  <c r="B494" i="137"/>
  <c r="B495" i="137"/>
  <c r="B479" i="137"/>
  <c r="B480" i="137"/>
  <c r="B492" i="137"/>
  <c r="B481" i="137"/>
  <c r="B478" i="137"/>
  <c r="B683" i="137"/>
  <c r="B684" i="137"/>
  <c r="B685" i="137"/>
  <c r="B686" i="137"/>
  <c r="B440" i="137"/>
  <c r="B628" i="137"/>
  <c r="B843" i="137"/>
  <c r="B1058" i="137"/>
  <c r="B1216" i="137"/>
  <c r="B1370" i="137"/>
  <c r="B1490" i="137"/>
  <c r="B462" i="137"/>
  <c r="B612" i="137"/>
  <c r="B484" i="137"/>
  <c r="B487" i="137"/>
  <c r="B536" i="137"/>
  <c r="B990" i="137"/>
  <c r="B649" i="137"/>
  <c r="B1387" i="137"/>
  <c r="B450" i="137"/>
  <c r="B451" i="137"/>
  <c r="B452" i="137"/>
  <c r="B453" i="137"/>
  <c r="B454" i="137"/>
  <c r="B455" i="137"/>
  <c r="B456" i="137"/>
  <c r="B458" i="137"/>
  <c r="B459" i="137"/>
  <c r="B460" i="137"/>
  <c r="B755" i="137"/>
  <c r="B759" i="137"/>
  <c r="B760" i="137"/>
  <c r="B761" i="137"/>
  <c r="B768" i="137"/>
  <c r="B769" i="137"/>
  <c r="B770" i="137"/>
  <c r="B776" i="137"/>
  <c r="B777" i="137"/>
  <c r="B778" i="137"/>
  <c r="B980" i="137"/>
  <c r="B981" i="137"/>
  <c r="B982" i="137"/>
  <c r="B983" i="137"/>
  <c r="B987" i="137"/>
  <c r="B988" i="137"/>
  <c r="B989" i="137"/>
  <c r="B993" i="137"/>
  <c r="B994" i="137"/>
  <c r="B995" i="137"/>
  <c r="B627" i="137"/>
  <c r="B842" i="137"/>
  <c r="B1057" i="137"/>
  <c r="B1215" i="137"/>
  <c r="B439" i="137"/>
  <c r="B1369" i="137"/>
  <c r="B636" i="137"/>
  <c r="B1489" i="137"/>
  <c r="B1539" i="137"/>
  <c r="B1491" i="137"/>
  <c r="B540" i="137"/>
  <c r="B541" i="137"/>
  <c r="B542" i="137"/>
  <c r="B543" i="137"/>
  <c r="B549" i="137"/>
  <c r="B550" i="137"/>
  <c r="B551" i="137"/>
  <c r="B589" i="137"/>
  <c r="B590" i="137"/>
  <c r="B591" i="137"/>
  <c r="B600" i="137"/>
  <c r="B601" i="137"/>
  <c r="B602" i="137"/>
  <c r="B813" i="137"/>
  <c r="B814" i="137"/>
  <c r="B815" i="137"/>
  <c r="B824" i="137"/>
  <c r="B825" i="137"/>
  <c r="B826" i="137"/>
  <c r="B1028" i="137"/>
  <c r="B1029" i="137"/>
  <c r="B1030" i="137"/>
  <c r="B1039" i="137"/>
  <c r="B1040" i="137"/>
  <c r="B1041" i="137"/>
  <c r="B1188" i="137"/>
  <c r="B1189" i="137"/>
  <c r="B1190" i="137"/>
  <c r="B1198" i="137"/>
  <c r="B1199" i="137"/>
  <c r="B1200" i="137"/>
  <c r="B1346" i="137"/>
  <c r="B1347" i="137"/>
  <c r="B1348" i="137"/>
  <c r="B1356" i="137"/>
  <c r="B1357" i="137"/>
  <c r="B1358" i="137"/>
  <c r="B1474" i="137"/>
  <c r="B1475" i="137"/>
  <c r="B1476" i="137"/>
  <c r="B1480" i="137"/>
  <c r="B1481" i="137"/>
  <c r="B1482" i="137"/>
  <c r="B611" i="137"/>
  <c r="B820" i="137"/>
  <c r="B1056" i="137"/>
  <c r="B1209" i="137"/>
  <c r="B803" i="137"/>
  <c r="B1178" i="137"/>
  <c r="B1497" i="137"/>
  <c r="B1498" i="137"/>
  <c r="B1499" i="137"/>
  <c r="B1500" i="137"/>
  <c r="B1547" i="137"/>
  <c r="B1548" i="137"/>
  <c r="B1549" i="137"/>
  <c r="B1550" i="137"/>
  <c r="B1587" i="137"/>
  <c r="B1588" i="137"/>
  <c r="B1589" i="137"/>
  <c r="B1590" i="137"/>
  <c r="B441" i="137"/>
  <c r="B442" i="137"/>
  <c r="B443" i="137"/>
  <c r="B444" i="137"/>
  <c r="B662" i="137"/>
  <c r="B663" i="137"/>
  <c r="B664" i="137"/>
  <c r="B665" i="137"/>
  <c r="B873" i="137"/>
  <c r="B874" i="137"/>
  <c r="B875" i="137"/>
  <c r="B881" i="137"/>
  <c r="B1075" i="137"/>
  <c r="B1076" i="137"/>
  <c r="B1077" i="137"/>
  <c r="B1078" i="137"/>
  <c r="B1245" i="137"/>
  <c r="B1246" i="137"/>
  <c r="B1247" i="137"/>
  <c r="B1248" i="137"/>
  <c r="B1406" i="137"/>
  <c r="B1407" i="137"/>
  <c r="B1408" i="137"/>
  <c r="B1409" i="137"/>
  <c r="B635" i="137"/>
  <c r="B1675" i="137"/>
  <c r="B643" i="137"/>
  <c r="B837" i="137"/>
  <c r="B1064" i="137"/>
  <c r="B1228" i="137"/>
  <c r="B1381" i="137"/>
  <c r="B1473" i="137"/>
  <c r="B1170" i="137"/>
  <c r="B1334" i="137"/>
  <c r="B574" i="137"/>
  <c r="B792" i="137"/>
  <c r="B1005" i="137"/>
  <c r="B575" i="137"/>
  <c r="B576" i="137"/>
  <c r="B577" i="137"/>
  <c r="B793" i="137"/>
  <c r="B794" i="137"/>
  <c r="B795" i="137"/>
  <c r="B1006" i="137"/>
  <c r="B1007" i="137"/>
  <c r="B1008" i="137"/>
  <c r="B1171" i="137"/>
  <c r="B1172" i="137"/>
  <c r="B1173" i="137"/>
  <c r="B1335" i="137"/>
  <c r="B1336" i="137"/>
  <c r="B1337" i="137"/>
  <c r="B1468" i="137"/>
  <c r="B1469" i="137"/>
  <c r="B1470" i="137"/>
  <c r="B707" i="137"/>
  <c r="B938" i="137"/>
  <c r="B415" i="137"/>
  <c r="B1262" i="137"/>
  <c r="B1313" i="137"/>
  <c r="B1342" i="137"/>
  <c r="B1377" i="137"/>
  <c r="B912" i="137"/>
  <c r="B973" i="137"/>
  <c r="B1024" i="137"/>
  <c r="B1103" i="137"/>
  <c r="B1153" i="137"/>
  <c r="B1183" i="137"/>
  <c r="B1223" i="137"/>
  <c r="B1429" i="137"/>
  <c r="B539" i="137"/>
  <c r="B585" i="137"/>
  <c r="B637" i="137"/>
  <c r="B682" i="137"/>
  <c r="B751" i="137"/>
  <c r="B809" i="137"/>
  <c r="B1448" i="137"/>
  <c r="B293" i="137"/>
  <c r="B360" i="137"/>
  <c r="B407" i="137"/>
  <c r="B1614" i="137"/>
  <c r="B1494" i="137"/>
  <c r="B486" i="137"/>
  <c r="B1427" i="137"/>
  <c r="B1428" i="137"/>
  <c r="B408" i="137"/>
  <c r="B640" i="137"/>
  <c r="B798" i="137"/>
  <c r="B607" i="137"/>
  <c r="B608" i="137"/>
  <c r="B609" i="137"/>
  <c r="B610" i="137"/>
  <c r="B1044" i="137"/>
  <c r="B1045" i="137"/>
  <c r="B1046" i="137"/>
  <c r="B1047" i="137"/>
  <c r="B1458" i="137"/>
  <c r="B1459" i="137"/>
  <c r="B1460" i="137"/>
  <c r="B624" i="137"/>
  <c r="B625" i="137"/>
  <c r="B626" i="137"/>
  <c r="B821" i="137"/>
  <c r="B822" i="137"/>
  <c r="B823" i="137"/>
  <c r="B1036" i="137"/>
  <c r="B1037" i="137"/>
  <c r="B1038" i="137"/>
  <c r="B1195" i="137"/>
  <c r="B1196" i="137"/>
  <c r="B1197" i="137"/>
  <c r="B1353" i="137"/>
  <c r="B1354" i="137"/>
  <c r="B1355" i="137"/>
  <c r="B1454" i="137"/>
  <c r="B1455" i="137"/>
  <c r="B1456" i="137"/>
  <c r="B1451" i="137"/>
  <c r="B1452" i="137"/>
  <c r="B586" i="137"/>
  <c r="B587" i="137"/>
  <c r="B588" i="137"/>
  <c r="B810" i="137"/>
  <c r="B811" i="137"/>
  <c r="B812" i="137"/>
  <c r="B1025" i="137"/>
  <c r="B1026" i="137"/>
  <c r="B597" i="137"/>
  <c r="B598" i="137"/>
  <c r="B599" i="137"/>
  <c r="B1461" i="137"/>
  <c r="B1205" i="137"/>
  <c r="B1027" i="137"/>
  <c r="B1185" i="137"/>
  <c r="B1186" i="137"/>
  <c r="B1187" i="137"/>
  <c r="B596" i="137"/>
  <c r="B1206" i="137"/>
  <c r="B1207" i="137"/>
  <c r="B1343" i="137"/>
  <c r="B1344" i="137"/>
  <c r="B1345" i="137"/>
  <c r="B1450" i="137"/>
  <c r="B1208" i="137"/>
  <c r="B1650" i="137"/>
  <c r="B1214" i="137"/>
  <c r="B1226" i="137"/>
  <c r="B1227" i="137"/>
  <c r="B623" i="137"/>
  <c r="B641" i="137"/>
  <c r="B642" i="137"/>
  <c r="B838" i="137"/>
  <c r="B852" i="137"/>
  <c r="B839" i="137"/>
  <c r="B1065" i="137"/>
  <c r="B1061" i="137"/>
  <c r="B1062" i="137"/>
  <c r="B1368" i="137"/>
  <c r="B1379" i="137"/>
  <c r="B409" i="137"/>
  <c r="B1380" i="137"/>
  <c r="B644" i="137"/>
  <c r="B1073" i="137"/>
  <c r="B1382" i="137"/>
  <c r="B573" i="137"/>
  <c r="B791" i="137"/>
  <c r="B975" i="137"/>
  <c r="B1169" i="137"/>
  <c r="B1333" i="137"/>
  <c r="B1467" i="137"/>
  <c r="B1574" i="137"/>
  <c r="B1610" i="137"/>
  <c r="B1640" i="137"/>
  <c r="B1659" i="137"/>
  <c r="B572" i="137"/>
  <c r="B790" i="137"/>
  <c r="B1004" i="137"/>
  <c r="B1168" i="137"/>
  <c r="B1332" i="137"/>
  <c r="B1466" i="137"/>
  <c r="B1573" i="137"/>
  <c r="B1609" i="137"/>
  <c r="B1639" i="137"/>
  <c r="B1658" i="137"/>
  <c r="B1486" i="137"/>
  <c r="B1487" i="137"/>
  <c r="B1488" i="137"/>
  <c r="B1536" i="137"/>
  <c r="B1537" i="137"/>
  <c r="B1538" i="137"/>
  <c r="B1531" i="137"/>
  <c r="B1433" i="137"/>
  <c r="B1324" i="137"/>
  <c r="B1161" i="137"/>
  <c r="B773" i="137"/>
  <c r="B558" i="137"/>
  <c r="B1160" i="137"/>
  <c r="B1323" i="137"/>
  <c r="B557" i="137"/>
  <c r="B772" i="137"/>
  <c r="B939" i="137"/>
  <c r="B1432" i="137"/>
  <c r="B902" i="137"/>
  <c r="B903" i="137"/>
  <c r="B1426" i="137"/>
  <c r="B1503" i="137"/>
  <c r="B500" i="137"/>
  <c r="B671" i="137"/>
  <c r="B901" i="137"/>
  <c r="B1092" i="137"/>
  <c r="B1254" i="137"/>
  <c r="B1552" i="137"/>
  <c r="B956" i="137"/>
  <c r="B732" i="137"/>
  <c r="B524" i="137"/>
  <c r="B535" i="137"/>
  <c r="B955" i="137"/>
  <c r="B1140" i="137"/>
  <c r="B523" i="137"/>
  <c r="B730" i="137"/>
  <c r="B1015" i="137"/>
  <c r="B1012" i="137"/>
  <c r="B1013" i="137"/>
  <c r="B1014" i="137"/>
  <c r="B1031" i="137"/>
  <c r="B1032" i="137"/>
  <c r="B1033" i="137"/>
  <c r="B1034" i="137"/>
  <c r="B1042" i="137"/>
  <c r="B1043" i="137"/>
  <c r="B1048" i="137"/>
  <c r="B1049" i="137"/>
  <c r="B1050" i="137"/>
  <c r="B1051" i="137"/>
  <c r="B1059" i="137"/>
  <c r="B1060" i="137"/>
  <c r="B1374" i="137"/>
  <c r="B1383" i="137"/>
  <c r="B1349" i="137"/>
  <c r="B1352" i="137"/>
  <c r="B1350" i="137"/>
  <c r="B1351" i="137"/>
  <c r="B1359" i="137"/>
  <c r="B1360" i="137"/>
  <c r="B1361" i="137"/>
  <c r="B1362" i="137"/>
  <c r="B1365" i="137"/>
  <c r="B1366" i="137"/>
  <c r="B1371" i="137"/>
  <c r="B1372" i="137"/>
  <c r="B1373" i="137"/>
  <c r="B1384" i="137"/>
  <c r="B1192" i="137"/>
  <c r="B1191" i="137"/>
  <c r="B1193" i="137"/>
  <c r="B1194" i="137"/>
  <c r="B1201" i="137"/>
  <c r="B1202" i="137"/>
  <c r="B1203" i="137"/>
  <c r="B1204" i="137"/>
  <c r="B1212" i="137"/>
  <c r="B1213" i="137"/>
  <c r="B1217" i="137"/>
  <c r="B1218" i="137"/>
  <c r="B1219" i="137"/>
  <c r="B1220" i="137"/>
  <c r="B1229" i="137"/>
  <c r="B1230" i="137"/>
  <c r="B844" i="137"/>
  <c r="B845" i="137"/>
  <c r="B846" i="137"/>
  <c r="B816" i="137"/>
  <c r="B817" i="137"/>
  <c r="B818" i="137"/>
  <c r="B819" i="137"/>
  <c r="B827" i="137"/>
  <c r="B828" i="137"/>
  <c r="B799" i="137"/>
  <c r="B800" i="137"/>
  <c r="B801" i="137"/>
  <c r="B802" i="137"/>
  <c r="B847" i="137"/>
  <c r="B877" i="137"/>
  <c r="B878" i="137"/>
  <c r="B775" i="137"/>
  <c r="B595" i="137"/>
  <c r="B592" i="137"/>
  <c r="B593" i="137"/>
  <c r="B594" i="137"/>
  <c r="B603" i="137"/>
  <c r="B604" i="137"/>
  <c r="B605" i="137"/>
  <c r="B606" i="137"/>
  <c r="B615" i="137"/>
  <c r="B616" i="137"/>
  <c r="B632" i="137"/>
  <c r="B629" i="137"/>
  <c r="B630" i="137"/>
  <c r="B631" i="137"/>
  <c r="B645" i="137"/>
  <c r="B646" i="137"/>
  <c r="B584" i="137"/>
  <c r="B432" i="137"/>
  <c r="B392" i="137"/>
  <c r="B401" i="137"/>
  <c r="B402" i="137"/>
  <c r="B403" i="137"/>
  <c r="B410" i="137"/>
  <c r="B411" i="137"/>
  <c r="B412" i="137"/>
  <c r="B413" i="137"/>
  <c r="B420" i="137"/>
  <c r="B421" i="137"/>
  <c r="B429" i="137"/>
  <c r="B430" i="137"/>
  <c r="B431" i="137"/>
  <c r="B445" i="137"/>
  <c r="B446" i="137"/>
  <c r="B1181" i="137"/>
  <c r="B1182" i="137"/>
  <c r="B1338" i="137"/>
  <c r="B1339" i="137"/>
  <c r="B583" i="137"/>
  <c r="B774" i="137"/>
  <c r="B991" i="137"/>
  <c r="B992" i="137"/>
  <c r="B1112" i="137"/>
  <c r="B1284" i="137"/>
  <c r="B984" i="137"/>
  <c r="B985" i="137"/>
  <c r="B986" i="137"/>
  <c r="B1175" i="137"/>
  <c r="B1176" i="137"/>
  <c r="B1177" i="137"/>
  <c r="B977" i="137"/>
  <c r="B978" i="137"/>
  <c r="B979" i="137"/>
  <c r="B1156" i="137"/>
  <c r="B1157" i="137"/>
  <c r="B1158" i="137"/>
  <c r="B969" i="137"/>
  <c r="B970" i="137"/>
  <c r="B971" i="137"/>
  <c r="B972" i="137"/>
  <c r="B1306" i="137"/>
  <c r="B963" i="137"/>
  <c r="B964" i="137"/>
  <c r="B965" i="137"/>
  <c r="B921" i="137"/>
  <c r="B922" i="137"/>
  <c r="B1282" i="137"/>
  <c r="B1283" i="137"/>
  <c r="B1111" i="137"/>
  <c r="B1285" i="137"/>
  <c r="B919" i="137"/>
  <c r="B920" i="137"/>
  <c r="B1325" i="137"/>
  <c r="B1326" i="137"/>
  <c r="B1327" i="137"/>
  <c r="B1319" i="137"/>
  <c r="B1320" i="137"/>
  <c r="B1321" i="137"/>
  <c r="B1315" i="137"/>
  <c r="B1316" i="137"/>
  <c r="B1317" i="137"/>
  <c r="B1318" i="137"/>
  <c r="B962" i="137"/>
  <c r="B1305" i="137"/>
  <c r="B1307" i="137"/>
  <c r="B1308" i="137"/>
  <c r="B1151" i="137"/>
  <c r="B1152" i="137"/>
  <c r="B1147" i="137"/>
  <c r="B1148" i="137"/>
  <c r="B1145" i="137"/>
  <c r="B1146" i="137"/>
  <c r="B1134" i="137"/>
  <c r="B1135" i="137"/>
  <c r="B1125" i="137"/>
  <c r="B1126" i="137"/>
  <c r="B1123" i="137"/>
  <c r="B1124" i="137"/>
  <c r="B552" i="137"/>
  <c r="B553" i="137"/>
  <c r="B554" i="137"/>
  <c r="B555" i="137"/>
  <c r="B545" i="137"/>
  <c r="B546" i="137"/>
  <c r="B547" i="137"/>
  <c r="B548" i="137"/>
  <c r="B578" i="137"/>
  <c r="B579" i="137"/>
  <c r="B580" i="137"/>
  <c r="B559" i="137"/>
  <c r="B560" i="137"/>
  <c r="B561" i="137"/>
  <c r="B765" i="137"/>
  <c r="B766" i="137"/>
  <c r="B756" i="137"/>
  <c r="B757" i="137"/>
  <c r="B758" i="137"/>
  <c r="B767" i="137"/>
  <c r="B747" i="137"/>
  <c r="B737" i="137"/>
  <c r="B738" i="137"/>
  <c r="B1464" i="137"/>
  <c r="B1465" i="137"/>
  <c r="B1435" i="137"/>
  <c r="B1445" i="137"/>
  <c r="B1449" i="137"/>
  <c r="B1453" i="137"/>
  <c r="B1399" i="137"/>
  <c r="B1434" i="137"/>
  <c r="B749" i="137"/>
  <c r="B750" i="137"/>
  <c r="B748" i="137"/>
  <c r="B739" i="137"/>
  <c r="B740" i="137"/>
  <c r="B712" i="137"/>
  <c r="B713" i="137"/>
  <c r="B714" i="137"/>
  <c r="B715" i="137"/>
  <c r="B700" i="137"/>
  <c r="B701" i="137"/>
  <c r="B1396" i="137"/>
  <c r="B1392" i="137"/>
  <c r="B1393" i="137"/>
  <c r="B1080" i="137"/>
  <c r="B1084" i="137"/>
  <c r="B1081" i="137"/>
  <c r="B1085" i="137"/>
  <c r="B1241" i="137"/>
  <c r="B1238" i="137"/>
  <c r="B1242" i="137"/>
  <c r="B1239" i="137"/>
  <c r="B1243" i="137"/>
  <c r="B1240" i="137"/>
  <c r="B1244" i="137"/>
  <c r="B1395" i="137"/>
  <c r="B422" i="137"/>
  <c r="B426" i="137"/>
  <c r="B423" i="137"/>
  <c r="B427" i="137"/>
  <c r="B424" i="137"/>
  <c r="B428" i="137"/>
  <c r="B425" i="137"/>
  <c r="B658" i="137"/>
  <c r="B655" i="137"/>
  <c r="B659" i="137"/>
  <c r="B656" i="137"/>
  <c r="B660" i="137"/>
  <c r="B657" i="137"/>
  <c r="B661" i="137"/>
  <c r="B860" i="137"/>
  <c r="B857" i="137"/>
  <c r="B861" i="137"/>
  <c r="B858" i="137"/>
  <c r="B862" i="137"/>
  <c r="B859" i="137"/>
  <c r="B863" i="137"/>
  <c r="B1082" i="137"/>
  <c r="B1079" i="137"/>
  <c r="B1083" i="137"/>
  <c r="B1397" i="137"/>
  <c r="B1394" i="137"/>
  <c r="B1398" i="137"/>
  <c r="B220" i="137"/>
  <c r="B1674" i="137"/>
  <c r="B1668" i="137"/>
  <c r="B1657" i="137"/>
  <c r="B1644" i="137"/>
  <c r="B1608" i="137"/>
  <c r="B1579" i="137"/>
  <c r="B1530" i="137"/>
  <c r="B1484" i="137"/>
  <c r="B1364" i="137"/>
  <c r="B1211" i="137"/>
  <c r="B841" i="137"/>
  <c r="B1016" i="137"/>
  <c r="B1017" i="137"/>
  <c r="B1210" i="137"/>
  <c r="B1363" i="137"/>
  <c r="B1483" i="137"/>
  <c r="B1529" i="137"/>
  <c r="B1578" i="137"/>
  <c r="B1607" i="137"/>
  <c r="B1643" i="137"/>
  <c r="B1656" i="137"/>
  <c r="B1667" i="137"/>
  <c r="B1673" i="137"/>
  <c r="B1677" i="137"/>
  <c r="B1678" i="137"/>
  <c r="B613" i="137"/>
  <c r="B614" i="137"/>
  <c r="B840" i="137"/>
  <c r="B388" i="137"/>
  <c r="B1569" i="137"/>
  <c r="B1576" i="137"/>
  <c r="B1577" i="137"/>
  <c r="B1581" i="137"/>
  <c r="B1582" i="137"/>
  <c r="B1605" i="137"/>
  <c r="B1606" i="137"/>
  <c r="B1612" i="137"/>
  <c r="B1613" i="137"/>
  <c r="B1617" i="137"/>
  <c r="B1618" i="137"/>
  <c r="B1635" i="137"/>
  <c r="B1636" i="137"/>
  <c r="B1641" i="137"/>
  <c r="B1568" i="137"/>
  <c r="B1642" i="137"/>
  <c r="B1645" i="137"/>
  <c r="B1646" i="137"/>
  <c r="B1526" i="137"/>
  <c r="B1532" i="137"/>
  <c r="B1533" i="137"/>
  <c r="B1540" i="137"/>
  <c r="B1541" i="137"/>
  <c r="B634" i="137"/>
  <c r="B633" i="137"/>
  <c r="B582" i="137"/>
  <c r="B581" i="137"/>
  <c r="B534" i="137"/>
  <c r="B533" i="137"/>
  <c r="B741" i="137"/>
  <c r="B742" i="137"/>
  <c r="B806" i="137"/>
  <c r="B807" i="137"/>
  <c r="B850" i="137"/>
  <c r="B851" i="137"/>
  <c r="B966" i="137"/>
  <c r="B967" i="137"/>
  <c r="B1018" i="137"/>
  <c r="B1019" i="137"/>
  <c r="B1066" i="137"/>
  <c r="B1067" i="137"/>
  <c r="B1149" i="137"/>
  <c r="B1150" i="137"/>
  <c r="B1179" i="137"/>
  <c r="B1180" i="137"/>
  <c r="B1221" i="137"/>
  <c r="B1222" i="137"/>
  <c r="B1309" i="137"/>
  <c r="B1310" i="137"/>
  <c r="B1340" i="137"/>
  <c r="B1341" i="137"/>
  <c r="B1375" i="137"/>
  <c r="B1376" i="137"/>
  <c r="B1446" i="137"/>
  <c r="B447" i="137"/>
  <c r="B1447" i="137"/>
  <c r="B1471" i="137"/>
  <c r="B1472" i="137"/>
  <c r="B1492" i="137"/>
  <c r="B1493" i="137"/>
  <c r="B1525" i="137"/>
  <c r="B448" i="137"/>
  <c r="B405" i="137"/>
  <c r="B406" i="137"/>
  <c r="B449" i="137"/>
  <c r="B639" i="137"/>
  <c r="B1647" i="137"/>
  <c r="B1661" i="137"/>
  <c r="B1224" i="137"/>
  <c r="B1410" i="137"/>
  <c r="B1495" i="137"/>
  <c r="B1542" i="137"/>
  <c r="B1591" i="137"/>
  <c r="B299" i="137"/>
  <c r="B638" i="137"/>
  <c r="B1068" i="137"/>
  <c r="B1619" i="137"/>
  <c r="B789" i="137"/>
  <c r="B1167" i="137"/>
  <c r="B346" i="137"/>
  <c r="B1462" i="137"/>
  <c r="B1457" i="137"/>
  <c r="B477" i="137"/>
  <c r="B562" i="137"/>
  <c r="B380" i="137"/>
  <c r="B374" i="137"/>
  <c r="B375" i="137"/>
  <c r="B389" i="137"/>
  <c r="B381" i="137"/>
  <c r="B372" i="137"/>
  <c r="B373" i="137"/>
  <c r="B377" i="137"/>
  <c r="B378" i="137"/>
  <c r="B376" i="137"/>
  <c r="B379" i="137"/>
  <c r="B382" i="137"/>
  <c r="B383" i="137"/>
  <c r="B362" i="137"/>
  <c r="B359" i="137"/>
  <c r="B361" i="137"/>
  <c r="B347" i="137"/>
  <c r="B399" i="137"/>
  <c r="B829" i="137"/>
  <c r="B865" i="137"/>
  <c r="B866" i="137"/>
  <c r="B882" i="137"/>
  <c r="B883" i="137"/>
  <c r="B898" i="137"/>
  <c r="B1162" i="137"/>
  <c r="B404" i="137"/>
  <c r="B476" i="137"/>
  <c r="B400" i="137"/>
  <c r="B1184" i="137"/>
  <c r="B1257" i="137"/>
  <c r="B385" i="137"/>
  <c r="B386" i="137"/>
  <c r="B387" i="137"/>
  <c r="B384" i="137"/>
  <c r="B371" i="137"/>
  <c r="B351" i="137"/>
  <c r="B354" i="137"/>
  <c r="B355" i="137"/>
  <c r="B390" i="137"/>
  <c r="B366" i="137"/>
  <c r="B367" i="137"/>
  <c r="B368" i="137"/>
  <c r="B369" i="137"/>
  <c r="B370" i="137"/>
  <c r="B391" i="137"/>
  <c r="B357" i="137"/>
  <c r="B358" i="137"/>
  <c r="B363" i="137"/>
  <c r="B364" i="137"/>
  <c r="B307" i="137"/>
  <c r="B1438" i="137"/>
  <c r="B348" i="137"/>
  <c r="B349" i="137"/>
  <c r="B350" i="137"/>
  <c r="B879" i="137"/>
  <c r="B352" i="137"/>
  <c r="B353" i="137"/>
  <c r="B356" i="137"/>
  <c r="B365" i="137"/>
  <c r="B326" i="137"/>
  <c r="B327" i="137"/>
  <c r="B323" i="137"/>
  <c r="B314" i="137"/>
  <c r="B313" i="137"/>
  <c r="B312" i="137"/>
  <c r="B308" i="137"/>
  <c r="B309" i="137"/>
  <c r="B310" i="137"/>
  <c r="B311" i="137"/>
  <c r="B318" i="137"/>
  <c r="B319" i="137"/>
  <c r="B320" i="137"/>
  <c r="B322" i="137"/>
  <c r="B324" i="137"/>
  <c r="B315" i="137"/>
  <c r="B316" i="137"/>
  <c r="B317" i="137"/>
  <c r="B321" i="137"/>
  <c r="B325" i="137"/>
  <c r="B295" i="137"/>
  <c r="B296" i="137"/>
  <c r="B235" i="137"/>
  <c r="B236" i="137"/>
  <c r="B237" i="137"/>
  <c r="B234" i="137"/>
  <c r="B254" i="137"/>
  <c r="B255" i="137"/>
  <c r="B256" i="137"/>
  <c r="B269" i="137"/>
  <c r="B270" i="137"/>
  <c r="B271" i="137"/>
  <c r="B304" i="137"/>
  <c r="B303" i="137"/>
  <c r="B305" i="137"/>
  <c r="B306" i="137"/>
  <c r="B340" i="137"/>
  <c r="B339" i="137"/>
  <c r="B341" i="137"/>
  <c r="B342" i="137"/>
  <c r="B300" i="137"/>
  <c r="B301" i="137"/>
  <c r="B302" i="137"/>
  <c r="B419" i="137"/>
  <c r="B856" i="137"/>
  <c r="B1090" i="137"/>
  <c r="B1091" i="137"/>
  <c r="B1235" i="137"/>
  <c r="B1236" i="137"/>
  <c r="B1390" i="137"/>
  <c r="B1391" i="137"/>
  <c r="B1478" i="137"/>
  <c r="B1479" i="137"/>
  <c r="B1545" i="137"/>
  <c r="B1546" i="137"/>
  <c r="B1584" i="137"/>
  <c r="B1585" i="137"/>
  <c r="B1615" i="137"/>
  <c r="B1616" i="137"/>
  <c r="B855" i="137"/>
  <c r="B1649" i="137"/>
  <c r="B652" i="137"/>
  <c r="B653" i="137"/>
  <c r="B418" i="137"/>
  <c r="B292" i="137"/>
  <c r="B294" i="137"/>
  <c r="B457" i="137"/>
  <c r="B654" i="137"/>
  <c r="B836" i="137"/>
  <c r="B1069" i="137"/>
  <c r="B1237" i="137"/>
  <c r="B1405" i="137"/>
  <c r="B1174" i="137"/>
  <c r="B1439" i="137"/>
  <c r="B1575" i="137"/>
  <c r="B797" i="137"/>
  <c r="B438" i="137"/>
  <c r="B648" i="137"/>
  <c r="B849" i="137"/>
  <c r="B1087" i="137"/>
  <c r="B1232" i="137"/>
  <c r="B1386" i="137"/>
  <c r="B1086" i="137"/>
  <c r="B1231" i="137"/>
  <c r="B437" i="137"/>
  <c r="B647" i="137"/>
  <c r="B848" i="137"/>
  <c r="B1385" i="137"/>
  <c r="B1463" i="137"/>
  <c r="B1535" i="137"/>
  <c r="B1580" i="137"/>
  <c r="B1611" i="137"/>
  <c r="B556" i="137"/>
  <c r="B771" i="137"/>
  <c r="B1070" i="137"/>
  <c r="B1159" i="137"/>
  <c r="B1322" i="137"/>
  <c r="B1485" i="137"/>
  <c r="B1534" i="137"/>
  <c r="B1431" i="137"/>
  <c r="B1528" i="137"/>
  <c r="B796" i="137"/>
  <c r="B182" i="137"/>
  <c r="B1233" i="137"/>
  <c r="B1388" i="137"/>
  <c r="B1477" i="137"/>
  <c r="B416" i="137"/>
  <c r="B650" i="137"/>
  <c r="B853" i="137"/>
  <c r="B854" i="137"/>
  <c r="B1089" i="137"/>
  <c r="B1234" i="137"/>
  <c r="B651" i="137"/>
  <c r="B417" i="137"/>
  <c r="B1088" i="137"/>
  <c r="B1544" i="137"/>
  <c r="B1389" i="137"/>
  <c r="B132" i="137"/>
  <c r="B213" i="137"/>
  <c r="B227" i="137"/>
  <c r="B226" i="137"/>
  <c r="B211" i="137"/>
  <c r="B232" i="137"/>
  <c r="B192" i="137"/>
  <c r="B155" i="137"/>
  <c r="B1404" i="137"/>
  <c r="B1251" i="137"/>
  <c r="B435" i="137"/>
  <c r="B436" i="137"/>
  <c r="B621" i="137"/>
  <c r="B622" i="137"/>
  <c r="B867" i="137"/>
  <c r="B868" i="137"/>
  <c r="B1403" i="137"/>
  <c r="B1250" i="137"/>
  <c r="B1054" i="137"/>
  <c r="B1055" i="137"/>
  <c r="B433" i="137"/>
  <c r="B434" i="137"/>
  <c r="B667" i="137"/>
  <c r="B668" i="137"/>
  <c r="B869" i="137"/>
  <c r="B870" i="137"/>
  <c r="B1052" i="137"/>
  <c r="B1053" i="137"/>
  <c r="B1252" i="137"/>
  <c r="B1253" i="137"/>
  <c r="B1401" i="137"/>
  <c r="B1402" i="137"/>
  <c r="B184" i="137"/>
  <c r="B183" i="137"/>
  <c r="B181" i="137"/>
  <c r="B394" i="137"/>
  <c r="B395" i="137"/>
  <c r="B396" i="137"/>
  <c r="B566" i="137"/>
  <c r="B567" i="137"/>
  <c r="B568" i="137"/>
  <c r="B569" i="137"/>
  <c r="B830" i="137"/>
  <c r="B831" i="137"/>
  <c r="B832" i="137"/>
  <c r="B393" i="137"/>
  <c r="B833" i="137"/>
  <c r="B620" i="137"/>
  <c r="B1000" i="137"/>
  <c r="B1367" i="137"/>
  <c r="B397" i="137"/>
  <c r="B398" i="137"/>
  <c r="B570" i="137"/>
  <c r="B571" i="137"/>
  <c r="B871" i="137"/>
  <c r="B872" i="137"/>
  <c r="B343" i="137"/>
  <c r="B344" i="137"/>
  <c r="B345" i="137"/>
  <c r="B617" i="137"/>
  <c r="B618" i="137"/>
  <c r="B619" i="137"/>
  <c r="B786" i="137"/>
  <c r="B787" i="137"/>
  <c r="B788" i="137"/>
  <c r="B129" i="137"/>
  <c r="B128" i="137"/>
  <c r="B127" i="137"/>
  <c r="B1164" i="137"/>
  <c r="B1165" i="137"/>
  <c r="B951" i="137"/>
  <c r="B952" i="137"/>
  <c r="B333" i="137"/>
  <c r="B334" i="137"/>
  <c r="B335" i="137"/>
  <c r="B336" i="137"/>
  <c r="B328" i="137"/>
  <c r="B329" i="137"/>
  <c r="B330" i="137"/>
  <c r="B519" i="137"/>
  <c r="B520" i="137"/>
  <c r="B521" i="137"/>
  <c r="B522" i="137"/>
  <c r="B563" i="137"/>
  <c r="B564" i="137"/>
  <c r="B565" i="137"/>
  <c r="B782" i="137"/>
  <c r="B783" i="137"/>
  <c r="B784" i="137"/>
  <c r="B785" i="137"/>
  <c r="B779" i="137"/>
  <c r="B780" i="137"/>
  <c r="B781" i="137"/>
  <c r="B950" i="137"/>
  <c r="B1163" i="137"/>
  <c r="B1328" i="137"/>
  <c r="B1329" i="137"/>
  <c r="B1330" i="137"/>
  <c r="B1137" i="137"/>
  <c r="B1298" i="137"/>
  <c r="B337" i="137"/>
  <c r="B470" i="137"/>
  <c r="B724" i="137"/>
  <c r="B892" i="137"/>
  <c r="B288" i="137"/>
  <c r="B289" i="137"/>
  <c r="B290" i="137"/>
  <c r="B291" i="137"/>
  <c r="B472" i="137"/>
  <c r="B473" i="137"/>
  <c r="B474" i="137"/>
  <c r="B475" i="137"/>
  <c r="B726" i="137"/>
  <c r="B727" i="137"/>
  <c r="B728" i="137"/>
  <c r="B729" i="137"/>
  <c r="B338" i="137"/>
  <c r="B471" i="137"/>
  <c r="B725" i="137"/>
  <c r="B893" i="137"/>
  <c r="B1138" i="137"/>
  <c r="B1299" i="137"/>
  <c r="B461" i="137"/>
  <c r="B716" i="137"/>
  <c r="B884" i="137"/>
  <c r="B57" i="137"/>
  <c r="B722" i="137"/>
  <c r="B723" i="137"/>
  <c r="B331" i="137"/>
  <c r="B332" i="137"/>
  <c r="B284" i="137"/>
  <c r="B285" i="137"/>
  <c r="B286" i="137"/>
  <c r="B287" i="137"/>
  <c r="B464" i="137"/>
  <c r="B465" i="137"/>
  <c r="B466" i="137"/>
  <c r="B467" i="137"/>
  <c r="B468" i="137"/>
  <c r="B469" i="137"/>
  <c r="B718" i="137"/>
  <c r="B719" i="137"/>
  <c r="B720" i="137"/>
  <c r="B721" i="137"/>
  <c r="B58" i="137"/>
  <c r="G2" i="137"/>
  <c r="B1565" i="137"/>
  <c r="B4" i="137"/>
  <c r="B5" i="137"/>
  <c r="B242" i="137"/>
  <c r="B482" i="137"/>
  <c r="B669" i="137"/>
  <c r="B899" i="137"/>
  <c r="B7" i="137"/>
  <c r="B244" i="137"/>
  <c r="B6" i="137"/>
  <c r="B243" i="137"/>
  <c r="B483" i="137"/>
  <c r="B670" i="137"/>
  <c r="B900" i="137"/>
  <c r="B8" i="137"/>
  <c r="B9" i="137"/>
  <c r="B10" i="137"/>
  <c r="B246" i="137"/>
  <c r="B247" i="137"/>
  <c r="B501" i="137"/>
  <c r="B502" i="137"/>
  <c r="B672" i="137"/>
  <c r="B673" i="137"/>
  <c r="B1093" i="137"/>
  <c r="B1094" i="137"/>
  <c r="B1255" i="137"/>
  <c r="B1256" i="137"/>
  <c r="B1504" i="137"/>
  <c r="B1505" i="137"/>
  <c r="B1553" i="137"/>
  <c r="B1554" i="137"/>
  <c r="B250" i="137"/>
  <c r="B251" i="137"/>
  <c r="B674" i="137"/>
  <c r="B675" i="137"/>
  <c r="B1095" i="137"/>
  <c r="B1096" i="137"/>
  <c r="B252" i="137"/>
  <c r="B253" i="137"/>
  <c r="B676" i="137"/>
  <c r="B677" i="137"/>
  <c r="B1097" i="137"/>
  <c r="B1098" i="137"/>
  <c r="B265" i="137"/>
  <c r="B266" i="137"/>
  <c r="B678" i="137"/>
  <c r="B679" i="137"/>
  <c r="B1099" i="137"/>
  <c r="B1100" i="137"/>
  <c r="B267" i="137"/>
  <c r="B268" i="137"/>
  <c r="B680" i="137"/>
  <c r="B681" i="137"/>
  <c r="B1101" i="137"/>
  <c r="B1102" i="137"/>
  <c r="B282" i="137"/>
  <c r="B283" i="137"/>
  <c r="B690" i="137"/>
  <c r="B691" i="137"/>
  <c r="B1113" i="137"/>
  <c r="B1114" i="137"/>
  <c r="B11" i="137"/>
  <c r="B12" i="137"/>
  <c r="B488" i="137"/>
  <c r="B489" i="137"/>
  <c r="B904" i="137"/>
  <c r="B905" i="137"/>
  <c r="B1258" i="137"/>
  <c r="B1259" i="137"/>
  <c r="B13" i="137"/>
  <c r="B14" i="137"/>
  <c r="B490" i="137"/>
  <c r="B491" i="137"/>
  <c r="B906" i="137"/>
  <c r="B907" i="137"/>
  <c r="B1260" i="137"/>
  <c r="B1261" i="137"/>
  <c r="B15" i="137"/>
  <c r="B16" i="137"/>
  <c r="B503" i="137"/>
  <c r="B504" i="137"/>
  <c r="B908" i="137"/>
  <c r="B909" i="137"/>
  <c r="B1270" i="137"/>
  <c r="B1271" i="137"/>
  <c r="B17" i="137"/>
  <c r="B18" i="137"/>
  <c r="B505" i="137"/>
  <c r="B506" i="137"/>
  <c r="B910" i="137"/>
  <c r="B911" i="137"/>
  <c r="B1272" i="137"/>
  <c r="B1273" i="137"/>
  <c r="B19" i="137"/>
  <c r="B28" i="137"/>
  <c r="B29" i="137"/>
  <c r="B280" i="137"/>
  <c r="B281" i="137"/>
  <c r="B515" i="137"/>
  <c r="B516" i="137"/>
  <c r="B688" i="137"/>
  <c r="B689" i="137"/>
  <c r="B30" i="137"/>
  <c r="B31" i="137"/>
  <c r="B297" i="137"/>
  <c r="B298" i="137"/>
  <c r="B517" i="137"/>
  <c r="B518" i="137"/>
  <c r="B702" i="137"/>
  <c r="B703" i="137"/>
  <c r="B20" i="137"/>
  <c r="B21" i="137"/>
  <c r="B22" i="137"/>
  <c r="B23" i="137"/>
  <c r="B238" i="137"/>
  <c r="B239" i="137"/>
  <c r="B240" i="137"/>
  <c r="B241" i="137"/>
  <c r="B24" i="137"/>
  <c r="B26" i="137"/>
  <c r="B248" i="137"/>
  <c r="B27" i="137"/>
  <c r="B249" i="137"/>
  <c r="B25" i="137"/>
  <c r="B245" i="137"/>
  <c r="B485" i="137"/>
  <c r="B687" i="137"/>
  <c r="B1109" i="137"/>
  <c r="B1268" i="137"/>
  <c r="B1416" i="137"/>
  <c r="B1511" i="137"/>
  <c r="B32" i="137"/>
  <c r="B33" i="137"/>
  <c r="B34" i="137"/>
  <c r="B35" i="137"/>
  <c r="B36" i="137"/>
  <c r="B258" i="137"/>
  <c r="B259" i="137"/>
  <c r="B260" i="137"/>
  <c r="B261" i="137"/>
  <c r="B496" i="137"/>
  <c r="B696" i="137"/>
  <c r="B927" i="137"/>
  <c r="B1119" i="137"/>
  <c r="B1278" i="137"/>
  <c r="B1422" i="137"/>
  <c r="B1517" i="137"/>
  <c r="B1602" i="137"/>
  <c r="B1633" i="137"/>
  <c r="B37" i="137"/>
  <c r="B38" i="137"/>
  <c r="B39" i="137"/>
  <c r="B262" i="137"/>
  <c r="B263" i="137"/>
  <c r="B264" i="137"/>
  <c r="B497" i="137"/>
  <c r="B498" i="137"/>
  <c r="B499" i="137"/>
  <c r="B697" i="137"/>
  <c r="B698" i="137"/>
  <c r="B699" i="137"/>
  <c r="B928" i="137"/>
  <c r="B929" i="137"/>
  <c r="B930" i="137"/>
  <c r="B1120" i="137"/>
  <c r="B1121" i="137"/>
  <c r="B1122" i="137"/>
  <c r="B1279" i="137"/>
  <c r="B1280" i="137"/>
  <c r="B1281" i="137"/>
  <c r="B40" i="137"/>
  <c r="B41" i="137"/>
  <c r="B42" i="137"/>
  <c r="B43" i="137"/>
  <c r="B44" i="137"/>
  <c r="B529" i="137"/>
  <c r="B530" i="137"/>
  <c r="B531" i="137"/>
  <c r="B532" i="137"/>
  <c r="B931" i="137"/>
  <c r="B932" i="137"/>
  <c r="B933" i="137"/>
  <c r="B934" i="137"/>
  <c r="B1293" i="137"/>
  <c r="B1294" i="137"/>
  <c r="B1295" i="137"/>
  <c r="B1296" i="137"/>
  <c r="B45" i="137"/>
  <c r="B46" i="137"/>
  <c r="B47" i="137"/>
  <c r="B48" i="137"/>
  <c r="B272" i="137"/>
  <c r="B273" i="137"/>
  <c r="B274" i="137"/>
  <c r="B507" i="137"/>
  <c r="B508" i="137"/>
  <c r="B509" i="137"/>
  <c r="B704" i="137"/>
  <c r="B705" i="137"/>
  <c r="B706" i="137"/>
  <c r="B935" i="137"/>
  <c r="B936" i="137"/>
  <c r="B937" i="137"/>
  <c r="B1127" i="137"/>
  <c r="B1128" i="137"/>
  <c r="B1129" i="137"/>
  <c r="B1286" i="137"/>
  <c r="B1287" i="137"/>
  <c r="B1288" i="137"/>
  <c r="B49" i="137"/>
  <c r="B275" i="137"/>
  <c r="B510" i="137"/>
  <c r="B52" i="137"/>
  <c r="B53" i="137"/>
  <c r="B278" i="137"/>
  <c r="B279" i="137"/>
  <c r="B513" i="137"/>
  <c r="B514" i="137"/>
  <c r="B710" i="137"/>
  <c r="B711" i="137"/>
  <c r="B941" i="137"/>
  <c r="B942" i="137"/>
  <c r="B1132" i="137"/>
  <c r="B1133" i="137"/>
  <c r="B1291" i="137"/>
  <c r="B1292" i="137"/>
  <c r="B1423" i="137"/>
  <c r="B1424" i="137"/>
  <c r="B1518" i="137"/>
  <c r="B1519" i="137"/>
  <c r="B50" i="137"/>
  <c r="B51" i="137"/>
  <c r="B276" i="137"/>
  <c r="B277" i="137"/>
  <c r="B511" i="137"/>
  <c r="B512" i="137"/>
  <c r="B708" i="137"/>
  <c r="B709" i="137"/>
  <c r="B940" i="137"/>
  <c r="B945" i="137"/>
  <c r="B1130" i="137"/>
  <c r="B1131" i="137"/>
  <c r="B1289" i="137"/>
  <c r="B1290" i="137"/>
  <c r="B54" i="137"/>
  <c r="B55" i="137"/>
  <c r="B537" i="137"/>
  <c r="B538" i="137"/>
  <c r="B943" i="137"/>
  <c r="B944" i="137"/>
  <c r="B1311" i="137"/>
  <c r="B1312" i="137"/>
  <c r="B59" i="137"/>
  <c r="B60" i="137"/>
  <c r="B61" i="137"/>
  <c r="B62" i="137"/>
  <c r="B63" i="137"/>
  <c r="B56" i="137"/>
  <c r="B66" i="137"/>
  <c r="B67" i="137"/>
  <c r="B68" i="137"/>
  <c r="B69" i="137"/>
  <c r="B65" i="137"/>
  <c r="B64" i="137"/>
  <c r="B71" i="137"/>
  <c r="B70" i="137"/>
  <c r="B72" i="137"/>
  <c r="B73" i="137"/>
  <c r="B74" i="137"/>
  <c r="B75" i="137"/>
  <c r="B76" i="137"/>
  <c r="B77" i="137"/>
  <c r="B78" i="137"/>
  <c r="B79" i="137"/>
  <c r="B80" i="137"/>
  <c r="B81" i="137"/>
  <c r="B87" i="137"/>
  <c r="B82" i="137"/>
  <c r="B83" i="137"/>
  <c r="B84" i="137"/>
  <c r="B85" i="137"/>
  <c r="B86" i="137"/>
  <c r="B88" i="137"/>
  <c r="B89" i="137"/>
  <c r="B90" i="137"/>
  <c r="B91" i="137"/>
  <c r="B92" i="137"/>
  <c r="B93" i="137"/>
  <c r="B94" i="137"/>
  <c r="B95" i="137"/>
  <c r="B96" i="137"/>
  <c r="B97" i="137"/>
  <c r="B98" i="137"/>
  <c r="B99" i="137"/>
  <c r="B100" i="137"/>
  <c r="B101" i="137"/>
  <c r="B102" i="137"/>
  <c r="B103" i="137"/>
  <c r="B104" i="137"/>
  <c r="B105" i="137"/>
  <c r="B106" i="137"/>
  <c r="B107" i="137"/>
  <c r="B108" i="137"/>
  <c r="B111" i="137"/>
  <c r="B112" i="137"/>
  <c r="B109" i="137"/>
  <c r="B110" i="137"/>
  <c r="B113" i="137"/>
  <c r="B116" i="137"/>
  <c r="B114" i="137"/>
  <c r="B115" i="137"/>
  <c r="B118" i="137"/>
  <c r="B119" i="137"/>
  <c r="B117" i="137"/>
  <c r="B123" i="137"/>
  <c r="B124" i="137"/>
  <c r="B125" i="137"/>
  <c r="B126" i="137"/>
  <c r="B120" i="137"/>
  <c r="B121" i="137"/>
  <c r="B122" i="137"/>
  <c r="B131" i="137"/>
  <c r="B133" i="137"/>
  <c r="B130" i="137"/>
  <c r="B134" i="137"/>
  <c r="B135" i="137"/>
  <c r="B136" i="137"/>
  <c r="B137" i="137"/>
  <c r="B139" i="137"/>
  <c r="B140" i="137"/>
  <c r="B138" i="137"/>
  <c r="B143" i="137"/>
  <c r="B141" i="137"/>
  <c r="B142" i="137"/>
  <c r="B144" i="137"/>
  <c r="B145" i="137"/>
  <c r="B146" i="137"/>
  <c r="B147" i="137"/>
  <c r="B148" i="137"/>
  <c r="B149" i="137"/>
  <c r="B150" i="137"/>
  <c r="B151" i="137"/>
  <c r="B152" i="137"/>
  <c r="B153" i="137"/>
  <c r="B154" i="137"/>
  <c r="B156" i="137"/>
  <c r="B157" i="137"/>
  <c r="B158" i="137"/>
  <c r="B159" i="137"/>
  <c r="B160" i="137"/>
  <c r="B161" i="137"/>
  <c r="B162" i="137"/>
  <c r="B163" i="137"/>
  <c r="B164" i="137"/>
  <c r="B165" i="137"/>
  <c r="B166" i="137"/>
  <c r="B169" i="137"/>
  <c r="B167" i="137"/>
  <c r="B168" i="137"/>
  <c r="B170" i="137"/>
  <c r="B171" i="137"/>
  <c r="B172" i="137"/>
  <c r="B173" i="137"/>
  <c r="B174" i="137"/>
  <c r="B175" i="137"/>
  <c r="B176" i="137"/>
  <c r="B177" i="137"/>
  <c r="B178" i="137"/>
  <c r="B179" i="137"/>
  <c r="B180" i="137"/>
  <c r="B185" i="137"/>
  <c r="B186" i="137"/>
  <c r="B187" i="137"/>
  <c r="B188" i="137"/>
  <c r="B189" i="137"/>
  <c r="B190" i="137"/>
  <c r="B191" i="137"/>
  <c r="B193" i="137"/>
  <c r="B194" i="137"/>
  <c r="B195" i="137"/>
  <c r="B196" i="137"/>
  <c r="B197" i="137"/>
  <c r="B198" i="137"/>
  <c r="B201" i="137"/>
  <c r="B200" i="137"/>
  <c r="B199" i="137"/>
  <c r="B203" i="137"/>
  <c r="B202" i="137"/>
  <c r="B205" i="137"/>
  <c r="B204" i="137"/>
  <c r="B208" i="137"/>
  <c r="B207" i="137"/>
  <c r="B206" i="137"/>
  <c r="B209" i="137"/>
  <c r="B210" i="137"/>
  <c r="B212" i="137"/>
  <c r="B217" i="137"/>
  <c r="B214" i="137"/>
  <c r="B218" i="137"/>
  <c r="B215" i="137"/>
  <c r="B219" i="137"/>
  <c r="B216" i="137"/>
  <c r="B221" i="137"/>
  <c r="B222" i="137"/>
  <c r="B223" i="137"/>
  <c r="B224" i="137"/>
  <c r="B225" i="137"/>
  <c r="B228" i="137"/>
  <c r="B229" i="137"/>
  <c r="B230" i="137"/>
  <c r="B231" i="137"/>
  <c r="B233" i="137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B59BFCF-6354-4406-B297-007DFF23FF67}" keepAlive="1" name="Query - Table13" description="Connection to the 'Table13' query in the workbook." type="5" refreshedVersion="0" background="1" saveData="1">
    <dbPr connection="Provider=Microsoft.Mashup.OleDb.1;Data Source=$Workbook$;Location=Table13;Extended Properties=&quot;&quot;" command="SELECT * FROM [Table13]"/>
  </connection>
</connections>
</file>

<file path=xl/sharedStrings.xml><?xml version="1.0" encoding="utf-8"?>
<sst xmlns="http://schemas.openxmlformats.org/spreadsheetml/2006/main" count="14369" uniqueCount="362">
  <si>
    <t>Planning of Monthly Service Schedule for Contracted Units</t>
  </si>
  <si>
    <t>Total</t>
  </si>
  <si>
    <t>Date</t>
  </si>
  <si>
    <t>Day</t>
  </si>
  <si>
    <t>Team</t>
  </si>
  <si>
    <t>Project Name</t>
  </si>
  <si>
    <t>Lift No.</t>
  </si>
  <si>
    <t>Model</t>
  </si>
  <si>
    <t>Units</t>
  </si>
  <si>
    <t>Stop</t>
  </si>
  <si>
    <t>Work Pattern</t>
  </si>
  <si>
    <t>Time</t>
  </si>
  <si>
    <t>Work Instruction</t>
  </si>
  <si>
    <t>Planning</t>
  </si>
  <si>
    <t>A</t>
  </si>
  <si>
    <t>Standby</t>
  </si>
  <si>
    <t>B</t>
  </si>
  <si>
    <t>52 th Street</t>
  </si>
  <si>
    <t>PL1</t>
  </si>
  <si>
    <t>ELV</t>
  </si>
  <si>
    <t>Abidhama Hall</t>
  </si>
  <si>
    <t>PL2</t>
  </si>
  <si>
    <t>U Sai Sam Residence</t>
  </si>
  <si>
    <t>C</t>
  </si>
  <si>
    <t>Earth Force Dragon</t>
  </si>
  <si>
    <t xml:space="preserve">MBA </t>
  </si>
  <si>
    <t>D</t>
  </si>
  <si>
    <t>Star City-City Loft Project (CL-6)</t>
  </si>
  <si>
    <t>FL1</t>
  </si>
  <si>
    <t>Star City-City Loft Project (CL-7)</t>
  </si>
  <si>
    <t>Star City-City Loft Project (CL-8)</t>
  </si>
  <si>
    <t>Star City-City Loft Project (CL-9)</t>
  </si>
  <si>
    <t>Meeting</t>
  </si>
  <si>
    <t>YKK Golden Hill Tower</t>
  </si>
  <si>
    <t>PL7</t>
  </si>
  <si>
    <t>FL3</t>
  </si>
  <si>
    <t>Ma Po</t>
  </si>
  <si>
    <t>MCPTC</t>
  </si>
  <si>
    <t>Thapyay Nyo Project</t>
  </si>
  <si>
    <t>Star City-City Loft Project (CL-10)</t>
  </si>
  <si>
    <t>Star City-City Loft Project (CL-11)</t>
  </si>
  <si>
    <t>PL4</t>
  </si>
  <si>
    <t>PL5</t>
  </si>
  <si>
    <t>PL8</t>
  </si>
  <si>
    <t>FL6</t>
  </si>
  <si>
    <t>PL Gym</t>
  </si>
  <si>
    <t>Sakura Residence ( 2 )</t>
  </si>
  <si>
    <t>SL1</t>
  </si>
  <si>
    <t>Star City A-4</t>
  </si>
  <si>
    <t>PL3</t>
  </si>
  <si>
    <t>Mandarin Hotel,Fully Light Hotel</t>
  </si>
  <si>
    <t>Myanmar Kaido Office</t>
  </si>
  <si>
    <t>PME WareHouse(San Kaung Factory)</t>
  </si>
  <si>
    <t>SL2</t>
  </si>
  <si>
    <t>Super One Shopping Mall</t>
  </si>
  <si>
    <t>Star City A-5</t>
  </si>
  <si>
    <t>Asia World Office</t>
  </si>
  <si>
    <t>Uniteam Training Office</t>
  </si>
  <si>
    <t>Sule Square</t>
  </si>
  <si>
    <t>ESC1</t>
  </si>
  <si>
    <t>ESC</t>
  </si>
  <si>
    <t>ESC2</t>
  </si>
  <si>
    <t>Peace Myanmar Electric Holding Co., Ltd. (UKMM)</t>
  </si>
  <si>
    <t>Sakura Tower</t>
  </si>
  <si>
    <t>PL6</t>
  </si>
  <si>
    <t>Ko Min Ko Chin Yeik Thar Street(Dr-A)</t>
  </si>
  <si>
    <t>Phoe Sein Road</t>
  </si>
  <si>
    <t>Popular Plastic</t>
  </si>
  <si>
    <t>Zealax</t>
  </si>
  <si>
    <t>Star City B-4</t>
  </si>
  <si>
    <t>Star City B-5</t>
  </si>
  <si>
    <t>Shwedagon West Gate</t>
  </si>
  <si>
    <t>ESC3</t>
  </si>
  <si>
    <t>ESC5</t>
  </si>
  <si>
    <t>Royal Maung Burma</t>
  </si>
  <si>
    <t>Star City Zone C (C-1.2)</t>
  </si>
  <si>
    <t>ESC4</t>
  </si>
  <si>
    <t>ESC6</t>
  </si>
  <si>
    <t>Star City Zone C (C-1.4)</t>
  </si>
  <si>
    <t>Shwedagon East Gate</t>
  </si>
  <si>
    <t>Shwedagon South Gate</t>
  </si>
  <si>
    <t>55 Residence</t>
  </si>
  <si>
    <t>Forever Pivate Residence</t>
  </si>
  <si>
    <t>She ShineGallery</t>
  </si>
  <si>
    <t>The Taste Origins Limited(Acecook Myanmar)</t>
  </si>
  <si>
    <t>Yoma Bank HQ</t>
  </si>
  <si>
    <t>YCDC</t>
  </si>
  <si>
    <t xml:space="preserve">Sule Square </t>
  </si>
  <si>
    <t>PD 1</t>
  </si>
  <si>
    <t>PD 2</t>
  </si>
  <si>
    <t>PD 3</t>
  </si>
  <si>
    <t>PD 4</t>
  </si>
  <si>
    <t>M&amp;A Vantage Tower</t>
  </si>
  <si>
    <t>Lift A</t>
  </si>
  <si>
    <t>Lift B</t>
  </si>
  <si>
    <t>Lift C</t>
  </si>
  <si>
    <t>Han Myanmar</t>
  </si>
  <si>
    <t>KBK (UKMM)</t>
  </si>
  <si>
    <t>Min Lan (HL)</t>
  </si>
  <si>
    <t>HL</t>
  </si>
  <si>
    <t>New YGH ( Japan Hospital )</t>
  </si>
  <si>
    <t xml:space="preserve">Myanmar Life </t>
  </si>
  <si>
    <t>Myanmar Ajinomoto</t>
  </si>
  <si>
    <t>Super Hotel</t>
  </si>
  <si>
    <t xml:space="preserve">Capital </t>
  </si>
  <si>
    <t>Kabaraye Executive Residence (KER)</t>
  </si>
  <si>
    <t>Rose Hill</t>
  </si>
  <si>
    <t>FL2</t>
  </si>
  <si>
    <t>Foster Electric Factory</t>
  </si>
  <si>
    <t>FL4</t>
  </si>
  <si>
    <t>Design Time Factory</t>
  </si>
  <si>
    <t>Residential (Ma Htet Pyae)</t>
  </si>
  <si>
    <t>T Residence</t>
  </si>
  <si>
    <t>U Ye Min Residence</t>
  </si>
  <si>
    <t>Chiyoda (Prime Hill Bussiness Square)</t>
  </si>
  <si>
    <t>Golden Famous - 54th</t>
  </si>
  <si>
    <t>U Khin Maung Myat (HL) (UKMM)</t>
  </si>
  <si>
    <t>4 Storey Meditation Center</t>
  </si>
  <si>
    <t>Lift D</t>
  </si>
  <si>
    <t>IVY Condo</t>
  </si>
  <si>
    <t>San Kyae</t>
  </si>
  <si>
    <t>SAT Premium -2</t>
  </si>
  <si>
    <t>Yin Phone</t>
  </si>
  <si>
    <t>FPJVC Tower (ICC)</t>
  </si>
  <si>
    <t>Kyan Sar Thin Kyaung Street</t>
  </si>
  <si>
    <t>Nice Day</t>
  </si>
  <si>
    <t>PANNITA Street (Home Lift)</t>
  </si>
  <si>
    <t>U San Nyein, Inya Road 4 Storey</t>
  </si>
  <si>
    <t>Mahar Bawdi Monastery</t>
  </si>
  <si>
    <t>Malarmyaing Condo @ Tomosada Condo</t>
  </si>
  <si>
    <t>Apartment Building -B</t>
  </si>
  <si>
    <t>PHGE(8th Fairway Golf Apartment) A</t>
  </si>
  <si>
    <t>SISU (Pun Hlaing International School)</t>
  </si>
  <si>
    <t>14 Tee @ Lotus Terrace Building B</t>
  </si>
  <si>
    <t>14 Tee Apartment</t>
  </si>
  <si>
    <t>K Power Garment Factory</t>
  </si>
  <si>
    <t>Evergreen B</t>
  </si>
  <si>
    <t>Evergreen D</t>
  </si>
  <si>
    <t>Evergreen F</t>
  </si>
  <si>
    <t>Evergreen A</t>
  </si>
  <si>
    <t>Evergreen C</t>
  </si>
  <si>
    <t>Evergreen E</t>
  </si>
  <si>
    <t>Evergreen G</t>
  </si>
  <si>
    <t xml:space="preserve">YCDC </t>
  </si>
  <si>
    <t xml:space="preserve">YOMA OFFICE </t>
  </si>
  <si>
    <t>Aung San Vacational Training Institute</t>
  </si>
  <si>
    <t>Pun Hlaing Hospital, Hlaing Tharyar</t>
  </si>
  <si>
    <t>B01</t>
  </si>
  <si>
    <t>B02</t>
  </si>
  <si>
    <t xml:space="preserve">Team </t>
  </si>
  <si>
    <t>All Meeting</t>
  </si>
  <si>
    <t>Star City-City Loft Project (CL-1)</t>
  </si>
  <si>
    <t>Star City-City Loft Project (CL-2)</t>
  </si>
  <si>
    <t xml:space="preserve">Star City-City Loft Project (CL-3) </t>
  </si>
  <si>
    <t xml:space="preserve">Star City-City Loft Project (CL-4) </t>
  </si>
  <si>
    <t xml:space="preserve">Star City-City Loft Project (CL-5) </t>
  </si>
  <si>
    <t>Holiday- Thadingyut</t>
  </si>
  <si>
    <t>Star City A-1</t>
  </si>
  <si>
    <t>Star City A-3</t>
  </si>
  <si>
    <t>Star City A-2</t>
  </si>
  <si>
    <t>Star City B-1</t>
  </si>
  <si>
    <t>9 Storey Building</t>
  </si>
  <si>
    <t>Pin Lon Home Lift</t>
  </si>
  <si>
    <t>Asia World Ahlone Port ( Home Lift)</t>
  </si>
  <si>
    <t>Khattar Street Home Lift</t>
  </si>
  <si>
    <t>Star City B-2</t>
  </si>
  <si>
    <t>Star City B-3</t>
  </si>
  <si>
    <t>Load Adjustment</t>
  </si>
  <si>
    <t>Service &amp; Break Overhaul</t>
  </si>
  <si>
    <t>Ryobi Myanmar Distribution Service Co.,Ltd</t>
  </si>
  <si>
    <t>Holiday-Dawapali</t>
  </si>
  <si>
    <t>Supreme</t>
  </si>
  <si>
    <t>SAT Premium -3</t>
  </si>
  <si>
    <t>Holiday- Public</t>
  </si>
  <si>
    <t>Holiday- Tasaungmone</t>
  </si>
  <si>
    <t>Holiday- National Day</t>
  </si>
  <si>
    <t>ESC7</t>
  </si>
  <si>
    <t>ESC8</t>
  </si>
  <si>
    <t>SAT Premium -4</t>
  </si>
  <si>
    <t>MAB</t>
  </si>
  <si>
    <t>Yadanar Street</t>
  </si>
  <si>
    <t>U Zaw Htike Residence</t>
  </si>
  <si>
    <t>Supreme Hotel</t>
  </si>
  <si>
    <t>Singapore Monastary</t>
  </si>
  <si>
    <t>Holiday- Karen's New Year</t>
  </si>
  <si>
    <t>Vantage Tower-Runby</t>
  </si>
  <si>
    <t>AMZ</t>
  </si>
  <si>
    <t>A/B</t>
  </si>
  <si>
    <t>SISU</t>
  </si>
  <si>
    <t>Holiday- Christmas</t>
  </si>
  <si>
    <t>Holiday- New Year Holiday</t>
  </si>
  <si>
    <t>Independence Day</t>
  </si>
  <si>
    <t>MMZ,YLN (INT)</t>
  </si>
  <si>
    <t>THTZ, NLT (INT)</t>
  </si>
  <si>
    <t>PoPpular Plastics</t>
  </si>
  <si>
    <t>Pannita</t>
  </si>
  <si>
    <t xml:space="preserve">MR Painting Work </t>
  </si>
  <si>
    <t>KNT,NLT</t>
  </si>
  <si>
    <t>Yin Si Chinese Temple</t>
  </si>
  <si>
    <t>SAT Premium -6</t>
  </si>
  <si>
    <t>U Aung Kaine</t>
  </si>
  <si>
    <t>She Shine Gallery</t>
  </si>
  <si>
    <t>Holiday- Union Day</t>
  </si>
  <si>
    <t>Holiday- Chinese New Year</t>
  </si>
  <si>
    <t>SAT Premium -7</t>
  </si>
  <si>
    <t>Holiday- Thabaung</t>
  </si>
  <si>
    <t>SAT Premium -8</t>
  </si>
  <si>
    <t>Holiday- Army Day</t>
  </si>
  <si>
    <t>Holiday- Thingyan</t>
  </si>
  <si>
    <t>SAT Premium -9</t>
  </si>
  <si>
    <t>SAT Premium -10</t>
  </si>
  <si>
    <t xml:space="preserve">Overspeed Governor and Safety Gear Test </t>
  </si>
  <si>
    <t>BK &amp; Rope Certification</t>
  </si>
  <si>
    <t>Sale Company:</t>
  </si>
  <si>
    <t>YECL</t>
  </si>
  <si>
    <t>Break Master</t>
  </si>
  <si>
    <t>Mr. Nay Myo Aung</t>
  </si>
  <si>
    <t xml:space="preserve">Worker 1 </t>
  </si>
  <si>
    <t>Mr. Ko Ko Aung</t>
  </si>
  <si>
    <t>Report By:</t>
  </si>
  <si>
    <t>Trainer 1</t>
  </si>
  <si>
    <t>Mr. Ye Thu Naing</t>
  </si>
  <si>
    <t>Worker 2</t>
  </si>
  <si>
    <t>Mr. Myint Thu Aung</t>
  </si>
  <si>
    <t>Date:</t>
  </si>
  <si>
    <t>Trainer 2</t>
  </si>
  <si>
    <t>Mr. Aung Myint Zaw</t>
  </si>
  <si>
    <t>Worker 3</t>
  </si>
  <si>
    <t>Mr. Han Ko Ko Tun</t>
  </si>
  <si>
    <t>Result OK</t>
  </si>
  <si>
    <t>Worker 4</t>
  </si>
  <si>
    <t>Mr. Bo Bo Lwin</t>
  </si>
  <si>
    <t>Finished</t>
  </si>
  <si>
    <t>Result NG</t>
  </si>
  <si>
    <t>Project  Name</t>
  </si>
  <si>
    <t>Location</t>
  </si>
  <si>
    <t>Lift No</t>
  </si>
  <si>
    <t>Total Unit</t>
  </si>
  <si>
    <t>Installed</t>
  </si>
  <si>
    <t>Type</t>
  </si>
  <si>
    <t>Rated Speed</t>
  </si>
  <si>
    <t>OS  Test</t>
  </si>
  <si>
    <t>Trip Test</t>
  </si>
  <si>
    <t>Safety Gear Test</t>
  </si>
  <si>
    <t>Finished Date</t>
  </si>
  <si>
    <t>SF Gear Result</t>
  </si>
  <si>
    <t>Brake Type</t>
  </si>
  <si>
    <t>Brake Overhaul</t>
  </si>
  <si>
    <t>Dynamic Brak</t>
  </si>
  <si>
    <t>Static Brake</t>
  </si>
  <si>
    <t>BK Maintenance Result</t>
  </si>
  <si>
    <t xml:space="preserve">% Rope </t>
  </si>
  <si>
    <t>Rust</t>
  </si>
  <si>
    <t>Rope Maintenance</t>
  </si>
  <si>
    <t>Rope Maintenance Result</t>
  </si>
  <si>
    <t>Sheave Grease</t>
  </si>
  <si>
    <t>TM Grease</t>
  </si>
  <si>
    <t>Grease Result</t>
  </si>
  <si>
    <t xml:space="preserve">14 Tee @ Lotus Terrace Building B </t>
  </si>
  <si>
    <t>Yangon</t>
  </si>
  <si>
    <t>60/76/80</t>
  </si>
  <si>
    <t>HL1</t>
  </si>
  <si>
    <t>52 Street</t>
  </si>
  <si>
    <t>DG-262</t>
  </si>
  <si>
    <t>60/78/84</t>
  </si>
  <si>
    <t>EM-2430</t>
  </si>
  <si>
    <t>Capital Hyper Market (Extension)</t>
  </si>
  <si>
    <t>Central Bank (New) NPT</t>
  </si>
  <si>
    <t>Naypyidaw</t>
  </si>
  <si>
    <t>Central Bank (NPT)(HL)</t>
  </si>
  <si>
    <t>HL2</t>
  </si>
  <si>
    <t>City Hall NPT</t>
  </si>
  <si>
    <t>EM-1510H</t>
  </si>
  <si>
    <t>DG-272Y</t>
  </si>
  <si>
    <t>FPJVC Tower(ICC)</t>
  </si>
  <si>
    <t>Golden Hill Tower (GYM)</t>
  </si>
  <si>
    <t>Htoo Maw (Mandalay)</t>
  </si>
  <si>
    <t>Mandalay</t>
  </si>
  <si>
    <t>IBIS Hotel</t>
  </si>
  <si>
    <t>Kalaw Hotel</t>
  </si>
  <si>
    <t>Kalaw</t>
  </si>
  <si>
    <t>Ko Min Thu Mdy</t>
  </si>
  <si>
    <t>Kyauk Tan Pagoda</t>
  </si>
  <si>
    <t>Pass</t>
  </si>
  <si>
    <t>OK</t>
  </si>
  <si>
    <t>May Kha Street</t>
  </si>
  <si>
    <t>MBA</t>
  </si>
  <si>
    <t>MIA</t>
  </si>
  <si>
    <t>Myanmar Life Hotel</t>
  </si>
  <si>
    <t>NVL Institute (Mdy)</t>
  </si>
  <si>
    <t>EM-2471</t>
  </si>
  <si>
    <t>PME WareHouse(San Kaung Factory) (UKMM)</t>
  </si>
  <si>
    <t>Pun Hlaing Hospital , Mandalay</t>
  </si>
  <si>
    <t>BL1</t>
  </si>
  <si>
    <t>Pun Hlaing Hospital, Hlaing Tharyar PHIH</t>
  </si>
  <si>
    <t>Queen Hotel (Mdy)</t>
  </si>
  <si>
    <t>Need to Sale</t>
  </si>
  <si>
    <t>EM-3650K</t>
  </si>
  <si>
    <t>Plan to Sale</t>
  </si>
  <si>
    <t>Shwe Nagar Mdy</t>
  </si>
  <si>
    <t>SL3</t>
  </si>
  <si>
    <t>OL1</t>
  </si>
  <si>
    <t>OL2</t>
  </si>
  <si>
    <t>Shwedagon Pagoda (East Gate)</t>
  </si>
  <si>
    <t>Ordered</t>
  </si>
  <si>
    <t>Shwedagon Pagoda (South Gate)</t>
  </si>
  <si>
    <t>No Need</t>
  </si>
  <si>
    <t>90/107/119</t>
  </si>
  <si>
    <t>150/169/188</t>
  </si>
  <si>
    <t>Star City Zone C(C-1.2)</t>
  </si>
  <si>
    <t>Star City-City Loft Project (CL-3)</t>
  </si>
  <si>
    <t>Star City-City Loft Project (CL-4)</t>
  </si>
  <si>
    <t>Star City-City Loft Project (CL-5)</t>
  </si>
  <si>
    <t>CM Need</t>
  </si>
  <si>
    <t>PD1</t>
  </si>
  <si>
    <t>CM Plan</t>
  </si>
  <si>
    <t>PD2</t>
  </si>
  <si>
    <t>PD3</t>
  </si>
  <si>
    <t>PD4</t>
  </si>
  <si>
    <t>U Aung Kain Street</t>
  </si>
  <si>
    <t>U Soe Thein (MDY)</t>
  </si>
  <si>
    <t>PMF 011MB</t>
  </si>
  <si>
    <t>PM3P7SS</t>
  </si>
  <si>
    <t>YOMA OFFICE</t>
  </si>
  <si>
    <t>Zealax Hotel</t>
  </si>
  <si>
    <t>KKA</t>
  </si>
  <si>
    <t>MTA</t>
  </si>
  <si>
    <t>HKKT</t>
  </si>
  <si>
    <t>TSO</t>
  </si>
  <si>
    <t>NCK</t>
  </si>
  <si>
    <t>KSN</t>
  </si>
  <si>
    <t>INST: Team</t>
  </si>
  <si>
    <t>MTA, TSO</t>
  </si>
  <si>
    <t>YLN</t>
  </si>
  <si>
    <t>NCK, KSN</t>
  </si>
  <si>
    <t>MMZ</t>
  </si>
  <si>
    <t>HKKT,TSO, KSN, NCK</t>
  </si>
  <si>
    <t>BBL, KPO</t>
  </si>
  <si>
    <t>KNT/NLT</t>
  </si>
  <si>
    <t>AMZ, KKA</t>
  </si>
  <si>
    <t>Break Overhaul</t>
  </si>
  <si>
    <t>YTN, HKKT, KSN</t>
  </si>
  <si>
    <t>KNT, MMZ</t>
  </si>
  <si>
    <t xml:space="preserve">Vantage Tower </t>
  </si>
  <si>
    <t>Run-By Material Preparation</t>
  </si>
  <si>
    <t>NLT</t>
  </si>
  <si>
    <t>SAT Premium -5</t>
  </si>
  <si>
    <t>Inspection Check List</t>
  </si>
  <si>
    <t>No</t>
  </si>
  <si>
    <t>Item</t>
  </si>
  <si>
    <t>Condition</t>
  </si>
  <si>
    <t>Service Done By:</t>
  </si>
  <si>
    <t>Check By:</t>
  </si>
  <si>
    <t>Remark</t>
  </si>
  <si>
    <t>Machine Room cleaning</t>
  </si>
  <si>
    <t>Motor cleaning</t>
  </si>
  <si>
    <t>Load Weighing Device cleaning</t>
  </si>
  <si>
    <t>Governor cleaning</t>
  </si>
  <si>
    <t>Control Panel cleaning</t>
  </si>
  <si>
    <t>Guide Rail Cleaning</t>
  </si>
  <si>
    <t>Checked</t>
  </si>
  <si>
    <t>Shwedagon Pagoda(West Gate)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</si>
</sst>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d"/>
    <numFmt numFmtId="165" formatCode="[$-409]dd\-mmm\-yy;@"/>
    <numFmt numFmtId="166" formatCode="[$-409]d\-mmm\-yy;@"/>
  </numFmts>
  <fonts count="13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u/>
      <sz val="2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Cambria"/>
      <family val="3"/>
      <charset val="128"/>
      <scheme val="major"/>
    </font>
    <font>
      <b/>
      <sz val="10"/>
      <name val="Cambria"/>
      <family val="1"/>
      <scheme val="major"/>
    </font>
  </fonts>
  <fills count="3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4.9989318521683403E-2"/>
        <bgColor theme="4" tint="0.79998168889431442"/>
      </patternFill>
    </fill>
    <fill>
      <patternFill patternType="solid">
        <fgColor rgb="FFFF0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39997558519241921"/>
        <bgColor theme="4" tint="0.79998168889431442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DCE6F1"/>
        <bgColor rgb="FFDCE6F1"/>
      </patternFill>
    </fill>
    <fill>
      <patternFill patternType="solid">
        <fgColor theme="5" tint="0.39997558519241921"/>
        <bgColor theme="4" tint="0.79998168889431442"/>
      </patternFill>
    </fill>
    <fill>
      <patternFill patternType="solid">
        <fgColor rgb="FFDDEBF7"/>
        <bgColor rgb="FFDDEBF7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499984740745262"/>
        <bgColor rgb="FFDDEBF7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2" tint="-0.499984740745262"/>
        <bgColor theme="0" tint="-0.14999847407452621"/>
      </patternFill>
    </fill>
    <fill>
      <patternFill patternType="solid">
        <fgColor rgb="FFFF0000"/>
        <bgColor rgb="FFDDEBF7"/>
      </patternFill>
    </fill>
    <fill>
      <patternFill patternType="solid">
        <fgColor theme="2" tint="-0.499984740745262"/>
        <bgColor theme="4" tint="0.79998168889431442"/>
      </patternFill>
    </fill>
    <fill>
      <patternFill patternType="solid">
        <fgColor rgb="FFFFFF00"/>
        <bgColor rgb="FFDDEBF7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43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8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4" borderId="1" xfId="0" applyFill="1" applyBorder="1" applyAlignment="1">
      <alignment horizontal="left" vertical="center"/>
    </xf>
    <xf numFmtId="0" fontId="0" fillId="2" borderId="4" xfId="0" applyFill="1" applyBorder="1" applyAlignment="1">
      <alignment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vertical="center"/>
    </xf>
    <xf numFmtId="0" fontId="0" fillId="2" borderId="1" xfId="0" applyFill="1" applyBorder="1" applyAlignment="1">
      <alignment horizontal="left" vertical="center"/>
    </xf>
    <xf numFmtId="0" fontId="0" fillId="2" borderId="8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165" fontId="0" fillId="0" borderId="9" xfId="0" applyNumberFormat="1" applyBorder="1" applyAlignment="1">
      <alignment horizontal="center" vertical="center"/>
    </xf>
    <xf numFmtId="165" fontId="0" fillId="2" borderId="9" xfId="0" applyNumberFormat="1" applyFill="1" applyBorder="1" applyAlignment="1">
      <alignment horizontal="center" vertical="center"/>
    </xf>
    <xf numFmtId="164" fontId="0" fillId="0" borderId="9" xfId="0" applyNumberFormat="1" applyBorder="1" applyAlignment="1">
      <alignment horizontal="center" vertical="center"/>
    </xf>
    <xf numFmtId="164" fontId="0" fillId="2" borderId="9" xfId="0" applyNumberFormat="1" applyFill="1" applyBorder="1" applyAlignment="1">
      <alignment horizontal="center" vertical="center"/>
    </xf>
    <xf numFmtId="165" fontId="0" fillId="5" borderId="9" xfId="0" applyNumberFormat="1" applyFill="1" applyBorder="1" applyAlignment="1">
      <alignment horizontal="center" vertical="center"/>
    </xf>
    <xf numFmtId="164" fontId="0" fillId="5" borderId="9" xfId="0" applyNumberForma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 wrapText="1"/>
    </xf>
    <xf numFmtId="0" fontId="0" fillId="5" borderId="8" xfId="0" applyFill="1" applyBorder="1" applyAlignment="1">
      <alignment horizontal="center" vertical="center"/>
    </xf>
    <xf numFmtId="0" fontId="0" fillId="5" borderId="0" xfId="0" applyFill="1"/>
    <xf numFmtId="0" fontId="0" fillId="5" borderId="1" xfId="0" applyFill="1" applyBorder="1" applyAlignment="1">
      <alignment vertical="center" wrapText="1"/>
    </xf>
    <xf numFmtId="165" fontId="0" fillId="4" borderId="9" xfId="0" applyNumberFormat="1" applyFill="1" applyBorder="1" applyAlignment="1">
      <alignment horizontal="center" vertical="center"/>
    </xf>
    <xf numFmtId="164" fontId="0" fillId="4" borderId="9" xfId="0" applyNumberForma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4" borderId="0" xfId="0" applyFill="1"/>
    <xf numFmtId="0" fontId="5" fillId="0" borderId="0" xfId="0" applyFont="1" applyAlignment="1">
      <alignment horizontal="center" vertical="center"/>
    </xf>
    <xf numFmtId="0" fontId="0" fillId="0" borderId="3" xfId="0" applyBorder="1" applyAlignment="1">
      <alignment horizontal="left" vertical="center"/>
    </xf>
    <xf numFmtId="0" fontId="0" fillId="4" borderId="3" xfId="0" applyFill="1" applyBorder="1" applyAlignment="1">
      <alignment horizontal="center" vertical="center"/>
    </xf>
    <xf numFmtId="164" fontId="0" fillId="6" borderId="9" xfId="0" applyNumberForma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6" borderId="1" xfId="0" applyFill="1" applyBorder="1" applyAlignment="1">
      <alignment vertical="center" wrapText="1"/>
    </xf>
    <xf numFmtId="0" fontId="0" fillId="6" borderId="1" xfId="0" applyFill="1" applyBorder="1" applyAlignment="1">
      <alignment horizontal="left" vertical="center"/>
    </xf>
    <xf numFmtId="165" fontId="0" fillId="7" borderId="9" xfId="0" applyNumberFormat="1" applyFill="1" applyBorder="1" applyAlignment="1">
      <alignment horizontal="center" vertical="center"/>
    </xf>
    <xf numFmtId="164" fontId="0" fillId="7" borderId="9" xfId="0" applyNumberForma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left" vertical="center"/>
    </xf>
    <xf numFmtId="0" fontId="0" fillId="7" borderId="8" xfId="0" applyFill="1" applyBorder="1" applyAlignment="1">
      <alignment horizontal="center" vertical="center"/>
    </xf>
    <xf numFmtId="0" fontId="0" fillId="2" borderId="8" xfId="0" applyFill="1" applyBorder="1" applyAlignment="1">
      <alignment vertical="center" wrapText="1"/>
    </xf>
    <xf numFmtId="0" fontId="0" fillId="4" borderId="1" xfId="0" applyFill="1" applyBorder="1" applyAlignment="1">
      <alignment horizontal="center" vertical="center" wrapText="1"/>
    </xf>
    <xf numFmtId="165" fontId="0" fillId="3" borderId="9" xfId="0" applyNumberFormat="1" applyFill="1" applyBorder="1" applyAlignment="1">
      <alignment horizontal="center" vertical="center"/>
    </xf>
    <xf numFmtId="164" fontId="0" fillId="3" borderId="9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0" fontId="0" fillId="3" borderId="8" xfId="0" applyFill="1" applyBorder="1" applyAlignment="1">
      <alignment horizontal="center" vertical="center"/>
    </xf>
    <xf numFmtId="165" fontId="0" fillId="8" borderId="9" xfId="0" applyNumberFormat="1" applyFill="1" applyBorder="1" applyAlignment="1">
      <alignment horizontal="center" vertical="center"/>
    </xf>
    <xf numFmtId="164" fontId="0" fillId="8" borderId="9" xfId="0" applyNumberFormat="1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8" borderId="2" xfId="0" applyFill="1" applyBorder="1" applyAlignment="1">
      <alignment vertical="center" wrapText="1"/>
    </xf>
    <xf numFmtId="0" fontId="0" fillId="8" borderId="8" xfId="0" applyFill="1" applyBorder="1" applyAlignment="1">
      <alignment horizontal="center" vertical="center"/>
    </xf>
    <xf numFmtId="0" fontId="0" fillId="8" borderId="2" xfId="0" applyFill="1" applyBorder="1" applyAlignment="1">
      <alignment horizontal="center" vertical="center"/>
    </xf>
    <xf numFmtId="0" fontId="0" fillId="8" borderId="1" xfId="0" applyFill="1" applyBorder="1" applyAlignment="1">
      <alignment vertical="center" wrapText="1"/>
    </xf>
    <xf numFmtId="0" fontId="0" fillId="8" borderId="0" xfId="0" applyFill="1"/>
    <xf numFmtId="0" fontId="0" fillId="8" borderId="1" xfId="0" applyFill="1" applyBorder="1" applyAlignment="1">
      <alignment horizontal="left" vertical="center"/>
    </xf>
    <xf numFmtId="0" fontId="0" fillId="8" borderId="2" xfId="0" applyFill="1" applyBorder="1" applyAlignment="1">
      <alignment horizontal="left" vertical="center"/>
    </xf>
    <xf numFmtId="0" fontId="0" fillId="8" borderId="3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 wrapText="1"/>
    </xf>
    <xf numFmtId="0" fontId="0" fillId="8" borderId="3" xfId="0" applyFill="1" applyBorder="1" applyAlignment="1">
      <alignment horizontal="center" vertical="center" wrapText="1"/>
    </xf>
    <xf numFmtId="0" fontId="0" fillId="8" borderId="0" xfId="0" applyFill="1" applyAlignment="1">
      <alignment horizontal="center"/>
    </xf>
    <xf numFmtId="0" fontId="0" fillId="8" borderId="0" xfId="0" applyFill="1" applyAlignment="1">
      <alignment horizontal="center" vertical="center"/>
    </xf>
    <xf numFmtId="0" fontId="0" fillId="8" borderId="8" xfId="0" applyFill="1" applyBorder="1" applyAlignment="1">
      <alignment horizontal="left" vertical="center"/>
    </xf>
    <xf numFmtId="0" fontId="0" fillId="8" borderId="8" xfId="0" applyFill="1" applyBorder="1" applyAlignment="1">
      <alignment vertical="center" wrapText="1"/>
    </xf>
    <xf numFmtId="0" fontId="0" fillId="8" borderId="4" xfId="0" applyFill="1" applyBorder="1" applyAlignment="1">
      <alignment vertical="center" wrapText="1"/>
    </xf>
    <xf numFmtId="0" fontId="0" fillId="8" borderId="4" xfId="0" applyFill="1" applyBorder="1" applyAlignment="1">
      <alignment horizontal="center" vertical="center"/>
    </xf>
    <xf numFmtId="0" fontId="0" fillId="7" borderId="1" xfId="0" applyFill="1" applyBorder="1" applyAlignment="1">
      <alignment vertical="center" wrapText="1"/>
    </xf>
    <xf numFmtId="0" fontId="0" fillId="8" borderId="10" xfId="0" applyFill="1" applyBorder="1" applyAlignment="1">
      <alignment horizontal="left" vertical="center"/>
    </xf>
    <xf numFmtId="0" fontId="0" fillId="9" borderId="1" xfId="0" applyFill="1" applyBorder="1"/>
    <xf numFmtId="0" fontId="0" fillId="8" borderId="4" xfId="0" applyFill="1" applyBorder="1" applyAlignment="1">
      <alignment horizontal="left" vertical="center"/>
    </xf>
    <xf numFmtId="0" fontId="2" fillId="8" borderId="3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0" fillId="8" borderId="3" xfId="0" applyFill="1" applyBorder="1" applyAlignment="1">
      <alignment horizontal="left" vertical="center"/>
    </xf>
    <xf numFmtId="0" fontId="0" fillId="8" borderId="3" xfId="0" applyFill="1" applyBorder="1" applyAlignment="1">
      <alignment vertical="center" wrapText="1"/>
    </xf>
    <xf numFmtId="164" fontId="0" fillId="8" borderId="6" xfId="0" applyNumberFormat="1" applyFill="1" applyBorder="1" applyAlignment="1">
      <alignment horizontal="center" vertical="center"/>
    </xf>
    <xf numFmtId="0" fontId="0" fillId="2" borderId="10" xfId="0" applyFill="1" applyBorder="1" applyAlignment="1">
      <alignment vertical="center" wrapText="1"/>
    </xf>
    <xf numFmtId="0" fontId="0" fillId="8" borderId="10" xfId="0" applyFill="1" applyBorder="1" applyAlignment="1">
      <alignment vertical="center" wrapText="1"/>
    </xf>
    <xf numFmtId="0" fontId="0" fillId="2" borderId="8" xfId="0" applyFill="1" applyBorder="1" applyAlignment="1">
      <alignment vertical="center"/>
    </xf>
    <xf numFmtId="0" fontId="0" fillId="3" borderId="3" xfId="0" applyFill="1" applyBorder="1" applyAlignment="1">
      <alignment horizontal="center" vertical="center"/>
    </xf>
    <xf numFmtId="165" fontId="0" fillId="10" borderId="9" xfId="0" applyNumberFormat="1" applyFill="1" applyBorder="1" applyAlignment="1">
      <alignment horizontal="center" vertical="center"/>
    </xf>
    <xf numFmtId="164" fontId="0" fillId="10" borderId="9" xfId="0" applyNumberFormat="1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0" fillId="10" borderId="8" xfId="0" applyFill="1" applyBorder="1" applyAlignment="1">
      <alignment horizontal="center" vertical="center"/>
    </xf>
    <xf numFmtId="0" fontId="0" fillId="10" borderId="1" xfId="0" applyFill="1" applyBorder="1" applyAlignment="1">
      <alignment horizontal="left" vertical="center"/>
    </xf>
    <xf numFmtId="0" fontId="0" fillId="7" borderId="1" xfId="0" applyFill="1" applyBorder="1" applyAlignment="1">
      <alignment horizontal="center" vertical="center" wrapText="1"/>
    </xf>
    <xf numFmtId="0" fontId="2" fillId="8" borderId="1" xfId="0" applyFont="1" applyFill="1" applyBorder="1" applyAlignment="1">
      <alignment vertical="center" wrapText="1"/>
    </xf>
    <xf numFmtId="0" fontId="2" fillId="8" borderId="10" xfId="0" applyFont="1" applyFill="1" applyBorder="1" applyAlignment="1">
      <alignment vertical="center" wrapText="1"/>
    </xf>
    <xf numFmtId="164" fontId="0" fillId="11" borderId="9" xfId="0" applyNumberFormat="1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0" fillId="11" borderId="8" xfId="0" applyFill="1" applyBorder="1" applyAlignment="1">
      <alignment horizontal="center" vertical="center"/>
    </xf>
    <xf numFmtId="165" fontId="0" fillId="6" borderId="9" xfId="0" applyNumberFormat="1" applyFill="1" applyBorder="1" applyAlignment="1">
      <alignment horizontal="center" vertical="center"/>
    </xf>
    <xf numFmtId="0" fontId="0" fillId="6" borderId="8" xfId="0" applyFill="1" applyBorder="1" applyAlignment="1">
      <alignment horizontal="center" vertical="center"/>
    </xf>
    <xf numFmtId="165" fontId="0" fillId="12" borderId="9" xfId="0" applyNumberFormat="1" applyFill="1" applyBorder="1" applyAlignment="1">
      <alignment horizontal="center" vertical="center"/>
    </xf>
    <xf numFmtId="164" fontId="0" fillId="12" borderId="9" xfId="0" applyNumberFormat="1" applyFill="1" applyBorder="1" applyAlignment="1">
      <alignment horizontal="center" vertical="center"/>
    </xf>
    <xf numFmtId="0" fontId="0" fillId="12" borderId="1" xfId="0" applyFill="1" applyBorder="1" applyAlignment="1">
      <alignment horizontal="center" vertical="center"/>
    </xf>
    <xf numFmtId="0" fontId="0" fillId="12" borderId="8" xfId="0" applyFill="1" applyBorder="1" applyAlignment="1">
      <alignment horizontal="center" vertical="center"/>
    </xf>
    <xf numFmtId="0" fontId="0" fillId="12" borderId="1" xfId="0" applyFill="1" applyBorder="1" applyAlignment="1">
      <alignment horizontal="left" vertical="center"/>
    </xf>
    <xf numFmtId="165" fontId="0" fillId="13" borderId="9" xfId="0" applyNumberFormat="1" applyFill="1" applyBorder="1" applyAlignment="1">
      <alignment horizontal="center" vertical="center"/>
    </xf>
    <xf numFmtId="164" fontId="0" fillId="13" borderId="9" xfId="0" applyNumberFormat="1" applyFill="1" applyBorder="1" applyAlignment="1">
      <alignment horizontal="center" vertical="center"/>
    </xf>
    <xf numFmtId="0" fontId="0" fillId="13" borderId="1" xfId="0" applyFill="1" applyBorder="1" applyAlignment="1">
      <alignment horizontal="center" vertical="center"/>
    </xf>
    <xf numFmtId="0" fontId="0" fillId="13" borderId="1" xfId="0" applyFill="1" applyBorder="1" applyAlignment="1">
      <alignment horizontal="left" vertical="center"/>
    </xf>
    <xf numFmtId="0" fontId="0" fillId="13" borderId="1" xfId="0" applyFill="1" applyBorder="1" applyAlignment="1">
      <alignment horizontal="center" vertical="center" wrapText="1"/>
    </xf>
    <xf numFmtId="0" fontId="0" fillId="13" borderId="8" xfId="0" applyFill="1" applyBorder="1" applyAlignment="1">
      <alignment horizontal="center" vertical="center"/>
    </xf>
    <xf numFmtId="0" fontId="0" fillId="13" borderId="1" xfId="0" applyFill="1" applyBorder="1" applyAlignment="1">
      <alignment vertical="center" wrapText="1"/>
    </xf>
    <xf numFmtId="165" fontId="0" fillId="14" borderId="9" xfId="0" applyNumberFormat="1" applyFill="1" applyBorder="1" applyAlignment="1">
      <alignment horizontal="center" vertical="center"/>
    </xf>
    <xf numFmtId="164" fontId="0" fillId="14" borderId="9" xfId="0" applyNumberFormat="1" applyFill="1" applyBorder="1" applyAlignment="1">
      <alignment horizontal="center" vertical="center"/>
    </xf>
    <xf numFmtId="0" fontId="0" fillId="14" borderId="1" xfId="0" applyFill="1" applyBorder="1" applyAlignment="1">
      <alignment horizontal="center" vertical="center"/>
    </xf>
    <xf numFmtId="0" fontId="0" fillId="14" borderId="1" xfId="0" applyFill="1" applyBorder="1" applyAlignment="1">
      <alignment vertical="center" wrapText="1"/>
    </xf>
    <xf numFmtId="0" fontId="0" fillId="14" borderId="8" xfId="0" applyFill="1" applyBorder="1" applyAlignment="1">
      <alignment horizontal="center" vertical="center"/>
    </xf>
    <xf numFmtId="0" fontId="2" fillId="14" borderId="1" xfId="0" applyFont="1" applyFill="1" applyBorder="1" applyAlignment="1">
      <alignment horizontal="center" vertical="center" wrapText="1"/>
    </xf>
    <xf numFmtId="0" fontId="0" fillId="13" borderId="3" xfId="0" applyFill="1" applyBorder="1" applyAlignment="1">
      <alignment horizontal="center" vertical="center"/>
    </xf>
    <xf numFmtId="0" fontId="3" fillId="13" borderId="1" xfId="0" applyFont="1" applyFill="1" applyBorder="1"/>
    <xf numFmtId="0" fontId="3" fillId="8" borderId="1" xfId="0" applyFont="1" applyFill="1" applyBorder="1"/>
    <xf numFmtId="0" fontId="2" fillId="13" borderId="1" xfId="0" applyFont="1" applyFill="1" applyBorder="1" applyAlignment="1">
      <alignment vertical="center" wrapText="1"/>
    </xf>
    <xf numFmtId="0" fontId="0" fillId="13" borderId="3" xfId="0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vertical="center" wrapText="1"/>
    </xf>
    <xf numFmtId="0" fontId="0" fillId="8" borderId="1" xfId="0" applyFill="1" applyBorder="1" applyAlignment="1">
      <alignment vertical="center"/>
    </xf>
    <xf numFmtId="0" fontId="4" fillId="8" borderId="1" xfId="0" applyFont="1" applyFill="1" applyBorder="1"/>
    <xf numFmtId="0" fontId="0" fillId="14" borderId="1" xfId="0" applyFill="1" applyBorder="1" applyAlignment="1">
      <alignment horizontal="left" vertical="center"/>
    </xf>
    <xf numFmtId="164" fontId="2" fillId="8" borderId="9" xfId="0" applyNumberFormat="1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2" fillId="8" borderId="8" xfId="0" applyFont="1" applyFill="1" applyBorder="1" applyAlignment="1">
      <alignment horizontal="center" vertical="center"/>
    </xf>
    <xf numFmtId="0" fontId="0" fillId="13" borderId="4" xfId="0" applyFill="1" applyBorder="1" applyAlignment="1">
      <alignment vertical="center" wrapText="1"/>
    </xf>
    <xf numFmtId="165" fontId="0" fillId="11" borderId="9" xfId="0" applyNumberFormat="1" applyFill="1" applyBorder="1" applyAlignment="1">
      <alignment horizontal="center" vertical="center"/>
    </xf>
    <xf numFmtId="0" fontId="0" fillId="11" borderId="1" xfId="0" applyFill="1" applyBorder="1" applyAlignment="1">
      <alignment horizontal="left" vertical="center"/>
    </xf>
    <xf numFmtId="0" fontId="0" fillId="13" borderId="10" xfId="0" applyFill="1" applyBorder="1" applyAlignment="1">
      <alignment vertical="center" wrapText="1"/>
    </xf>
    <xf numFmtId="0" fontId="0" fillId="8" borderId="1" xfId="0" applyFill="1" applyBorder="1"/>
    <xf numFmtId="0" fontId="2" fillId="13" borderId="1" xfId="0" applyFont="1" applyFill="1" applyBorder="1" applyAlignment="1">
      <alignment horizontal="center" vertical="center" wrapText="1"/>
    </xf>
    <xf numFmtId="0" fontId="0" fillId="3" borderId="10" xfId="0" applyFill="1" applyBorder="1" applyAlignment="1">
      <alignment horizontal="left" vertical="center"/>
    </xf>
    <xf numFmtId="0" fontId="0" fillId="0" borderId="1" xfId="0" applyBorder="1" applyAlignment="1">
      <alignment vertical="center" wrapText="1"/>
    </xf>
    <xf numFmtId="165" fontId="0" fillId="15" borderId="9" xfId="0" applyNumberFormat="1" applyFill="1" applyBorder="1" applyAlignment="1">
      <alignment horizontal="center" vertical="center"/>
    </xf>
    <xf numFmtId="164" fontId="0" fillId="15" borderId="9" xfId="0" applyNumberFormat="1" applyFill="1" applyBorder="1" applyAlignment="1">
      <alignment horizontal="center" vertical="center"/>
    </xf>
    <xf numFmtId="0" fontId="0" fillId="15" borderId="1" xfId="0" applyFill="1" applyBorder="1" applyAlignment="1">
      <alignment horizontal="center" vertical="center"/>
    </xf>
    <xf numFmtId="0" fontId="0" fillId="15" borderId="1" xfId="0" applyFill="1" applyBorder="1" applyAlignment="1">
      <alignment vertical="center" wrapText="1"/>
    </xf>
    <xf numFmtId="0" fontId="0" fillId="15" borderId="8" xfId="0" applyFill="1" applyBorder="1" applyAlignment="1">
      <alignment horizontal="center" vertical="center"/>
    </xf>
    <xf numFmtId="0" fontId="0" fillId="0" borderId="1" xfId="0" applyBorder="1"/>
    <xf numFmtId="0" fontId="0" fillId="0" borderId="9" xfId="0" applyBorder="1"/>
    <xf numFmtId="0" fontId="0" fillId="0" borderId="6" xfId="0" applyBorder="1"/>
    <xf numFmtId="0" fontId="0" fillId="0" borderId="3" xfId="0" applyBorder="1"/>
    <xf numFmtId="1" fontId="0" fillId="0" borderId="0" xfId="0" applyNumberFormat="1" applyAlignment="1">
      <alignment horizontal="center" vertical="center"/>
    </xf>
    <xf numFmtId="0" fontId="0" fillId="17" borderId="1" xfId="0" applyFill="1" applyBorder="1"/>
    <xf numFmtId="0" fontId="0" fillId="17" borderId="1" xfId="0" applyFill="1" applyBorder="1" applyAlignment="1">
      <alignment horizontal="center" vertical="center"/>
    </xf>
    <xf numFmtId="0" fontId="0" fillId="17" borderId="2" xfId="0" applyFill="1" applyBorder="1"/>
    <xf numFmtId="0" fontId="0" fillId="17" borderId="2" xfId="0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" fillId="8" borderId="2" xfId="0" applyFont="1" applyFill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7" borderId="1" xfId="0" applyFont="1" applyFill="1" applyBorder="1" applyAlignment="1">
      <alignment vertical="center" wrapText="1"/>
    </xf>
    <xf numFmtId="0" fontId="0" fillId="9" borderId="4" xfId="0" applyFill="1" applyBorder="1"/>
    <xf numFmtId="0" fontId="0" fillId="7" borderId="4" xfId="0" applyFill="1" applyBorder="1" applyAlignment="1">
      <alignment horizontal="left" vertical="center"/>
    </xf>
    <xf numFmtId="0" fontId="2" fillId="8" borderId="4" xfId="0" applyFont="1" applyFill="1" applyBorder="1" applyAlignment="1">
      <alignment vertical="center" wrapText="1"/>
    </xf>
    <xf numFmtId="0" fontId="0" fillId="8" borderId="3" xfId="0" applyFill="1" applyBorder="1" applyAlignment="1">
      <alignment vertical="center"/>
    </xf>
    <xf numFmtId="0" fontId="0" fillId="14" borderId="10" xfId="0" applyFill="1" applyBorder="1" applyAlignment="1">
      <alignment vertical="center" wrapText="1"/>
    </xf>
    <xf numFmtId="0" fontId="0" fillId="3" borderId="4" xfId="0" applyFill="1" applyBorder="1" applyAlignment="1">
      <alignment horizontal="left" vertical="center"/>
    </xf>
    <xf numFmtId="0" fontId="3" fillId="8" borderId="4" xfId="0" applyFont="1" applyFill="1" applyBorder="1"/>
    <xf numFmtId="0" fontId="2" fillId="8" borderId="1" xfId="0" applyFont="1" applyFill="1" applyBorder="1" applyAlignment="1">
      <alignment horizontal="left" vertical="center"/>
    </xf>
    <xf numFmtId="0" fontId="0" fillId="7" borderId="10" xfId="0" applyFill="1" applyBorder="1" applyAlignment="1">
      <alignment horizontal="left" vertical="center"/>
    </xf>
    <xf numFmtId="0" fontId="4" fillId="8" borderId="4" xfId="0" applyFont="1" applyFill="1" applyBorder="1"/>
    <xf numFmtId="0" fontId="2" fillId="13" borderId="3" xfId="0" applyFont="1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/>
    </xf>
    <xf numFmtId="165" fontId="0" fillId="18" borderId="9" xfId="0" applyNumberFormat="1" applyFill="1" applyBorder="1" applyAlignment="1">
      <alignment horizontal="center" vertical="center"/>
    </xf>
    <xf numFmtId="164" fontId="0" fillId="18" borderId="9" xfId="0" applyNumberFormat="1" applyFill="1" applyBorder="1" applyAlignment="1">
      <alignment horizontal="center" vertical="center"/>
    </xf>
    <xf numFmtId="0" fontId="0" fillId="18" borderId="1" xfId="0" applyFill="1" applyBorder="1" applyAlignment="1">
      <alignment horizontal="center" vertical="center"/>
    </xf>
    <xf numFmtId="0" fontId="0" fillId="18" borderId="2" xfId="0" applyFill="1" applyBorder="1" applyAlignment="1">
      <alignment horizontal="left" vertical="center"/>
    </xf>
    <xf numFmtId="0" fontId="0" fillId="18" borderId="1" xfId="0" applyFill="1" applyBorder="1" applyAlignment="1">
      <alignment horizontal="center" vertical="center" wrapText="1"/>
    </xf>
    <xf numFmtId="0" fontId="0" fillId="18" borderId="8" xfId="0" applyFill="1" applyBorder="1" applyAlignment="1">
      <alignment horizontal="center" vertical="center"/>
    </xf>
    <xf numFmtId="0" fontId="0" fillId="18" borderId="2" xfId="0" applyFill="1" applyBorder="1" applyAlignment="1">
      <alignment horizontal="center" vertical="center"/>
    </xf>
    <xf numFmtId="0" fontId="0" fillId="18" borderId="0" xfId="0" applyFill="1"/>
    <xf numFmtId="0" fontId="0" fillId="18" borderId="2" xfId="0" applyFill="1" applyBorder="1" applyAlignment="1">
      <alignment vertical="center" wrapText="1"/>
    </xf>
    <xf numFmtId="0" fontId="2" fillId="18" borderId="2" xfId="0" applyFont="1" applyFill="1" applyBorder="1" applyAlignment="1">
      <alignment vertical="center" wrapText="1"/>
    </xf>
    <xf numFmtId="0" fontId="0" fillId="19" borderId="1" xfId="0" applyFill="1" applyBorder="1"/>
    <xf numFmtId="0" fontId="0" fillId="18" borderId="1" xfId="0" applyFill="1" applyBorder="1" applyAlignment="1">
      <alignment horizontal="left" vertical="center"/>
    </xf>
    <xf numFmtId="0" fontId="2" fillId="18" borderId="1" xfId="0" applyFont="1" applyFill="1" applyBorder="1" applyAlignment="1">
      <alignment vertical="center" wrapText="1"/>
    </xf>
    <xf numFmtId="0" fontId="2" fillId="18" borderId="1" xfId="0" applyFont="1" applyFill="1" applyBorder="1" applyAlignment="1">
      <alignment horizontal="center" vertical="center" wrapText="1"/>
    </xf>
    <xf numFmtId="0" fontId="0" fillId="18" borderId="1" xfId="0" applyFill="1" applyBorder="1" applyAlignment="1">
      <alignment vertical="center" wrapText="1"/>
    </xf>
    <xf numFmtId="0" fontId="3" fillId="18" borderId="1" xfId="0" applyFont="1" applyFill="1" applyBorder="1"/>
    <xf numFmtId="0" fontId="4" fillId="18" borderId="1" xfId="0" applyFont="1" applyFill="1" applyBorder="1"/>
    <xf numFmtId="0" fontId="0" fillId="18" borderId="1" xfId="0" applyFill="1" applyBorder="1" applyAlignment="1">
      <alignment vertical="center"/>
    </xf>
    <xf numFmtId="0" fontId="0" fillId="18" borderId="8" xfId="0" applyFill="1" applyBorder="1" applyAlignment="1">
      <alignment vertical="center" wrapText="1"/>
    </xf>
    <xf numFmtId="0" fontId="0" fillId="18" borderId="8" xfId="0" applyFill="1" applyBorder="1" applyAlignment="1">
      <alignment horizontal="left" vertical="center"/>
    </xf>
    <xf numFmtId="0" fontId="0" fillId="18" borderId="3" xfId="0" applyFill="1" applyBorder="1" applyAlignment="1">
      <alignment vertical="center" wrapText="1"/>
    </xf>
    <xf numFmtId="0" fontId="0" fillId="18" borderId="3" xfId="0" applyFill="1" applyBorder="1" applyAlignment="1">
      <alignment horizontal="center" vertical="center"/>
    </xf>
    <xf numFmtId="0" fontId="0" fillId="18" borderId="3" xfId="0" applyFill="1" applyBorder="1" applyAlignment="1">
      <alignment horizontal="left" vertical="center"/>
    </xf>
    <xf numFmtId="0" fontId="0" fillId="18" borderId="3" xfId="0" applyFill="1" applyBorder="1" applyAlignment="1">
      <alignment horizontal="center" vertical="center" wrapText="1"/>
    </xf>
    <xf numFmtId="0" fontId="2" fillId="18" borderId="3" xfId="0" applyFont="1" applyFill="1" applyBorder="1" applyAlignment="1">
      <alignment horizontal="center" vertical="center" wrapText="1"/>
    </xf>
    <xf numFmtId="0" fontId="0" fillId="18" borderId="3" xfId="0" applyFill="1" applyBorder="1" applyAlignment="1">
      <alignment vertical="center"/>
    </xf>
    <xf numFmtId="164" fontId="0" fillId="18" borderId="6" xfId="0" applyNumberFormat="1" applyFill="1" applyBorder="1" applyAlignment="1">
      <alignment horizontal="center" vertical="center"/>
    </xf>
    <xf numFmtId="0" fontId="0" fillId="18" borderId="4" xfId="0" applyFill="1" applyBorder="1" applyAlignment="1">
      <alignment horizontal="center" vertical="center"/>
    </xf>
    <xf numFmtId="0" fontId="0" fillId="18" borderId="1" xfId="0" applyFill="1" applyBorder="1"/>
    <xf numFmtId="0" fontId="0" fillId="7" borderId="4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13" borderId="4" xfId="0" applyFill="1" applyBorder="1" applyAlignment="1">
      <alignment horizontal="center" vertical="center"/>
    </xf>
    <xf numFmtId="0" fontId="0" fillId="8" borderId="9" xfId="0" applyFill="1" applyBorder="1" applyAlignment="1">
      <alignment horizontal="center" vertical="center"/>
    </xf>
    <xf numFmtId="0" fontId="0" fillId="13" borderId="9" xfId="0" applyFill="1" applyBorder="1" applyAlignment="1">
      <alignment horizontal="center" vertical="center"/>
    </xf>
    <xf numFmtId="0" fontId="0" fillId="7" borderId="9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0" fillId="14" borderId="9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9" fillId="14" borderId="1" xfId="0" applyFont="1" applyFill="1" applyBorder="1" applyAlignment="1">
      <alignment horizontal="center" vertical="center"/>
    </xf>
    <xf numFmtId="0" fontId="9" fillId="14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9" fillId="0" borderId="1" xfId="0" applyFont="1" applyBorder="1" applyAlignment="1">
      <alignment horizontal="center" vertical="center"/>
    </xf>
    <xf numFmtId="0" fontId="0" fillId="3" borderId="3" xfId="0" applyFill="1" applyBorder="1" applyAlignment="1">
      <alignment horizontal="left" vertical="center"/>
    </xf>
    <xf numFmtId="0" fontId="0" fillId="13" borderId="4" xfId="0" applyFill="1" applyBorder="1" applyAlignment="1">
      <alignment horizontal="left" vertical="center"/>
    </xf>
    <xf numFmtId="0" fontId="2" fillId="14" borderId="3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1" fontId="0" fillId="0" borderId="2" xfId="0" applyNumberFormat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" fontId="0" fillId="17" borderId="1" xfId="0" applyNumberFormat="1" applyFill="1" applyBorder="1" applyAlignment="1">
      <alignment horizontal="center" vertical="center"/>
    </xf>
    <xf numFmtId="166" fontId="0" fillId="17" borderId="1" xfId="0" applyNumberFormat="1" applyFill="1" applyBorder="1" applyAlignment="1">
      <alignment horizontal="center" vertical="center"/>
    </xf>
    <xf numFmtId="166" fontId="0" fillId="17" borderId="1" xfId="0" applyNumberFormat="1" applyFill="1" applyBorder="1" applyAlignment="1">
      <alignment horizontal="center"/>
    </xf>
    <xf numFmtId="0" fontId="0" fillId="17" borderId="8" xfId="0" applyFill="1" applyBorder="1" applyAlignment="1">
      <alignment horizontal="center" vertical="center"/>
    </xf>
    <xf numFmtId="1" fontId="0" fillId="17" borderId="3" xfId="0" applyNumberFormat="1" applyFill="1" applyBorder="1" applyAlignment="1">
      <alignment horizontal="center" vertical="center"/>
    </xf>
    <xf numFmtId="0" fontId="0" fillId="17" borderId="3" xfId="0" applyFill="1" applyBorder="1" applyAlignment="1">
      <alignment horizontal="center" vertical="center"/>
    </xf>
    <xf numFmtId="166" fontId="0" fillId="17" borderId="3" xfId="0" applyNumberFormat="1" applyFill="1" applyBorder="1" applyAlignment="1">
      <alignment horizontal="center"/>
    </xf>
    <xf numFmtId="0" fontId="0" fillId="17" borderId="4" xfId="0" applyFill="1" applyBorder="1" applyAlignment="1">
      <alignment horizontal="center" vertical="center"/>
    </xf>
    <xf numFmtId="0" fontId="0" fillId="16" borderId="1" xfId="0" applyFill="1" applyBorder="1"/>
    <xf numFmtId="0" fontId="0" fillId="16" borderId="2" xfId="0" applyFill="1" applyBorder="1"/>
    <xf numFmtId="0" fontId="0" fillId="16" borderId="3" xfId="0" applyFill="1" applyBorder="1"/>
    <xf numFmtId="0" fontId="0" fillId="20" borderId="2" xfId="0" applyFill="1" applyBorder="1"/>
    <xf numFmtId="0" fontId="0" fillId="20" borderId="1" xfId="0" applyFill="1" applyBorder="1"/>
    <xf numFmtId="0" fontId="0" fillId="20" borderId="3" xfId="0" applyFill="1" applyBorder="1"/>
    <xf numFmtId="0" fontId="0" fillId="21" borderId="2" xfId="0" applyFill="1" applyBorder="1"/>
    <xf numFmtId="0" fontId="0" fillId="21" borderId="1" xfId="0" applyFill="1" applyBorder="1"/>
    <xf numFmtId="0" fontId="0" fillId="21" borderId="3" xfId="0" applyFill="1" applyBorder="1"/>
    <xf numFmtId="15" fontId="0" fillId="16" borderId="1" xfId="0" applyNumberFormat="1" applyFill="1" applyBorder="1"/>
    <xf numFmtId="0" fontId="11" fillId="0" borderId="1" xfId="0" applyFont="1" applyBorder="1" applyAlignment="1">
      <alignment horizontal="center" vertical="center"/>
    </xf>
    <xf numFmtId="0" fontId="0" fillId="16" borderId="8" xfId="0" applyFill="1" applyBorder="1"/>
    <xf numFmtId="0" fontId="12" fillId="0" borderId="1" xfId="0" applyFont="1" applyBorder="1" applyAlignment="1">
      <alignment horizontal="center" vertical="center"/>
    </xf>
    <xf numFmtId="166" fontId="0" fillId="0" borderId="2" xfId="0" applyNumberFormat="1" applyBorder="1" applyAlignment="1">
      <alignment horizontal="center" vertical="center" wrapText="1"/>
    </xf>
    <xf numFmtId="166" fontId="0" fillId="0" borderId="0" xfId="0" applyNumberFormat="1" applyAlignment="1">
      <alignment horizontal="center" vertical="center"/>
    </xf>
    <xf numFmtId="0" fontId="0" fillId="17" borderId="0" xfId="0" applyFill="1" applyAlignment="1">
      <alignment horizontal="center" vertical="center"/>
    </xf>
    <xf numFmtId="0" fontId="3" fillId="2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66" fontId="2" fillId="22" borderId="1" xfId="0" applyNumberFormat="1" applyFont="1" applyFill="1" applyBorder="1" applyAlignment="1">
      <alignment horizontal="center" vertical="center"/>
    </xf>
    <xf numFmtId="166" fontId="2" fillId="20" borderId="1" xfId="0" applyNumberFormat="1" applyFont="1" applyFill="1" applyBorder="1" applyAlignment="1">
      <alignment horizontal="center" vertical="center"/>
    </xf>
    <xf numFmtId="166" fontId="2" fillId="2" borderId="1" xfId="0" applyNumberFormat="1" applyFont="1" applyFill="1" applyBorder="1" applyAlignment="1">
      <alignment horizontal="center" vertical="center"/>
    </xf>
    <xf numFmtId="0" fontId="2" fillId="0" borderId="0" xfId="0" applyFont="1"/>
    <xf numFmtId="0" fontId="2" fillId="20" borderId="2" xfId="0" applyFont="1" applyFill="1" applyBorder="1"/>
    <xf numFmtId="0" fontId="2" fillId="20" borderId="1" xfId="0" applyFont="1" applyFill="1" applyBorder="1"/>
    <xf numFmtId="0" fontId="2" fillId="22" borderId="0" xfId="0" applyFont="1" applyFill="1"/>
    <xf numFmtId="0" fontId="2" fillId="20" borderId="3" xfId="0" applyFont="1" applyFill="1" applyBorder="1"/>
    <xf numFmtId="0" fontId="10" fillId="0" borderId="2" xfId="0" applyFont="1" applyBorder="1" applyAlignment="1">
      <alignment horizontal="center" vertical="center" wrapText="1"/>
    </xf>
    <xf numFmtId="0" fontId="0" fillId="22" borderId="0" xfId="0" applyFill="1"/>
    <xf numFmtId="0" fontId="0" fillId="3" borderId="1" xfId="0" applyFill="1" applyBorder="1" applyAlignment="1">
      <alignment vertical="center" wrapText="1"/>
    </xf>
    <xf numFmtId="0" fontId="0" fillId="3" borderId="8" xfId="0" applyFill="1" applyBorder="1" applyAlignment="1">
      <alignment horizontal="left" vertical="center"/>
    </xf>
    <xf numFmtId="0" fontId="0" fillId="4" borderId="2" xfId="0" applyFill="1" applyBorder="1" applyAlignment="1">
      <alignment horizontal="left" vertical="center"/>
    </xf>
    <xf numFmtId="0" fontId="0" fillId="2" borderId="3" xfId="0" applyFill="1" applyBorder="1" applyAlignment="1">
      <alignment vertical="center"/>
    </xf>
    <xf numFmtId="0" fontId="0" fillId="2" borderId="3" xfId="0" applyFill="1" applyBorder="1" applyAlignment="1">
      <alignment vertical="center" wrapText="1"/>
    </xf>
    <xf numFmtId="0" fontId="0" fillId="4" borderId="3" xfId="0" applyFill="1" applyBorder="1" applyAlignment="1">
      <alignment horizontal="left" vertical="center"/>
    </xf>
    <xf numFmtId="0" fontId="0" fillId="5" borderId="8" xfId="0" applyFill="1" applyBorder="1" applyAlignment="1">
      <alignment vertical="center" wrapText="1"/>
    </xf>
    <xf numFmtId="0" fontId="0" fillId="13" borderId="3" xfId="0" applyFill="1" applyBorder="1" applyAlignment="1">
      <alignment horizontal="left" vertical="center"/>
    </xf>
    <xf numFmtId="0" fontId="0" fillId="4" borderId="8" xfId="0" applyFill="1" applyBorder="1" applyAlignment="1">
      <alignment horizontal="left" vertical="center"/>
    </xf>
    <xf numFmtId="0" fontId="0" fillId="4" borderId="2" xfId="0" applyFill="1" applyBorder="1" applyAlignment="1">
      <alignment horizontal="center" vertical="center"/>
    </xf>
    <xf numFmtId="0" fontId="0" fillId="24" borderId="10" xfId="0" applyFill="1" applyBorder="1"/>
    <xf numFmtId="165" fontId="0" fillId="0" borderId="6" xfId="0" applyNumberFormat="1" applyBorder="1" applyAlignment="1">
      <alignment horizontal="center" vertical="center"/>
    </xf>
    <xf numFmtId="164" fontId="0" fillId="0" borderId="6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0" xfId="0" applyBorder="1"/>
    <xf numFmtId="0" fontId="0" fillId="13" borderId="1" xfId="0" applyFill="1" applyBorder="1"/>
    <xf numFmtId="0" fontId="0" fillId="24" borderId="1" xfId="0" applyFill="1" applyBorder="1"/>
    <xf numFmtId="0" fontId="2" fillId="0" borderId="10" xfId="0" applyFont="1" applyBorder="1" applyAlignment="1">
      <alignment vertical="center" wrapText="1"/>
    </xf>
    <xf numFmtId="0" fontId="0" fillId="13" borderId="8" xfId="0" applyFill="1" applyBorder="1" applyAlignment="1">
      <alignment horizontal="left" vertical="center"/>
    </xf>
    <xf numFmtId="0" fontId="0" fillId="6" borderId="10" xfId="0" applyFill="1" applyBorder="1" applyAlignment="1">
      <alignment vertical="center" wrapText="1"/>
    </xf>
    <xf numFmtId="0" fontId="0" fillId="0" borderId="4" xfId="0" applyBorder="1"/>
    <xf numFmtId="0" fontId="0" fillId="24" borderId="4" xfId="0" applyFill="1" applyBorder="1"/>
    <xf numFmtId="0" fontId="0" fillId="0" borderId="10" xfId="0" applyBorder="1" applyAlignment="1">
      <alignment horizontal="left" vertical="center"/>
    </xf>
    <xf numFmtId="0" fontId="0" fillId="13" borderId="10" xfId="0" applyFill="1" applyBorder="1" applyAlignment="1">
      <alignment horizontal="left" vertical="center"/>
    </xf>
    <xf numFmtId="0" fontId="0" fillId="7" borderId="2" xfId="0" applyFill="1" applyBorder="1" applyAlignment="1">
      <alignment horizontal="center" vertical="center"/>
    </xf>
    <xf numFmtId="0" fontId="3" fillId="25" borderId="11" xfId="0" applyFont="1" applyFill="1" applyBorder="1"/>
    <xf numFmtId="0" fontId="3" fillId="0" borderId="11" xfId="0" applyFont="1" applyBorder="1"/>
    <xf numFmtId="0" fontId="0" fillId="26" borderId="1" xfId="0" applyFill="1" applyBorder="1" applyAlignment="1">
      <alignment vertical="center" wrapText="1"/>
    </xf>
    <xf numFmtId="0" fontId="0" fillId="26" borderId="0" xfId="0" applyFill="1"/>
    <xf numFmtId="0" fontId="3" fillId="27" borderId="11" xfId="0" applyFont="1" applyFill="1" applyBorder="1"/>
    <xf numFmtId="0" fontId="3" fillId="26" borderId="11" xfId="0" applyFont="1" applyFill="1" applyBorder="1"/>
    <xf numFmtId="0" fontId="0" fillId="26" borderId="1" xfId="0" applyFill="1" applyBorder="1" applyAlignment="1">
      <alignment horizontal="left" vertical="center"/>
    </xf>
    <xf numFmtId="0" fontId="2" fillId="26" borderId="1" xfId="0" applyFont="1" applyFill="1" applyBorder="1" applyAlignment="1">
      <alignment vertical="center" wrapText="1"/>
    </xf>
    <xf numFmtId="0" fontId="0" fillId="26" borderId="4" xfId="0" applyFill="1" applyBorder="1" applyAlignment="1">
      <alignment horizontal="left" vertical="center"/>
    </xf>
    <xf numFmtId="0" fontId="0" fillId="26" borderId="4" xfId="0" applyFill="1" applyBorder="1" applyAlignment="1">
      <alignment vertical="center" wrapText="1"/>
    </xf>
    <xf numFmtId="0" fontId="3" fillId="15" borderId="11" xfId="0" applyFont="1" applyFill="1" applyBorder="1"/>
    <xf numFmtId="0" fontId="0" fillId="28" borderId="4" xfId="0" applyFill="1" applyBorder="1" applyAlignment="1">
      <alignment horizontal="left" vertical="center"/>
    </xf>
    <xf numFmtId="0" fontId="3" fillId="26" borderId="1" xfId="0" applyFont="1" applyFill="1" applyBorder="1"/>
    <xf numFmtId="0" fontId="0" fillId="26" borderId="1" xfId="0" applyFill="1" applyBorder="1" applyAlignment="1">
      <alignment vertical="center"/>
    </xf>
    <xf numFmtId="0" fontId="3" fillId="10" borderId="11" xfId="0" applyFont="1" applyFill="1" applyBorder="1"/>
    <xf numFmtId="0" fontId="2" fillId="29" borderId="4" xfId="0" applyFont="1" applyFill="1" applyBorder="1" applyAlignment="1">
      <alignment vertical="center" wrapText="1"/>
    </xf>
    <xf numFmtId="0" fontId="4" fillId="26" borderId="1" xfId="0" applyFont="1" applyFill="1" applyBorder="1"/>
    <xf numFmtId="0" fontId="0" fillId="2" borderId="4" xfId="0" applyFill="1" applyBorder="1" applyAlignment="1">
      <alignment horizontal="left" vertical="center"/>
    </xf>
    <xf numFmtId="0" fontId="3" fillId="30" borderId="11" xfId="0" applyFont="1" applyFill="1" applyBorder="1"/>
    <xf numFmtId="0" fontId="0" fillId="29" borderId="1" xfId="0" applyFill="1" applyBorder="1"/>
    <xf numFmtId="0" fontId="3" fillId="27" borderId="12" xfId="0" applyFont="1" applyFill="1" applyBorder="1"/>
    <xf numFmtId="0" fontId="0" fillId="31" borderId="1" xfId="0" applyFill="1" applyBorder="1"/>
    <xf numFmtId="0" fontId="0" fillId="26" borderId="1" xfId="0" applyFill="1" applyBorder="1"/>
    <xf numFmtId="0" fontId="0" fillId="26" borderId="13" xfId="0" applyFill="1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0" borderId="4" xfId="0" applyBorder="1" applyAlignment="1">
      <alignment horizontal="left" vertical="center"/>
    </xf>
    <xf numFmtId="0" fontId="2" fillId="0" borderId="1" xfId="0" applyFont="1" applyBorder="1" applyAlignment="1">
      <alignment horizontal="center" vertical="center" wrapText="1"/>
    </xf>
    <xf numFmtId="14" fontId="0" fillId="0" borderId="0" xfId="0" applyNumberFormat="1"/>
    <xf numFmtId="0" fontId="0" fillId="2" borderId="3" xfId="0" applyFill="1" applyBorder="1" applyAlignment="1">
      <alignment horizontal="center" vertical="center" wrapText="1"/>
    </xf>
    <xf numFmtId="0" fontId="0" fillId="12" borderId="3" xfId="0" applyFill="1" applyBorder="1" applyAlignment="1">
      <alignment horizontal="center" vertical="center"/>
    </xf>
    <xf numFmtId="0" fontId="0" fillId="0" borderId="15" xfId="0" applyBorder="1"/>
    <xf numFmtId="0" fontId="0" fillId="0" borderId="20" xfId="0" applyBorder="1"/>
    <xf numFmtId="0" fontId="0" fillId="0" borderId="2" xfId="0" applyBorder="1" applyAlignment="1">
      <alignment horizontal="center" vertical="center"/>
    </xf>
    <xf numFmtId="0" fontId="0" fillId="0" borderId="19" xfId="0" applyBorder="1"/>
    <xf numFmtId="0" fontId="0" fillId="0" borderId="14" xfId="0" applyBorder="1" applyAlignment="1">
      <alignment horizontal="left"/>
    </xf>
    <xf numFmtId="0" fontId="0" fillId="0" borderId="15" xfId="0" applyBorder="1" applyAlignment="1">
      <alignment horizontal="left"/>
    </xf>
    <xf numFmtId="0" fontId="2" fillId="0" borderId="15" xfId="0" applyFont="1" applyBorder="1" applyAlignment="1">
      <alignment horizontal="left"/>
    </xf>
    <xf numFmtId="0" fontId="2" fillId="0" borderId="16" xfId="0" applyFont="1" applyBorder="1" applyAlignment="1">
      <alignment horizontal="left"/>
    </xf>
    <xf numFmtId="0" fontId="0" fillId="0" borderId="17" xfId="0" applyBorder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2" fillId="0" borderId="18" xfId="0" applyFont="1" applyBorder="1" applyAlignment="1">
      <alignment horizontal="left"/>
    </xf>
    <xf numFmtId="0" fontId="0" fillId="0" borderId="20" xfId="0" applyBorder="1" applyAlignment="1">
      <alignment horizontal="left"/>
    </xf>
    <xf numFmtId="0" fontId="2" fillId="0" borderId="20" xfId="0" applyFont="1" applyBorder="1" applyAlignment="1">
      <alignment horizontal="left"/>
    </xf>
    <xf numFmtId="0" fontId="2" fillId="0" borderId="21" xfId="0" applyFont="1" applyBorder="1" applyAlignment="1">
      <alignment horizontal="left"/>
    </xf>
    <xf numFmtId="1" fontId="0" fillId="3" borderId="1" xfId="0" applyNumberFormat="1" applyFill="1" applyBorder="1" applyAlignment="1">
      <alignment horizontal="center" vertical="center"/>
    </xf>
    <xf numFmtId="166" fontId="0" fillId="3" borderId="1" xfId="0" applyNumberFormat="1" applyFill="1" applyBorder="1" applyAlignment="1">
      <alignment horizontal="center" vertical="center"/>
    </xf>
    <xf numFmtId="166" fontId="0" fillId="3" borderId="1" xfId="0" applyNumberFormat="1" applyFill="1" applyBorder="1" applyAlignment="1">
      <alignment horizontal="center"/>
    </xf>
    <xf numFmtId="0" fontId="3" fillId="23" borderId="3" xfId="0" applyFont="1" applyFill="1" applyBorder="1" applyAlignment="1">
      <alignment horizontal="center" vertical="center"/>
    </xf>
    <xf numFmtId="0" fontId="3" fillId="32" borderId="11" xfId="0" applyFont="1" applyFill="1" applyBorder="1"/>
    <xf numFmtId="0" fontId="3" fillId="2" borderId="11" xfId="0" applyFont="1" applyFill="1" applyBorder="1"/>
    <xf numFmtId="0" fontId="3" fillId="2" borderId="12" xfId="0" applyFont="1" applyFill="1" applyBorder="1"/>
    <xf numFmtId="0" fontId="6" fillId="0" borderId="0" xfId="0" applyFont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16" borderId="1" xfId="0" applyFill="1" applyBorder="1" applyAlignment="1">
      <alignment horizontal="center" vertical="center"/>
    </xf>
    <xf numFmtId="166" fontId="0" fillId="16" borderId="1" xfId="0" applyNumberFormat="1" applyFill="1" applyBorder="1" applyAlignment="1">
      <alignment horizontal="center" vertical="center"/>
    </xf>
    <xf numFmtId="0" fontId="9" fillId="0" borderId="22" xfId="0" applyFont="1" applyBorder="1" applyAlignment="1">
      <alignment horizontal="center"/>
    </xf>
    <xf numFmtId="0" fontId="9" fillId="0" borderId="23" xfId="0" applyFont="1" applyBorder="1" applyAlignment="1">
      <alignment horizontal="center"/>
    </xf>
    <xf numFmtId="0" fontId="9" fillId="0" borderId="24" xfId="0" applyFont="1" applyBorder="1" applyAlignment="1">
      <alignment horizontal="center"/>
    </xf>
    <xf numFmtId="0" fontId="9" fillId="0" borderId="0" xfId="0" applyFont="1" applyAlignment="1">
      <alignment horizontal="center"/>
    </xf>
    <xf numFmtId="0" fontId="9" fillId="0" borderId="18" xfId="0" applyFont="1" applyBorder="1" applyAlignment="1">
      <alignment horizontal="center"/>
    </xf>
    <xf numFmtId="0" fontId="8" fillId="0" borderId="0" xfId="0" applyFont="1" applyAlignment="1">
      <alignment horizontal="center"/>
    </xf>
  </cellXfs>
  <cellStyles count="1">
    <cellStyle name="Bình thường" xfId="0" builtinId="0"/>
  </cellStyles>
  <dxfs count="5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ddd"/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[$-409]dd\-mmm\-yy;@"/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rgb="FF000000"/>
        </top>
      </border>
    </dxf>
    <dxf>
      <border>
        <bottom style="thin">
          <color rgb="FF000000"/>
        </bottom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92D05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indexed="64"/>
          <bgColor theme="5" tint="0.5999938962981048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5" tint="0.5999938962981048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5" tint="0.5999938962981048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8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6" formatCode="[$-409]d\-mmm\-yy;@"/>
      <fill>
        <patternFill patternType="solid">
          <fgColor indexed="64"/>
          <bgColor theme="8" tint="0.79998168889431442"/>
        </patternFill>
      </fill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8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8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5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5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5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5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5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fgColor indexed="64"/>
          <bgColor theme="6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6" formatCode="[$-409]d\-mmm\-yy;@"/>
      <fill>
        <patternFill>
          <fgColor indexed="64"/>
          <bgColor theme="6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fgColor indexed="64"/>
          <bgColor theme="6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" formatCode="0"/>
      <fill>
        <patternFill>
          <fgColor indexed="64"/>
          <bgColor theme="6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" formatCode="0"/>
      <fill>
        <patternFill>
          <fgColor indexed="64"/>
          <bgColor theme="6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" formatCode="0"/>
      <fill>
        <patternFill>
          <fgColor indexed="64"/>
          <bgColor theme="6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rgb="FFDCE6F1"/>
          <bgColor rgb="FFDCE6F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ddd"/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[$-409]dd\-mmm\-yy;@"/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rgb="FF000000"/>
        </top>
      </border>
    </dxf>
    <dxf>
      <border>
        <bottom style="thin">
          <color rgb="FF000000"/>
        </bottom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92D05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>
    <mruColors>
      <color rgb="FFFF6600"/>
      <color rgb="FFFF3300"/>
      <color rgb="FFFF0000"/>
      <color rgb="FF0000FF"/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D8D8592-297A-417B-9B5B-A181BC17A984}" name="Table13" displayName="Table13" ref="A3:L1703" totalsRowShown="0" headerRowDxfId="58" dataDxfId="57" headerRowBorderDxfId="55" tableBorderDxfId="56" totalsRowBorderDxfId="54">
  <autoFilter ref="A3:L1703" xr:uid="{7D8D8592-297A-417B-9B5B-A181BC17A984}"/>
  <sortState xmlns:xlrd2="http://schemas.microsoft.com/office/spreadsheetml/2017/richdata2" ref="A882:L1091">
    <sortCondition ref="A3:A1703"/>
  </sortState>
  <tableColumns count="12">
    <tableColumn id="1" xr3:uid="{E623E865-2E94-4C38-B193-8F5CFBE04770}" name="Date" dataDxfId="53"/>
    <tableColumn id="4" xr3:uid="{62BAF39B-C854-4411-BDC7-E4BACA1B45BC}" name="Day" dataDxfId="52">
      <calculatedColumnFormula>Table13[[#This Row],[Date]]</calculatedColumnFormula>
    </tableColumn>
    <tableColumn id="3" xr3:uid="{52665FA4-08C3-40F0-B604-B1AD256A5612}" name="Team" dataDxfId="51"/>
    <tableColumn id="6" xr3:uid="{D404AD58-F54D-40F3-8744-21AB604089E1}" name="Project Name" dataDxfId="50"/>
    <tableColumn id="7" xr3:uid="{2C2A3512-75F2-4F4A-B7B1-673B0956B7ED}" name="Lift No." dataDxfId="49"/>
    <tableColumn id="8" xr3:uid="{AA260411-AE41-4343-AB18-617C6582C7CA}" name="Model" dataDxfId="48"/>
    <tableColumn id="13" xr3:uid="{8E8191E1-38F2-45FC-852E-50F50487A887}" name="Units" dataDxfId="47"/>
    <tableColumn id="9" xr3:uid="{1E7EB342-8B20-4523-94F6-AD34CFC916CA}" name="Stop" dataDxfId="46"/>
    <tableColumn id="10" xr3:uid="{20A488BC-08C9-45CC-A6D8-135546435EBE}" name="Work Pattern" dataDxfId="45"/>
    <tableColumn id="11" xr3:uid="{E09228BA-34B3-47CA-9D73-CA0B0D866E49}" name="Time" dataDxfId="44"/>
    <tableColumn id="12" xr3:uid="{06CF22EF-1234-4A58-A52E-2EDB78AE8629}" name="Work Instruction" dataDxfId="43"/>
    <tableColumn id="2" xr3:uid="{765A0E76-3F87-42FF-AD22-1FE3150FC857}" name="Planning" dataDxfId="42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FF62A80-E5E4-4951-ACB2-78C256CBAD42}" name="Table1" displayName="Table1" ref="A7:X262" totalsRowShown="0" headerRowDxfId="41" headerRowBorderDxfId="39" tableBorderDxfId="40" totalsRowBorderDxfId="38">
  <autoFilter ref="A7:X262" xr:uid="{AFF62A80-E5E4-4951-ACB2-78C256CBAD42}"/>
  <sortState xmlns:xlrd2="http://schemas.microsoft.com/office/spreadsheetml/2017/richdata2" ref="A153:X208">
    <sortCondition ref="K154:K262"/>
  </sortState>
  <tableColumns count="24">
    <tableColumn id="1" xr3:uid="{F257E213-2C0B-41A1-B634-7280044DE0C1}" name="Project  Name" dataDxfId="37"/>
    <tableColumn id="2" xr3:uid="{59253A61-D72A-4178-8ECE-8061EB4D67C7}" name="Location" dataDxfId="36"/>
    <tableColumn id="3" xr3:uid="{400EC55A-0F22-40AD-B7BA-E686C3BCE8B6}" name="Lift No" dataDxfId="35"/>
    <tableColumn id="4" xr3:uid="{6650789E-B666-4B5F-94CF-773FACEB3D2C}" name="Total Unit" dataDxfId="34"/>
    <tableColumn id="25" xr3:uid="{E0A41CE3-16D5-4AC3-9942-D978F5D1BB16}" name="Installed" dataDxfId="33"/>
    <tableColumn id="5" xr3:uid="{EAADAFD3-BE90-42D7-A81A-16B2867E2588}" name="Type" dataDxfId="32"/>
    <tableColumn id="10" xr3:uid="{64683305-333C-4D5B-BCF2-C675057B50E4}" name="Rated Speed" dataDxfId="31"/>
    <tableColumn id="9" xr3:uid="{B11E5924-0D24-4466-917F-9048BA35323D}" name="OS  Test" dataDxfId="30"/>
    <tableColumn id="11" xr3:uid="{28B16DA2-E2D4-4AC9-BC3B-D0A21AA5877D}" name="Trip Test" dataDxfId="29"/>
    <tableColumn id="8" xr3:uid="{F9D3DCCF-36E2-404F-8300-10C8CA4FF5BA}" name="Safety Gear Test" dataDxfId="28"/>
    <tableColumn id="6" xr3:uid="{1BF5CF68-3444-4DD1-AC56-939D24A4CB7E}" name="Finished Date" dataDxfId="27"/>
    <tableColumn id="7" xr3:uid="{8830F202-5C63-4E9E-9CC1-577B6E127D02}" name="SF Gear Result" dataDxfId="26"/>
    <tableColumn id="12" xr3:uid="{19D30110-66BC-47DB-B1A2-842CD7C949E2}" name="Brake Type" dataDxfId="25"/>
    <tableColumn id="13" xr3:uid="{38848CE9-7EDE-4434-B00A-C62D26100950}" name="Brake Overhaul" dataDxfId="24"/>
    <tableColumn id="14" xr3:uid="{40374034-877C-490F-A3AB-682DD86FAED8}" name="Dynamic Brak" dataDxfId="23"/>
    <tableColumn id="15" xr3:uid="{9E550246-01A5-4378-852D-A4A7BA78A554}" name="Static Brake" dataDxfId="22"/>
    <tableColumn id="18" xr3:uid="{06CEB8F3-87CC-4464-A76C-BD9AFBA89E71}" name="BK Maintenance Result" dataDxfId="21"/>
    <tableColumn id="16" xr3:uid="{40C7F293-D2A5-4F56-B29A-64AC29573A13}" name="% Rope " dataDxfId="20"/>
    <tableColumn id="23" xr3:uid="{187A706D-EED1-4451-924C-C022318244FA}" name="Rust" dataDxfId="19"/>
    <tableColumn id="24" xr3:uid="{72B854ED-6386-40B0-91F9-B3FD3000638B}" name="Rope Maintenance" dataDxfId="18"/>
    <tableColumn id="17" xr3:uid="{6786D18B-7BF2-486C-B402-AAFF21586AA1}" name="Rope Maintenance Result" dataDxfId="17"/>
    <tableColumn id="19" xr3:uid="{19E63B2B-C205-41C0-BC37-489971C87C9D}" name="Sheave Grease" dataDxfId="16"/>
    <tableColumn id="21" xr3:uid="{563D34B5-27E8-46A1-8A72-88C12A791A50}" name="TM Grease" dataDxfId="15"/>
    <tableColumn id="20" xr3:uid="{F6DF26F8-0F2A-4721-82D2-11751A5384C1}" name="Grease Result" dataDxfId="14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726A48B-2C38-42F1-B6FE-3E3B3CDCBD0A}" name="Table134" displayName="Table134" ref="A3:I1556" totalsRowShown="0" headerRowDxfId="13" dataDxfId="12" headerRowBorderDxfId="10" tableBorderDxfId="11" totalsRowBorderDxfId="9">
  <autoFilter ref="A3:I1556" xr:uid="{649B97E1-F6B6-4034-9722-648B47FAE1DD}"/>
  <sortState xmlns:xlrd2="http://schemas.microsoft.com/office/spreadsheetml/2017/richdata2" ref="A4:I1556">
    <sortCondition ref="A564:A1556"/>
  </sortState>
  <tableColumns count="9">
    <tableColumn id="1" xr3:uid="{1CF31303-DEE6-4A2E-9BCC-0210C8061E59}" name="Date" dataDxfId="8"/>
    <tableColumn id="4" xr3:uid="{16954A07-D3DC-4B63-BE79-C6ACF3B2994F}" name="Day" dataDxfId="7">
      <calculatedColumnFormula>Table134[[#This Row],[Date]]</calculatedColumnFormula>
    </tableColumn>
    <tableColumn id="3" xr3:uid="{92DC5829-263A-424A-BF1D-94CCDD56B3BE}" name="Team" dataDxfId="6"/>
    <tableColumn id="5" xr3:uid="{F1E24986-2DA2-42B2-8B81-76F9C850AAC2}" name="INST: Team" dataDxfId="5"/>
    <tableColumn id="6" xr3:uid="{AA9D5889-5409-41AB-81DB-046B89E32AF6}" name="Project Name" dataDxfId="4"/>
    <tableColumn id="7" xr3:uid="{D5CECD0A-1DD6-48C5-A320-0249318A9CB3}" name="Lift No." dataDxfId="3"/>
    <tableColumn id="8" xr3:uid="{A41E5C52-7C7F-4EE4-8392-8A2427448E9B}" name="Model" dataDxfId="2"/>
    <tableColumn id="13" xr3:uid="{01D7783B-337C-4D8F-949F-8EC6B7588951}" name="Units" dataDxfId="1"/>
    <tableColumn id="12" xr3:uid="{FDC13CAD-5723-464B-B917-7D2280A5A035}" name="Work Instruction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431612-1C36-4860-BA07-C0A67947B648}">
  <sheetPr>
    <pageSetUpPr fitToPage="1"/>
  </sheetPr>
  <dimension ref="A1:L1703"/>
  <sheetViews>
    <sheetView tabSelected="1" zoomScale="80" zoomScaleNormal="80" workbookViewId="0">
      <selection activeCell="X1027" sqref="X1027"/>
    </sheetView>
  </sheetViews>
  <sheetFormatPr defaultColWidth="6.7109375" defaultRowHeight="14.45"/>
  <cols>
    <col min="1" max="1" width="13.42578125" customWidth="1"/>
    <col min="2" max="2" width="10.85546875" customWidth="1"/>
    <col min="3" max="3" width="7.7109375" customWidth="1"/>
    <col min="4" max="4" width="37.5703125" customWidth="1"/>
    <col min="5" max="5" width="10" customWidth="1"/>
    <col min="6" max="7" width="7.85546875" style="5" customWidth="1"/>
    <col min="8" max="8" width="6.85546875" style="4" customWidth="1"/>
    <col min="9" max="9" width="13.7109375" style="5" customWidth="1"/>
    <col min="10" max="10" width="7.28515625" style="5" customWidth="1"/>
    <col min="11" max="12" width="24.28515625" style="4" customWidth="1"/>
    <col min="13" max="13" width="7.5703125" customWidth="1"/>
    <col min="14" max="14" width="8.28515625" customWidth="1"/>
    <col min="15" max="15" width="8.140625" customWidth="1"/>
    <col min="16" max="16" width="8.28515625" customWidth="1"/>
    <col min="17" max="17" width="7.140625" customWidth="1"/>
  </cols>
  <sheetData>
    <row r="1" spans="1:12" ht="28.9">
      <c r="A1" s="332" t="s">
        <v>0</v>
      </c>
      <c r="B1" s="332"/>
      <c r="C1" s="332"/>
      <c r="D1" s="332"/>
      <c r="E1" s="332"/>
      <c r="F1" s="332"/>
      <c r="G1" s="332"/>
      <c r="H1" s="332"/>
      <c r="I1" s="332"/>
      <c r="J1" s="332"/>
      <c r="K1" s="332"/>
      <c r="L1" s="332"/>
    </row>
    <row r="2" spans="1:12">
      <c r="A2" s="34"/>
      <c r="B2" s="34"/>
      <c r="C2" s="34"/>
      <c r="D2" s="34"/>
      <c r="E2" s="34"/>
      <c r="F2" s="34" t="s">
        <v>1</v>
      </c>
      <c r="G2" s="34">
        <f>SUBTOTAL(109,Table13[Units])</f>
        <v>1597</v>
      </c>
      <c r="H2" s="34"/>
      <c r="I2" s="34"/>
      <c r="J2" s="34"/>
      <c r="K2" s="34"/>
      <c r="L2" s="34"/>
    </row>
    <row r="3" spans="1:12">
      <c r="A3" s="30" t="s">
        <v>2</v>
      </c>
      <c r="B3" s="30" t="s">
        <v>3</v>
      </c>
      <c r="C3" s="31" t="s">
        <v>4</v>
      </c>
      <c r="D3" s="31" t="s">
        <v>5</v>
      </c>
      <c r="E3" s="31" t="s">
        <v>6</v>
      </c>
      <c r="F3" s="31" t="s">
        <v>7</v>
      </c>
      <c r="G3" s="31" t="s">
        <v>8</v>
      </c>
      <c r="H3" s="31" t="s">
        <v>9</v>
      </c>
      <c r="I3" s="31" t="s">
        <v>10</v>
      </c>
      <c r="J3" s="31" t="s">
        <v>11</v>
      </c>
      <c r="K3" s="32" t="s">
        <v>12</v>
      </c>
      <c r="L3" s="31" t="s">
        <v>13</v>
      </c>
    </row>
    <row r="4" spans="1:12" s="24" customFormat="1">
      <c r="A4" s="26">
        <v>45901</v>
      </c>
      <c r="B4" s="27">
        <f>Table13[[#This Row],[Date]]</f>
        <v>45901</v>
      </c>
      <c r="C4" s="28" t="s">
        <v>14</v>
      </c>
      <c r="D4" s="257" t="s">
        <v>15</v>
      </c>
      <c r="E4" s="47"/>
      <c r="F4" s="28"/>
      <c r="G4" s="28"/>
      <c r="H4" s="28"/>
      <c r="I4" s="28"/>
      <c r="J4" s="28"/>
      <c r="K4" s="29"/>
      <c r="L4" s="264"/>
    </row>
    <row r="5" spans="1:12" s="24" customFormat="1">
      <c r="A5" s="53">
        <v>45901</v>
      </c>
      <c r="B5" s="54">
        <f>Table13[[#This Row],[Date]]</f>
        <v>45901</v>
      </c>
      <c r="C5" s="55" t="s">
        <v>16</v>
      </c>
      <c r="D5" s="62" t="s">
        <v>17</v>
      </c>
      <c r="E5" s="55" t="s">
        <v>18</v>
      </c>
      <c r="F5" s="55" t="s">
        <v>19</v>
      </c>
      <c r="G5" s="55">
        <v>1</v>
      </c>
      <c r="H5" s="55"/>
      <c r="I5" s="55"/>
      <c r="J5" s="55"/>
      <c r="K5" s="57"/>
      <c r="L5" s="55"/>
    </row>
    <row r="6" spans="1:12" s="24" customFormat="1">
      <c r="A6" s="53">
        <v>45901</v>
      </c>
      <c r="B6" s="54">
        <f>Table13[[#This Row],[Date]]</f>
        <v>45901</v>
      </c>
      <c r="C6" s="55" t="s">
        <v>16</v>
      </c>
      <c r="D6" s="56" t="s">
        <v>20</v>
      </c>
      <c r="E6" s="55" t="s">
        <v>21</v>
      </c>
      <c r="F6" s="55" t="s">
        <v>19</v>
      </c>
      <c r="G6" s="55">
        <v>1</v>
      </c>
      <c r="H6" s="55"/>
      <c r="I6" s="55"/>
      <c r="J6" s="55"/>
      <c r="K6" s="57"/>
      <c r="L6" s="55"/>
    </row>
    <row r="7" spans="1:12" s="24" customFormat="1">
      <c r="A7" s="53">
        <v>45901</v>
      </c>
      <c r="B7" s="54">
        <f>Table13[[#This Row],[Date]]</f>
        <v>45901</v>
      </c>
      <c r="C7" s="55" t="s">
        <v>16</v>
      </c>
      <c r="D7" s="151" t="s">
        <v>22</v>
      </c>
      <c r="E7" s="64" t="s">
        <v>18</v>
      </c>
      <c r="F7" s="55" t="s">
        <v>19</v>
      </c>
      <c r="G7" s="55">
        <v>1</v>
      </c>
      <c r="H7" s="55"/>
      <c r="I7" s="55"/>
      <c r="J7" s="55"/>
      <c r="K7" s="57"/>
      <c r="L7" s="55"/>
    </row>
    <row r="8" spans="1:12" s="24" customFormat="1">
      <c r="A8" s="53">
        <v>45901</v>
      </c>
      <c r="B8" s="54">
        <f>Table13[[#This Row],[Date]]</f>
        <v>45901</v>
      </c>
      <c r="C8" s="55" t="s">
        <v>23</v>
      </c>
      <c r="D8" s="151" t="s">
        <v>24</v>
      </c>
      <c r="E8" s="64" t="s">
        <v>18</v>
      </c>
      <c r="F8" s="55" t="s">
        <v>19</v>
      </c>
      <c r="G8" s="55">
        <v>1</v>
      </c>
      <c r="H8" s="55"/>
      <c r="I8" s="55"/>
      <c r="J8" s="55"/>
      <c r="K8" s="57"/>
      <c r="L8" s="55"/>
    </row>
    <row r="9" spans="1:12" s="24" customFormat="1">
      <c r="A9" s="53">
        <v>45901</v>
      </c>
      <c r="B9" s="54">
        <f>Table13[[#This Row],[Date]]</f>
        <v>45901</v>
      </c>
      <c r="C9" s="55" t="s">
        <v>23</v>
      </c>
      <c r="D9" s="151" t="s">
        <v>25</v>
      </c>
      <c r="E9" s="64" t="s">
        <v>18</v>
      </c>
      <c r="F9" s="55" t="s">
        <v>19</v>
      </c>
      <c r="G9" s="55">
        <v>1</v>
      </c>
      <c r="H9" s="55"/>
      <c r="I9" s="55"/>
      <c r="J9" s="55"/>
      <c r="K9" s="57"/>
      <c r="L9" s="55"/>
    </row>
    <row r="10" spans="1:12" s="24" customFormat="1">
      <c r="A10" s="53">
        <v>45901</v>
      </c>
      <c r="B10" s="54">
        <f>Table13[[#This Row],[Date]]</f>
        <v>45901</v>
      </c>
      <c r="C10" s="55" t="s">
        <v>23</v>
      </c>
      <c r="D10" s="151" t="s">
        <v>25</v>
      </c>
      <c r="E10" s="64" t="s">
        <v>21</v>
      </c>
      <c r="F10" s="55" t="s">
        <v>19</v>
      </c>
      <c r="G10" s="55">
        <v>1</v>
      </c>
      <c r="H10" s="55"/>
      <c r="I10" s="55"/>
      <c r="J10" s="55"/>
      <c r="K10" s="57"/>
      <c r="L10" s="55"/>
    </row>
    <row r="11" spans="1:12" s="24" customFormat="1">
      <c r="A11" s="53">
        <v>45901</v>
      </c>
      <c r="B11" s="54">
        <f>Table13[[#This Row],[Date]]</f>
        <v>45901</v>
      </c>
      <c r="C11" s="55" t="s">
        <v>26</v>
      </c>
      <c r="D11" s="74" t="s">
        <v>27</v>
      </c>
      <c r="E11" s="55" t="s">
        <v>18</v>
      </c>
      <c r="F11" s="55" t="s">
        <v>19</v>
      </c>
      <c r="G11" s="55">
        <v>1</v>
      </c>
      <c r="H11" s="55"/>
      <c r="I11" s="55"/>
      <c r="J11" s="55"/>
      <c r="K11" s="57"/>
      <c r="L11" s="58"/>
    </row>
    <row r="12" spans="1:12" s="24" customFormat="1">
      <c r="A12" s="53">
        <v>45901</v>
      </c>
      <c r="B12" s="54">
        <f>Table13[[#This Row],[Date]]</f>
        <v>45901</v>
      </c>
      <c r="C12" s="55" t="s">
        <v>26</v>
      </c>
      <c r="D12" s="74" t="s">
        <v>27</v>
      </c>
      <c r="E12" s="55" t="s">
        <v>28</v>
      </c>
      <c r="F12" s="55" t="s">
        <v>19</v>
      </c>
      <c r="G12" s="55">
        <v>1</v>
      </c>
      <c r="H12" s="55"/>
      <c r="I12" s="55"/>
      <c r="J12" s="55"/>
      <c r="K12" s="57"/>
      <c r="L12" s="55"/>
    </row>
    <row r="13" spans="1:12" s="24" customFormat="1">
      <c r="A13" s="53">
        <v>45901</v>
      </c>
      <c r="B13" s="54">
        <f>Table13[[#This Row],[Date]]</f>
        <v>45901</v>
      </c>
      <c r="C13" s="55" t="s">
        <v>26</v>
      </c>
      <c r="D13" s="74" t="s">
        <v>29</v>
      </c>
      <c r="E13" s="55" t="s">
        <v>18</v>
      </c>
      <c r="F13" s="55" t="s">
        <v>19</v>
      </c>
      <c r="G13" s="55">
        <v>1</v>
      </c>
      <c r="H13" s="55"/>
      <c r="I13" s="55"/>
      <c r="J13" s="55"/>
      <c r="K13" s="57"/>
      <c r="L13" s="55"/>
    </row>
    <row r="14" spans="1:12" s="24" customFormat="1">
      <c r="A14" s="53">
        <v>45901</v>
      </c>
      <c r="B14" s="54">
        <f>Table13[[#This Row],[Date]]</f>
        <v>45901</v>
      </c>
      <c r="C14" s="55" t="s">
        <v>26</v>
      </c>
      <c r="D14" s="74" t="s">
        <v>29</v>
      </c>
      <c r="E14" s="55" t="s">
        <v>28</v>
      </c>
      <c r="F14" s="55" t="s">
        <v>19</v>
      </c>
      <c r="G14" s="55">
        <v>1</v>
      </c>
      <c r="H14" s="55"/>
      <c r="I14" s="55"/>
      <c r="J14" s="55"/>
      <c r="K14" s="57"/>
      <c r="L14" s="55"/>
    </row>
    <row r="15" spans="1:12" s="24" customFormat="1">
      <c r="A15" s="53">
        <v>45902</v>
      </c>
      <c r="B15" s="54">
        <f>Table13[[#This Row],[Date]]</f>
        <v>45902</v>
      </c>
      <c r="C15" s="55" t="s">
        <v>26</v>
      </c>
      <c r="D15" s="74" t="s">
        <v>30</v>
      </c>
      <c r="E15" s="55" t="s">
        <v>18</v>
      </c>
      <c r="F15" s="55" t="s">
        <v>19</v>
      </c>
      <c r="G15" s="55">
        <v>1</v>
      </c>
      <c r="H15" s="55"/>
      <c r="I15" s="55"/>
      <c r="J15" s="55"/>
      <c r="K15" s="57"/>
      <c r="L15" s="55"/>
    </row>
    <row r="16" spans="1:12" s="24" customFormat="1">
      <c r="A16" s="53">
        <v>45902</v>
      </c>
      <c r="B16" s="54">
        <f>Table13[[#This Row],[Date]]</f>
        <v>45902</v>
      </c>
      <c r="C16" s="55" t="s">
        <v>26</v>
      </c>
      <c r="D16" s="74" t="s">
        <v>30</v>
      </c>
      <c r="E16" s="55" t="s">
        <v>28</v>
      </c>
      <c r="F16" s="55" t="s">
        <v>19</v>
      </c>
      <c r="G16" s="55">
        <v>1</v>
      </c>
      <c r="H16" s="55"/>
      <c r="I16" s="55"/>
      <c r="J16" s="55"/>
      <c r="K16" s="57"/>
      <c r="L16" s="55"/>
    </row>
    <row r="17" spans="1:12" s="24" customFormat="1">
      <c r="A17" s="53">
        <v>45902</v>
      </c>
      <c r="B17" s="54">
        <f>Table13[[#This Row],[Date]]</f>
        <v>45902</v>
      </c>
      <c r="C17" s="55" t="s">
        <v>26</v>
      </c>
      <c r="D17" s="74" t="s">
        <v>31</v>
      </c>
      <c r="E17" s="55" t="s">
        <v>18</v>
      </c>
      <c r="F17" s="55" t="s">
        <v>19</v>
      </c>
      <c r="G17" s="55">
        <v>1</v>
      </c>
      <c r="H17" s="55"/>
      <c r="I17" s="55"/>
      <c r="J17" s="55"/>
      <c r="K17" s="57"/>
      <c r="L17" s="55"/>
    </row>
    <row r="18" spans="1:12" s="24" customFormat="1">
      <c r="A18" s="53">
        <v>45902</v>
      </c>
      <c r="B18" s="54">
        <f>Table13[[#This Row],[Date]]</f>
        <v>45902</v>
      </c>
      <c r="C18" s="55" t="s">
        <v>26</v>
      </c>
      <c r="D18" s="74" t="s">
        <v>31</v>
      </c>
      <c r="E18" s="55" t="s">
        <v>28</v>
      </c>
      <c r="F18" s="55" t="s">
        <v>19</v>
      </c>
      <c r="G18" s="55">
        <v>1</v>
      </c>
      <c r="H18" s="55"/>
      <c r="I18" s="55"/>
      <c r="J18" s="55"/>
      <c r="K18" s="57"/>
      <c r="L18" s="55"/>
    </row>
    <row r="19" spans="1:12" s="24" customFormat="1">
      <c r="A19" s="48">
        <v>45902</v>
      </c>
      <c r="B19" s="49">
        <f>Table13[[#This Row],[Date]]</f>
        <v>45902</v>
      </c>
      <c r="C19" s="50" t="s">
        <v>4</v>
      </c>
      <c r="D19" s="51" t="s">
        <v>32</v>
      </c>
      <c r="E19" s="50"/>
      <c r="F19" s="50"/>
      <c r="G19" s="50"/>
      <c r="H19" s="50"/>
      <c r="I19" s="50"/>
      <c r="J19" s="50"/>
      <c r="K19" s="52"/>
      <c r="L19" s="50"/>
    </row>
    <row r="20" spans="1:12" s="24" customFormat="1">
      <c r="A20" s="53">
        <v>45903</v>
      </c>
      <c r="B20" s="54">
        <f>Table13[[#This Row],[Date]]</f>
        <v>45903</v>
      </c>
      <c r="C20" s="55" t="s">
        <v>14</v>
      </c>
      <c r="D20" s="91" t="s">
        <v>33</v>
      </c>
      <c r="E20" s="77" t="s">
        <v>18</v>
      </c>
      <c r="F20" s="55" t="s">
        <v>19</v>
      </c>
      <c r="G20" s="55">
        <v>1</v>
      </c>
      <c r="H20" s="55"/>
      <c r="I20" s="55"/>
      <c r="J20" s="55"/>
      <c r="K20" s="57"/>
      <c r="L20" s="55"/>
    </row>
    <row r="21" spans="1:12" s="24" customFormat="1">
      <c r="A21" s="53">
        <v>45903</v>
      </c>
      <c r="B21" s="54">
        <f>Table13[[#This Row],[Date]]</f>
        <v>45903</v>
      </c>
      <c r="C21" s="55" t="s">
        <v>14</v>
      </c>
      <c r="D21" s="91" t="s">
        <v>33</v>
      </c>
      <c r="E21" s="55" t="s">
        <v>21</v>
      </c>
      <c r="F21" s="55" t="s">
        <v>19</v>
      </c>
      <c r="G21" s="55">
        <v>1</v>
      </c>
      <c r="H21" s="55"/>
      <c r="I21" s="55"/>
      <c r="J21" s="55"/>
      <c r="K21" s="57"/>
      <c r="L21" s="55"/>
    </row>
    <row r="22" spans="1:12" s="24" customFormat="1">
      <c r="A22" s="53">
        <v>45903</v>
      </c>
      <c r="B22" s="54">
        <f>Table13[[#This Row],[Date]]</f>
        <v>45903</v>
      </c>
      <c r="C22" s="55" t="s">
        <v>14</v>
      </c>
      <c r="D22" s="91" t="s">
        <v>33</v>
      </c>
      <c r="E22" s="77" t="s">
        <v>34</v>
      </c>
      <c r="F22" s="55" t="s">
        <v>19</v>
      </c>
      <c r="G22" s="55">
        <v>1</v>
      </c>
      <c r="H22" s="55"/>
      <c r="I22" s="55"/>
      <c r="J22" s="55"/>
      <c r="K22" s="57"/>
      <c r="L22" s="55"/>
    </row>
    <row r="23" spans="1:12" s="24" customFormat="1">
      <c r="A23" s="53">
        <v>45903</v>
      </c>
      <c r="B23" s="54">
        <f>Table13[[#This Row],[Date]]</f>
        <v>45903</v>
      </c>
      <c r="C23" s="55" t="s">
        <v>14</v>
      </c>
      <c r="D23" s="91" t="s">
        <v>33</v>
      </c>
      <c r="E23" s="77" t="s">
        <v>35</v>
      </c>
      <c r="F23" s="55" t="s">
        <v>19</v>
      </c>
      <c r="G23" s="55">
        <v>1</v>
      </c>
      <c r="H23" s="55"/>
      <c r="I23" s="55"/>
      <c r="J23" s="55"/>
      <c r="K23" s="57"/>
      <c r="L23" s="55"/>
    </row>
    <row r="24" spans="1:12" s="24" customFormat="1">
      <c r="A24" s="26">
        <v>45903</v>
      </c>
      <c r="B24" s="27">
        <f>Table13[[#This Row],[Date]]</f>
        <v>45903</v>
      </c>
      <c r="C24" s="28" t="s">
        <v>16</v>
      </c>
      <c r="D24" s="6" t="s">
        <v>15</v>
      </c>
      <c r="E24" s="28"/>
      <c r="F24" s="28"/>
      <c r="G24" s="28"/>
      <c r="H24" s="28"/>
      <c r="I24" s="28"/>
      <c r="J24" s="28"/>
      <c r="K24" s="29"/>
      <c r="L24" s="28"/>
    </row>
    <row r="25" spans="1:12" s="24" customFormat="1">
      <c r="A25" s="53">
        <v>45903</v>
      </c>
      <c r="B25" s="54">
        <f>Table13[[#This Row],[Date]]</f>
        <v>45903</v>
      </c>
      <c r="C25" s="55" t="s">
        <v>23</v>
      </c>
      <c r="D25" s="59" t="s">
        <v>36</v>
      </c>
      <c r="E25" s="55" t="s">
        <v>18</v>
      </c>
      <c r="F25" s="55" t="s">
        <v>19</v>
      </c>
      <c r="G25" s="55">
        <v>1</v>
      </c>
      <c r="H25" s="55"/>
      <c r="I25" s="55"/>
      <c r="J25" s="55"/>
      <c r="K25" s="57"/>
      <c r="L25" s="55"/>
    </row>
    <row r="26" spans="1:12" s="24" customFormat="1">
      <c r="A26" s="53">
        <v>45903</v>
      </c>
      <c r="B26" s="54">
        <f>Table13[[#This Row],[Date]]</f>
        <v>45903</v>
      </c>
      <c r="C26" s="55" t="s">
        <v>23</v>
      </c>
      <c r="D26" s="59" t="s">
        <v>37</v>
      </c>
      <c r="E26" s="55" t="s">
        <v>18</v>
      </c>
      <c r="F26" s="55" t="s">
        <v>19</v>
      </c>
      <c r="G26" s="55">
        <v>1</v>
      </c>
      <c r="H26" s="55"/>
      <c r="I26" s="55"/>
      <c r="J26" s="55"/>
      <c r="K26" s="57"/>
      <c r="L26" s="58"/>
    </row>
    <row r="27" spans="1:12" s="24" customFormat="1">
      <c r="A27" s="53">
        <v>45903</v>
      </c>
      <c r="B27" s="54">
        <f>Table13[[#This Row],[Date]]</f>
        <v>45903</v>
      </c>
      <c r="C27" s="55" t="s">
        <v>23</v>
      </c>
      <c r="D27" s="59" t="s">
        <v>38</v>
      </c>
      <c r="E27" s="55" t="s">
        <v>18</v>
      </c>
      <c r="F27" s="55" t="s">
        <v>19</v>
      </c>
      <c r="G27" s="55">
        <v>1</v>
      </c>
      <c r="H27" s="55"/>
      <c r="I27" s="55"/>
      <c r="J27" s="55"/>
      <c r="K27" s="57"/>
      <c r="L27" s="55"/>
    </row>
    <row r="28" spans="1:12" s="24" customFormat="1">
      <c r="A28" s="53">
        <v>45903</v>
      </c>
      <c r="B28" s="54">
        <f>Table13[[#This Row],[Date]]</f>
        <v>45903</v>
      </c>
      <c r="C28" s="55" t="s">
        <v>26</v>
      </c>
      <c r="D28" s="74" t="s">
        <v>39</v>
      </c>
      <c r="E28" s="55" t="s">
        <v>18</v>
      </c>
      <c r="F28" s="55" t="s">
        <v>19</v>
      </c>
      <c r="G28" s="55">
        <v>1</v>
      </c>
      <c r="H28" s="55"/>
      <c r="I28" s="55"/>
      <c r="J28" s="55"/>
      <c r="K28" s="57"/>
      <c r="L28" s="55"/>
    </row>
    <row r="29" spans="1:12" s="24" customFormat="1">
      <c r="A29" s="53">
        <v>45903</v>
      </c>
      <c r="B29" s="54">
        <f>Table13[[#This Row],[Date]]</f>
        <v>45903</v>
      </c>
      <c r="C29" s="55" t="s">
        <v>26</v>
      </c>
      <c r="D29" s="74" t="s">
        <v>39</v>
      </c>
      <c r="E29" s="55" t="s">
        <v>28</v>
      </c>
      <c r="F29" s="55" t="s">
        <v>19</v>
      </c>
      <c r="G29" s="55">
        <v>1</v>
      </c>
      <c r="H29" s="55"/>
      <c r="I29" s="55"/>
      <c r="J29" s="55"/>
      <c r="K29" s="57"/>
      <c r="L29" s="55"/>
    </row>
    <row r="30" spans="1:12" s="24" customFormat="1">
      <c r="A30" s="53">
        <v>45903</v>
      </c>
      <c r="B30" s="54">
        <f>Table13[[#This Row],[Date]]</f>
        <v>45903</v>
      </c>
      <c r="C30" s="55" t="s">
        <v>26</v>
      </c>
      <c r="D30" s="74" t="s">
        <v>40</v>
      </c>
      <c r="E30" s="55" t="s">
        <v>18</v>
      </c>
      <c r="F30" s="55" t="s">
        <v>19</v>
      </c>
      <c r="G30" s="55">
        <v>1</v>
      </c>
      <c r="H30" s="55"/>
      <c r="I30" s="55"/>
      <c r="J30" s="55"/>
      <c r="K30" s="57"/>
      <c r="L30" s="55"/>
    </row>
    <row r="31" spans="1:12" s="24" customFormat="1">
      <c r="A31" s="53">
        <v>45903</v>
      </c>
      <c r="B31" s="54">
        <f>Table13[[#This Row],[Date]]</f>
        <v>45903</v>
      </c>
      <c r="C31" s="55" t="s">
        <v>26</v>
      </c>
      <c r="D31" s="74" t="s">
        <v>40</v>
      </c>
      <c r="E31" s="55" t="s">
        <v>28</v>
      </c>
      <c r="F31" s="55" t="s">
        <v>19</v>
      </c>
      <c r="G31" s="55">
        <v>1</v>
      </c>
      <c r="H31" s="55"/>
      <c r="I31" s="55"/>
      <c r="J31" s="55"/>
      <c r="K31" s="57"/>
      <c r="L31" s="55"/>
    </row>
    <row r="32" spans="1:12" s="24" customFormat="1">
      <c r="A32" s="53">
        <v>45904</v>
      </c>
      <c r="B32" s="54">
        <f>Table13[[#This Row],[Date]]</f>
        <v>45904</v>
      </c>
      <c r="C32" s="55" t="s">
        <v>14</v>
      </c>
      <c r="D32" s="91" t="s">
        <v>33</v>
      </c>
      <c r="E32" s="64" t="s">
        <v>41</v>
      </c>
      <c r="F32" s="55" t="s">
        <v>19</v>
      </c>
      <c r="G32" s="55">
        <v>1</v>
      </c>
      <c r="H32" s="55"/>
      <c r="I32" s="55"/>
      <c r="J32" s="55"/>
      <c r="K32" s="57"/>
      <c r="L32" s="55"/>
    </row>
    <row r="33" spans="1:12" s="24" customFormat="1">
      <c r="A33" s="53">
        <v>45904</v>
      </c>
      <c r="B33" s="54">
        <f>Table13[[#This Row],[Date]]</f>
        <v>45904</v>
      </c>
      <c r="C33" s="55" t="s">
        <v>14</v>
      </c>
      <c r="D33" s="91" t="s">
        <v>33</v>
      </c>
      <c r="E33" s="55" t="s">
        <v>42</v>
      </c>
      <c r="F33" s="55" t="s">
        <v>19</v>
      </c>
      <c r="G33" s="55">
        <v>1</v>
      </c>
      <c r="H33" s="55"/>
      <c r="I33" s="55"/>
      <c r="J33" s="55"/>
      <c r="K33" s="57"/>
      <c r="L33" s="58"/>
    </row>
    <row r="34" spans="1:12" s="24" customFormat="1">
      <c r="A34" s="53">
        <v>45904</v>
      </c>
      <c r="B34" s="54">
        <f>Table13[[#This Row],[Date]]</f>
        <v>45904</v>
      </c>
      <c r="C34" s="55" t="s">
        <v>14</v>
      </c>
      <c r="D34" s="91" t="s">
        <v>33</v>
      </c>
      <c r="E34" s="55" t="s">
        <v>43</v>
      </c>
      <c r="F34" s="55" t="s">
        <v>19</v>
      </c>
      <c r="G34" s="55">
        <v>1</v>
      </c>
      <c r="H34" s="55"/>
      <c r="I34" s="55"/>
      <c r="J34" s="55"/>
      <c r="K34" s="57"/>
      <c r="L34" s="55"/>
    </row>
    <row r="35" spans="1:12" s="24" customFormat="1">
      <c r="A35" s="53">
        <v>45904</v>
      </c>
      <c r="B35" s="54">
        <f>Table13[[#This Row],[Date]]</f>
        <v>45904</v>
      </c>
      <c r="C35" s="55" t="s">
        <v>14</v>
      </c>
      <c r="D35" s="91" t="s">
        <v>33</v>
      </c>
      <c r="E35" s="64" t="s">
        <v>44</v>
      </c>
      <c r="F35" s="55" t="s">
        <v>19</v>
      </c>
      <c r="G35" s="55">
        <v>1</v>
      </c>
      <c r="H35" s="55"/>
      <c r="I35" s="55"/>
      <c r="J35" s="55"/>
      <c r="K35" s="57"/>
      <c r="L35" s="55"/>
    </row>
    <row r="36" spans="1:12" s="24" customFormat="1">
      <c r="A36" s="53">
        <v>45904</v>
      </c>
      <c r="B36" s="54">
        <f>Table13[[#This Row],[Date]]</f>
        <v>45904</v>
      </c>
      <c r="C36" s="55" t="s">
        <v>14</v>
      </c>
      <c r="D36" s="91" t="s">
        <v>33</v>
      </c>
      <c r="E36" s="64" t="s">
        <v>45</v>
      </c>
      <c r="F36" s="55" t="s">
        <v>19</v>
      </c>
      <c r="G36" s="55">
        <v>1</v>
      </c>
      <c r="H36" s="55"/>
      <c r="I36" s="55"/>
      <c r="J36" s="55"/>
      <c r="K36" s="57"/>
      <c r="L36" s="55"/>
    </row>
    <row r="37" spans="1:12" s="24" customFormat="1">
      <c r="A37" s="53">
        <v>45904</v>
      </c>
      <c r="B37" s="54">
        <f>Table13[[#This Row],[Date]]</f>
        <v>45904</v>
      </c>
      <c r="C37" s="55" t="s">
        <v>16</v>
      </c>
      <c r="D37" s="59" t="s">
        <v>46</v>
      </c>
      <c r="E37" s="64" t="s">
        <v>18</v>
      </c>
      <c r="F37" s="55" t="s">
        <v>19</v>
      </c>
      <c r="G37" s="55">
        <v>1</v>
      </c>
      <c r="H37" s="55"/>
      <c r="I37" s="55"/>
      <c r="J37" s="55"/>
      <c r="K37" s="57"/>
      <c r="L37" s="55"/>
    </row>
    <row r="38" spans="1:12" s="24" customFormat="1">
      <c r="A38" s="53">
        <v>45904</v>
      </c>
      <c r="B38" s="54">
        <f>Table13[[#This Row],[Date]]</f>
        <v>45904</v>
      </c>
      <c r="C38" s="55" t="s">
        <v>16</v>
      </c>
      <c r="D38" s="59" t="s">
        <v>46</v>
      </c>
      <c r="E38" s="64" t="s">
        <v>21</v>
      </c>
      <c r="F38" s="55" t="s">
        <v>19</v>
      </c>
      <c r="G38" s="55">
        <v>1</v>
      </c>
      <c r="H38" s="55"/>
      <c r="I38" s="55"/>
      <c r="J38" s="55"/>
      <c r="K38" s="57"/>
      <c r="L38" s="55"/>
    </row>
    <row r="39" spans="1:12" s="24" customFormat="1">
      <c r="A39" s="53">
        <v>45904</v>
      </c>
      <c r="B39" s="54">
        <f>Table13[[#This Row],[Date]]</f>
        <v>45904</v>
      </c>
      <c r="C39" s="55" t="s">
        <v>16</v>
      </c>
      <c r="D39" s="59" t="s">
        <v>46</v>
      </c>
      <c r="E39" s="64" t="s">
        <v>47</v>
      </c>
      <c r="F39" s="55" t="s">
        <v>19</v>
      </c>
      <c r="G39" s="55">
        <v>1</v>
      </c>
      <c r="H39" s="55"/>
      <c r="I39" s="55"/>
      <c r="J39" s="55"/>
      <c r="K39" s="57"/>
      <c r="L39" s="55"/>
    </row>
    <row r="40" spans="1:12" s="24" customFormat="1">
      <c r="A40" s="26">
        <v>45904</v>
      </c>
      <c r="B40" s="27">
        <f>Table13[[#This Row],[Date]]</f>
        <v>45904</v>
      </c>
      <c r="C40" s="28" t="s">
        <v>23</v>
      </c>
      <c r="D40" s="6" t="s">
        <v>15</v>
      </c>
      <c r="E40" s="28"/>
      <c r="F40" s="28"/>
      <c r="G40" s="28"/>
      <c r="H40" s="28"/>
      <c r="I40" s="28"/>
      <c r="J40" s="28"/>
      <c r="K40" s="29"/>
      <c r="L40" s="28"/>
    </row>
    <row r="41" spans="1:12" s="24" customFormat="1">
      <c r="A41" s="53">
        <v>45904</v>
      </c>
      <c r="B41" s="54">
        <f>Table13[[#This Row],[Date]]</f>
        <v>45904</v>
      </c>
      <c r="C41" s="55" t="s">
        <v>26</v>
      </c>
      <c r="D41" s="61" t="s">
        <v>48</v>
      </c>
      <c r="E41" s="64" t="s">
        <v>18</v>
      </c>
      <c r="F41" s="55" t="s">
        <v>19</v>
      </c>
      <c r="G41" s="55">
        <v>1</v>
      </c>
      <c r="H41" s="55"/>
      <c r="I41" s="55"/>
      <c r="J41" s="55"/>
      <c r="K41" s="57"/>
      <c r="L41" s="55"/>
    </row>
    <row r="42" spans="1:12" s="24" customFormat="1">
      <c r="A42" s="53">
        <v>45904</v>
      </c>
      <c r="B42" s="54">
        <f>Table13[[#This Row],[Date]]</f>
        <v>45904</v>
      </c>
      <c r="C42" s="55" t="s">
        <v>26</v>
      </c>
      <c r="D42" s="61" t="s">
        <v>48</v>
      </c>
      <c r="E42" s="64" t="s">
        <v>21</v>
      </c>
      <c r="F42" s="55" t="s">
        <v>19</v>
      </c>
      <c r="G42" s="55">
        <v>1</v>
      </c>
      <c r="H42" s="55"/>
      <c r="I42" s="55"/>
      <c r="J42" s="55"/>
      <c r="K42" s="57"/>
      <c r="L42" s="55"/>
    </row>
    <row r="43" spans="1:12" s="24" customFormat="1">
      <c r="A43" s="53">
        <v>45904</v>
      </c>
      <c r="B43" s="54">
        <f>Table13[[#This Row],[Date]]</f>
        <v>45904</v>
      </c>
      <c r="C43" s="55" t="s">
        <v>26</v>
      </c>
      <c r="D43" s="61" t="s">
        <v>48</v>
      </c>
      <c r="E43" s="64" t="s">
        <v>49</v>
      </c>
      <c r="F43" s="55" t="s">
        <v>19</v>
      </c>
      <c r="G43" s="55">
        <v>1</v>
      </c>
      <c r="H43" s="55"/>
      <c r="I43" s="55"/>
      <c r="J43" s="55"/>
      <c r="K43" s="57"/>
      <c r="L43" s="55"/>
    </row>
    <row r="44" spans="1:12" s="24" customFormat="1">
      <c r="A44" s="53">
        <v>45904</v>
      </c>
      <c r="B44" s="54">
        <f>Table13[[#This Row],[Date]]</f>
        <v>45904</v>
      </c>
      <c r="C44" s="55" t="s">
        <v>26</v>
      </c>
      <c r="D44" s="61" t="s">
        <v>48</v>
      </c>
      <c r="E44" s="64" t="s">
        <v>41</v>
      </c>
      <c r="F44" s="55" t="s">
        <v>19</v>
      </c>
      <c r="G44" s="55">
        <v>1</v>
      </c>
      <c r="H44" s="55"/>
      <c r="I44" s="55"/>
      <c r="J44" s="55"/>
      <c r="K44" s="57"/>
      <c r="L44" s="55"/>
    </row>
    <row r="45" spans="1:12" s="24" customFormat="1">
      <c r="A45" s="26">
        <v>45905</v>
      </c>
      <c r="B45" s="27">
        <f>Table13[[#This Row],[Date]]</f>
        <v>45905</v>
      </c>
      <c r="C45" s="28" t="s">
        <v>14</v>
      </c>
      <c r="D45" s="6" t="s">
        <v>15</v>
      </c>
      <c r="E45" s="28"/>
      <c r="F45" s="28"/>
      <c r="G45" s="28"/>
      <c r="H45" s="28"/>
      <c r="I45" s="28"/>
      <c r="J45" s="28"/>
      <c r="K45" s="29"/>
      <c r="L45" s="28"/>
    </row>
    <row r="46" spans="1:12" s="24" customFormat="1">
      <c r="A46" s="53">
        <v>45905</v>
      </c>
      <c r="B46" s="54">
        <f>Table13[[#This Row],[Date]]</f>
        <v>45905</v>
      </c>
      <c r="C46" s="55" t="s">
        <v>16</v>
      </c>
      <c r="D46" s="118" t="s">
        <v>50</v>
      </c>
      <c r="E46" s="64" t="s">
        <v>47</v>
      </c>
      <c r="F46" s="55" t="s">
        <v>19</v>
      </c>
      <c r="G46" s="55">
        <v>1</v>
      </c>
      <c r="H46" s="55"/>
      <c r="I46" s="55"/>
      <c r="J46" s="55"/>
      <c r="K46" s="57"/>
      <c r="L46" s="55"/>
    </row>
    <row r="47" spans="1:12" s="24" customFormat="1">
      <c r="A47" s="53">
        <v>45905</v>
      </c>
      <c r="B47" s="54">
        <f>Table13[[#This Row],[Date]]</f>
        <v>45905</v>
      </c>
      <c r="C47" s="55" t="s">
        <v>16</v>
      </c>
      <c r="D47" s="118" t="s">
        <v>50</v>
      </c>
      <c r="E47" s="64" t="s">
        <v>18</v>
      </c>
      <c r="F47" s="55" t="s">
        <v>19</v>
      </c>
      <c r="G47" s="55">
        <v>1</v>
      </c>
      <c r="H47" s="55"/>
      <c r="I47" s="55"/>
      <c r="J47" s="55"/>
      <c r="K47" s="57"/>
      <c r="L47" s="55"/>
    </row>
    <row r="48" spans="1:12" s="24" customFormat="1">
      <c r="A48" s="53">
        <v>45905</v>
      </c>
      <c r="B48" s="54">
        <f>Table13[[#This Row],[Date]]</f>
        <v>45905</v>
      </c>
      <c r="C48" s="55" t="s">
        <v>16</v>
      </c>
      <c r="D48" s="118" t="s">
        <v>50</v>
      </c>
      <c r="E48" s="64" t="s">
        <v>21</v>
      </c>
      <c r="F48" s="55" t="s">
        <v>19</v>
      </c>
      <c r="G48" s="55">
        <v>1</v>
      </c>
      <c r="H48" s="55"/>
      <c r="I48" s="55"/>
      <c r="J48" s="55"/>
      <c r="K48" s="57"/>
      <c r="L48" s="55"/>
    </row>
    <row r="49" spans="1:12" s="24" customFormat="1">
      <c r="A49" s="53">
        <v>45905</v>
      </c>
      <c r="B49" s="54">
        <f>Table13[[#This Row],[Date]]</f>
        <v>45905</v>
      </c>
      <c r="C49" s="55" t="s">
        <v>16</v>
      </c>
      <c r="D49" s="59" t="s">
        <v>51</v>
      </c>
      <c r="E49" s="55" t="s">
        <v>18</v>
      </c>
      <c r="F49" s="55" t="s">
        <v>19</v>
      </c>
      <c r="G49" s="55">
        <v>1</v>
      </c>
      <c r="H49" s="55"/>
      <c r="I49" s="55"/>
      <c r="J49" s="55"/>
      <c r="K49" s="57"/>
      <c r="L49" s="55"/>
    </row>
    <row r="50" spans="1:12" s="24" customFormat="1">
      <c r="A50" s="53">
        <v>45905</v>
      </c>
      <c r="B50" s="54">
        <f>Table13[[#This Row],[Date]]</f>
        <v>45905</v>
      </c>
      <c r="C50" s="55" t="s">
        <v>23</v>
      </c>
      <c r="D50" s="123" t="s">
        <v>52</v>
      </c>
      <c r="E50" s="64" t="s">
        <v>47</v>
      </c>
      <c r="F50" s="55" t="s">
        <v>19</v>
      </c>
      <c r="G50" s="55">
        <v>1</v>
      </c>
      <c r="H50" s="55"/>
      <c r="I50" s="55"/>
      <c r="J50" s="55"/>
      <c r="K50" s="57"/>
      <c r="L50" s="55"/>
    </row>
    <row r="51" spans="1:12" s="24" customFormat="1">
      <c r="A51" s="53">
        <v>45905</v>
      </c>
      <c r="B51" s="54">
        <f>Table13[[#This Row],[Date]]</f>
        <v>45905</v>
      </c>
      <c r="C51" s="55" t="s">
        <v>23</v>
      </c>
      <c r="D51" s="123" t="s">
        <v>52</v>
      </c>
      <c r="E51" s="64" t="s">
        <v>53</v>
      </c>
      <c r="F51" s="55" t="s">
        <v>19</v>
      </c>
      <c r="G51" s="55">
        <v>1</v>
      </c>
      <c r="H51" s="55"/>
      <c r="I51" s="55"/>
      <c r="J51" s="55"/>
      <c r="K51" s="57"/>
      <c r="L51" s="55"/>
    </row>
    <row r="52" spans="1:12" s="24" customFormat="1">
      <c r="A52" s="53">
        <v>45905</v>
      </c>
      <c r="B52" s="54">
        <f>Table13[[#This Row],[Date]]</f>
        <v>45905</v>
      </c>
      <c r="C52" s="55" t="s">
        <v>23</v>
      </c>
      <c r="D52" s="91" t="s">
        <v>54</v>
      </c>
      <c r="E52" s="64" t="s">
        <v>18</v>
      </c>
      <c r="F52" s="55" t="s">
        <v>19</v>
      </c>
      <c r="G52" s="55">
        <v>1</v>
      </c>
      <c r="H52" s="55"/>
      <c r="I52" s="55"/>
      <c r="J52" s="55"/>
      <c r="K52" s="57"/>
      <c r="L52" s="55"/>
    </row>
    <row r="53" spans="1:12" s="24" customFormat="1">
      <c r="A53" s="53">
        <v>45905</v>
      </c>
      <c r="B53" s="54">
        <f>Table13[[#This Row],[Date]]</f>
        <v>45905</v>
      </c>
      <c r="C53" s="55" t="s">
        <v>23</v>
      </c>
      <c r="D53" s="91" t="s">
        <v>54</v>
      </c>
      <c r="E53" s="64" t="s">
        <v>21</v>
      </c>
      <c r="F53" s="55" t="s">
        <v>19</v>
      </c>
      <c r="G53" s="55">
        <v>1</v>
      </c>
      <c r="H53" s="55"/>
      <c r="I53" s="55"/>
      <c r="J53" s="55"/>
      <c r="K53" s="57"/>
      <c r="L53" s="55"/>
    </row>
    <row r="54" spans="1:12" s="24" customFormat="1">
      <c r="A54" s="53">
        <v>45905</v>
      </c>
      <c r="B54" s="54">
        <f>Table13[[#This Row],[Date]]</f>
        <v>45905</v>
      </c>
      <c r="C54" s="55" t="s">
        <v>26</v>
      </c>
      <c r="D54" s="61" t="s">
        <v>55</v>
      </c>
      <c r="E54" s="64" t="s">
        <v>18</v>
      </c>
      <c r="F54" s="55" t="s">
        <v>19</v>
      </c>
      <c r="G54" s="55">
        <v>1</v>
      </c>
      <c r="H54" s="55"/>
      <c r="I54" s="55"/>
      <c r="J54" s="55"/>
      <c r="K54" s="57"/>
      <c r="L54" s="55"/>
    </row>
    <row r="55" spans="1:12" s="24" customFormat="1">
      <c r="A55" s="53">
        <v>45905</v>
      </c>
      <c r="B55" s="54">
        <f>Table13[[#This Row],[Date]]</f>
        <v>45905</v>
      </c>
      <c r="C55" s="55" t="s">
        <v>26</v>
      </c>
      <c r="D55" s="61" t="s">
        <v>55</v>
      </c>
      <c r="E55" s="64" t="s">
        <v>21</v>
      </c>
      <c r="F55" s="55" t="s">
        <v>19</v>
      </c>
      <c r="G55" s="55">
        <v>1</v>
      </c>
      <c r="H55" s="55"/>
      <c r="I55" s="55"/>
      <c r="J55" s="55"/>
      <c r="K55" s="57"/>
      <c r="L55" s="55"/>
    </row>
    <row r="56" spans="1:12" s="24" customFormat="1">
      <c r="A56" s="16">
        <v>45906</v>
      </c>
      <c r="B56" s="18">
        <f>Table13[[#This Row],[Date]]</f>
        <v>45906</v>
      </c>
      <c r="C56" s="10" t="s">
        <v>14</v>
      </c>
      <c r="D56" s="9" t="s">
        <v>56</v>
      </c>
      <c r="E56" s="10" t="s">
        <v>18</v>
      </c>
      <c r="F56" s="10" t="s">
        <v>19</v>
      </c>
      <c r="G56" s="10">
        <v>1</v>
      </c>
      <c r="H56" s="10"/>
      <c r="I56" s="10"/>
      <c r="J56" s="10"/>
      <c r="K56" s="13"/>
      <c r="L56" s="10"/>
    </row>
    <row r="57" spans="1:12" s="24" customFormat="1">
      <c r="A57" s="16">
        <v>45906</v>
      </c>
      <c r="B57" s="18">
        <f>Table13[[#This Row],[Date]]</f>
        <v>45906</v>
      </c>
      <c r="C57" s="10" t="s">
        <v>14</v>
      </c>
      <c r="D57" s="9" t="s">
        <v>57</v>
      </c>
      <c r="E57" s="10" t="s">
        <v>18</v>
      </c>
      <c r="F57" s="10" t="s">
        <v>19</v>
      </c>
      <c r="G57" s="10">
        <v>1</v>
      </c>
      <c r="H57" s="10"/>
      <c r="I57" s="10"/>
      <c r="J57" s="10"/>
      <c r="K57" s="13"/>
      <c r="L57" s="10"/>
    </row>
    <row r="58" spans="1:12" s="24" customFormat="1">
      <c r="A58" s="16">
        <v>45906</v>
      </c>
      <c r="B58" s="18">
        <f>Table13[[#This Row],[Date]]</f>
        <v>45906</v>
      </c>
      <c r="C58" s="10" t="s">
        <v>4</v>
      </c>
      <c r="D58" s="9" t="s">
        <v>58</v>
      </c>
      <c r="E58" s="10" t="s">
        <v>59</v>
      </c>
      <c r="F58" s="10" t="s">
        <v>60</v>
      </c>
      <c r="G58" s="10">
        <v>1</v>
      </c>
      <c r="H58" s="10"/>
      <c r="I58" s="10"/>
      <c r="J58" s="10"/>
      <c r="K58" s="13"/>
      <c r="L58" s="10"/>
    </row>
    <row r="59" spans="1:12" s="24" customFormat="1">
      <c r="A59" s="16">
        <v>45906</v>
      </c>
      <c r="B59" s="18">
        <f>Table13[[#This Row],[Date]]</f>
        <v>45906</v>
      </c>
      <c r="C59" s="10" t="s">
        <v>4</v>
      </c>
      <c r="D59" s="9" t="s">
        <v>58</v>
      </c>
      <c r="E59" s="10" t="s">
        <v>61</v>
      </c>
      <c r="F59" s="10" t="s">
        <v>60</v>
      </c>
      <c r="G59" s="10">
        <v>1</v>
      </c>
      <c r="H59" s="10"/>
      <c r="I59" s="10"/>
      <c r="J59" s="10"/>
      <c r="K59" s="13"/>
      <c r="L59" s="10"/>
    </row>
    <row r="60" spans="1:12" s="24" customFormat="1">
      <c r="A60" s="16">
        <v>45906</v>
      </c>
      <c r="B60" s="18">
        <f>Table13[[#This Row],[Date]]</f>
        <v>45906</v>
      </c>
      <c r="C60" s="10" t="s">
        <v>4</v>
      </c>
      <c r="D60" s="9" t="s">
        <v>58</v>
      </c>
      <c r="E60" s="8" t="s">
        <v>18</v>
      </c>
      <c r="F60" s="10" t="s">
        <v>19</v>
      </c>
      <c r="G60" s="10">
        <v>1</v>
      </c>
      <c r="H60" s="10"/>
      <c r="I60" s="10"/>
      <c r="J60" s="10"/>
      <c r="K60" s="13"/>
      <c r="L60" s="10"/>
    </row>
    <row r="61" spans="1:12" s="24" customFormat="1">
      <c r="A61" s="16">
        <v>45906</v>
      </c>
      <c r="B61" s="18">
        <f>Table13[[#This Row],[Date]]</f>
        <v>45906</v>
      </c>
      <c r="C61" s="10" t="s">
        <v>4</v>
      </c>
      <c r="D61" s="9" t="s">
        <v>58</v>
      </c>
      <c r="E61" s="8" t="s">
        <v>21</v>
      </c>
      <c r="F61" s="10" t="s">
        <v>19</v>
      </c>
      <c r="G61" s="10">
        <v>1</v>
      </c>
      <c r="H61" s="10"/>
      <c r="I61" s="10"/>
      <c r="J61" s="10"/>
      <c r="K61" s="13"/>
      <c r="L61" s="10"/>
    </row>
    <row r="62" spans="1:12" s="24" customFormat="1">
      <c r="A62" s="16">
        <v>45906</v>
      </c>
      <c r="B62" s="18">
        <f>Table13[[#This Row],[Date]]</f>
        <v>45906</v>
      </c>
      <c r="C62" s="10" t="s">
        <v>4</v>
      </c>
      <c r="D62" s="9" t="s">
        <v>58</v>
      </c>
      <c r="E62" s="8" t="s">
        <v>49</v>
      </c>
      <c r="F62" s="10" t="s">
        <v>19</v>
      </c>
      <c r="G62" s="10">
        <v>1</v>
      </c>
      <c r="H62" s="10"/>
      <c r="I62" s="10"/>
      <c r="J62" s="10"/>
      <c r="K62" s="13"/>
      <c r="L62" s="10"/>
    </row>
    <row r="63" spans="1:12" s="24" customFormat="1">
      <c r="A63" s="16">
        <v>45906</v>
      </c>
      <c r="B63" s="18">
        <f>Table13[[#This Row],[Date]]</f>
        <v>45906</v>
      </c>
      <c r="C63" s="10" t="s">
        <v>4</v>
      </c>
      <c r="D63" s="9" t="s">
        <v>58</v>
      </c>
      <c r="E63" s="8" t="s">
        <v>41</v>
      </c>
      <c r="F63" s="10" t="s">
        <v>19</v>
      </c>
      <c r="G63" s="10">
        <v>1</v>
      </c>
      <c r="H63" s="10"/>
      <c r="I63" s="10"/>
      <c r="J63" s="10"/>
      <c r="K63" s="13"/>
      <c r="L63" s="10"/>
    </row>
    <row r="64" spans="1:12" s="24" customFormat="1" ht="28.9">
      <c r="A64" s="16">
        <v>45907</v>
      </c>
      <c r="B64" s="18">
        <f>Table13[[#This Row],[Date]]</f>
        <v>45907</v>
      </c>
      <c r="C64" s="10" t="s">
        <v>16</v>
      </c>
      <c r="D64" s="9" t="s">
        <v>62</v>
      </c>
      <c r="E64" s="10" t="s">
        <v>18</v>
      </c>
      <c r="F64" s="10" t="s">
        <v>19</v>
      </c>
      <c r="G64" s="10">
        <v>1</v>
      </c>
      <c r="H64" s="10"/>
      <c r="I64" s="10"/>
      <c r="J64" s="10"/>
      <c r="K64" s="13"/>
      <c r="L64" s="10"/>
    </row>
    <row r="65" spans="1:12" s="24" customFormat="1">
      <c r="A65" s="16">
        <v>45907</v>
      </c>
      <c r="B65" s="18">
        <f>Table13[[#This Row],[Date]]</f>
        <v>45907</v>
      </c>
      <c r="C65" s="10" t="s">
        <v>16</v>
      </c>
      <c r="D65" s="9" t="s">
        <v>63</v>
      </c>
      <c r="E65" s="10" t="s">
        <v>18</v>
      </c>
      <c r="F65" s="10" t="s">
        <v>19</v>
      </c>
      <c r="G65" s="10">
        <v>1</v>
      </c>
      <c r="H65" s="10"/>
      <c r="I65" s="10"/>
      <c r="J65" s="10"/>
      <c r="K65" s="13"/>
      <c r="L65" s="10"/>
    </row>
    <row r="66" spans="1:12" s="24" customFormat="1">
      <c r="A66" s="16">
        <v>45907</v>
      </c>
      <c r="B66" s="18">
        <f>Table13[[#This Row],[Date]]</f>
        <v>45907</v>
      </c>
      <c r="C66" s="10" t="s">
        <v>4</v>
      </c>
      <c r="D66" s="11" t="s">
        <v>58</v>
      </c>
      <c r="E66" s="8" t="s">
        <v>42</v>
      </c>
      <c r="F66" s="10" t="s">
        <v>19</v>
      </c>
      <c r="G66" s="10">
        <v>1</v>
      </c>
      <c r="H66" s="10"/>
      <c r="I66" s="10"/>
      <c r="J66" s="10"/>
      <c r="K66" s="13"/>
      <c r="L66" s="10"/>
    </row>
    <row r="67" spans="1:12" s="24" customFormat="1">
      <c r="A67" s="16">
        <v>45907</v>
      </c>
      <c r="B67" s="18">
        <f>Table13[[#This Row],[Date]]</f>
        <v>45907</v>
      </c>
      <c r="C67" s="10" t="s">
        <v>4</v>
      </c>
      <c r="D67" s="9" t="s">
        <v>58</v>
      </c>
      <c r="E67" s="10" t="s">
        <v>64</v>
      </c>
      <c r="F67" s="10" t="s">
        <v>19</v>
      </c>
      <c r="G67" s="10">
        <v>1</v>
      </c>
      <c r="H67" s="10"/>
      <c r="I67" s="10"/>
      <c r="J67" s="10"/>
      <c r="K67" s="13"/>
      <c r="L67" s="10"/>
    </row>
    <row r="68" spans="1:12" s="24" customFormat="1">
      <c r="A68" s="16">
        <v>45907</v>
      </c>
      <c r="B68" s="18">
        <f>Table13[[#This Row],[Date]]</f>
        <v>45907</v>
      </c>
      <c r="C68" s="10" t="s">
        <v>4</v>
      </c>
      <c r="D68" s="12" t="s">
        <v>58</v>
      </c>
      <c r="E68" s="10" t="s">
        <v>34</v>
      </c>
      <c r="F68" s="10" t="s">
        <v>19</v>
      </c>
      <c r="G68" s="10">
        <v>1</v>
      </c>
      <c r="H68" s="10"/>
      <c r="I68" s="10"/>
      <c r="J68" s="10"/>
      <c r="K68" s="13"/>
      <c r="L68" s="10"/>
    </row>
    <row r="69" spans="1:12" s="24" customFormat="1">
      <c r="A69" s="16">
        <v>45907</v>
      </c>
      <c r="B69" s="18">
        <f>Table13[[#This Row],[Date]]</f>
        <v>45907</v>
      </c>
      <c r="C69" s="10" t="s">
        <v>4</v>
      </c>
      <c r="D69" s="12" t="s">
        <v>58</v>
      </c>
      <c r="E69" s="10" t="s">
        <v>43</v>
      </c>
      <c r="F69" s="10" t="s">
        <v>19</v>
      </c>
      <c r="G69" s="10">
        <v>1</v>
      </c>
      <c r="H69" s="10"/>
      <c r="I69" s="10"/>
      <c r="J69" s="10"/>
      <c r="K69" s="13"/>
      <c r="L69" s="10"/>
    </row>
    <row r="70" spans="1:12" s="24" customFormat="1">
      <c r="A70" s="53">
        <v>45908</v>
      </c>
      <c r="B70" s="54">
        <f>Table13[[#This Row],[Date]]</f>
        <v>45908</v>
      </c>
      <c r="C70" s="55" t="s">
        <v>14</v>
      </c>
      <c r="D70" s="59" t="s">
        <v>65</v>
      </c>
      <c r="E70" s="55" t="s">
        <v>18</v>
      </c>
      <c r="F70" s="55" t="s">
        <v>19</v>
      </c>
      <c r="G70" s="55">
        <v>1</v>
      </c>
      <c r="H70" s="55"/>
      <c r="I70" s="55"/>
      <c r="J70" s="55"/>
      <c r="K70" s="57"/>
      <c r="L70" s="55"/>
    </row>
    <row r="71" spans="1:12" s="24" customFormat="1">
      <c r="A71" s="53">
        <v>45908</v>
      </c>
      <c r="B71" s="54">
        <f>Table13[[#This Row],[Date]]</f>
        <v>45908</v>
      </c>
      <c r="C71" s="55" t="s">
        <v>14</v>
      </c>
      <c r="D71" s="91" t="s">
        <v>66</v>
      </c>
      <c r="E71" s="55" t="s">
        <v>18</v>
      </c>
      <c r="F71" s="55" t="s">
        <v>19</v>
      </c>
      <c r="G71" s="55">
        <v>1</v>
      </c>
      <c r="H71" s="55"/>
      <c r="I71" s="55"/>
      <c r="J71" s="55"/>
      <c r="K71" s="57"/>
      <c r="L71" s="55"/>
    </row>
    <row r="72" spans="1:12" s="24" customFormat="1">
      <c r="A72" s="53">
        <v>45908</v>
      </c>
      <c r="B72" s="54">
        <f>Table13[[#This Row],[Date]]</f>
        <v>45908</v>
      </c>
      <c r="C72" s="55" t="s">
        <v>14</v>
      </c>
      <c r="D72" s="59" t="s">
        <v>67</v>
      </c>
      <c r="E72" s="55" t="s">
        <v>18</v>
      </c>
      <c r="F72" s="55" t="s">
        <v>19</v>
      </c>
      <c r="G72" s="55">
        <v>1</v>
      </c>
      <c r="H72" s="55"/>
      <c r="I72" s="55"/>
      <c r="J72" s="55"/>
      <c r="K72" s="57"/>
      <c r="L72" s="55"/>
    </row>
    <row r="73" spans="1:12" s="24" customFormat="1">
      <c r="A73" s="26">
        <v>45908</v>
      </c>
      <c r="B73" s="27">
        <f>Table13[[#This Row],[Date]]</f>
        <v>45908</v>
      </c>
      <c r="C73" s="28" t="s">
        <v>16</v>
      </c>
      <c r="D73" s="6" t="s">
        <v>15</v>
      </c>
      <c r="E73" s="28"/>
      <c r="F73" s="28"/>
      <c r="G73" s="28"/>
      <c r="H73" s="28"/>
      <c r="I73" s="28"/>
      <c r="J73" s="28"/>
      <c r="K73" s="29"/>
      <c r="L73" s="264"/>
    </row>
    <row r="74" spans="1:12" s="24" customFormat="1">
      <c r="A74" s="19">
        <v>45908</v>
      </c>
      <c r="B74" s="20">
        <f>Table13[[#This Row],[Date]]</f>
        <v>45908</v>
      </c>
      <c r="C74" s="21" t="s">
        <v>23</v>
      </c>
      <c r="D74" s="261" t="s">
        <v>68</v>
      </c>
      <c r="E74" s="22" t="s">
        <v>18</v>
      </c>
      <c r="F74" s="21" t="s">
        <v>19</v>
      </c>
      <c r="G74" s="28">
        <v>1</v>
      </c>
      <c r="H74" s="21"/>
      <c r="I74" s="21"/>
      <c r="J74" s="21"/>
      <c r="K74" s="23"/>
      <c r="L74" s="21"/>
    </row>
    <row r="75" spans="1:12" s="24" customFormat="1">
      <c r="A75" s="19">
        <v>45908</v>
      </c>
      <c r="B75" s="20">
        <f>Table13[[#This Row],[Date]]</f>
        <v>45908</v>
      </c>
      <c r="C75" s="21" t="s">
        <v>23</v>
      </c>
      <c r="D75" s="261" t="s">
        <v>68</v>
      </c>
      <c r="E75" s="22" t="s">
        <v>21</v>
      </c>
      <c r="F75" s="21" t="s">
        <v>19</v>
      </c>
      <c r="G75" s="28">
        <v>1</v>
      </c>
      <c r="H75" s="21"/>
      <c r="I75" s="21"/>
      <c r="J75" s="21"/>
      <c r="K75" s="23"/>
      <c r="L75" s="21"/>
    </row>
    <row r="76" spans="1:12" s="24" customFormat="1">
      <c r="A76" s="19">
        <v>45908</v>
      </c>
      <c r="B76" s="20">
        <f>Table13[[#This Row],[Date]]</f>
        <v>45908</v>
      </c>
      <c r="C76" s="21" t="s">
        <v>23</v>
      </c>
      <c r="D76" s="261" t="s">
        <v>68</v>
      </c>
      <c r="E76" s="22" t="s">
        <v>49</v>
      </c>
      <c r="F76" s="21" t="s">
        <v>19</v>
      </c>
      <c r="G76" s="28">
        <v>1</v>
      </c>
      <c r="H76" s="21"/>
      <c r="I76" s="21"/>
      <c r="J76" s="21"/>
      <c r="K76" s="23"/>
      <c r="L76" s="21"/>
    </row>
    <row r="77" spans="1:12" s="24" customFormat="1">
      <c r="A77" s="19">
        <v>45908</v>
      </c>
      <c r="B77" s="20">
        <f>Table13[[#This Row],[Date]]</f>
        <v>45908</v>
      </c>
      <c r="C77" s="21" t="s">
        <v>23</v>
      </c>
      <c r="D77" s="261" t="s">
        <v>68</v>
      </c>
      <c r="E77" s="22" t="s">
        <v>41</v>
      </c>
      <c r="F77" s="21" t="s">
        <v>19</v>
      </c>
      <c r="G77" s="28">
        <v>1</v>
      </c>
      <c r="H77" s="21"/>
      <c r="I77" s="21"/>
      <c r="J77" s="21"/>
      <c r="K77" s="23"/>
      <c r="L77" s="21"/>
    </row>
    <row r="78" spans="1:12" s="24" customFormat="1">
      <c r="A78" s="53">
        <v>45908</v>
      </c>
      <c r="B78" s="54">
        <f>Table13[[#This Row],[Date]]</f>
        <v>45908</v>
      </c>
      <c r="C78" s="55" t="s">
        <v>26</v>
      </c>
      <c r="D78" s="68" t="s">
        <v>69</v>
      </c>
      <c r="E78" s="64" t="s">
        <v>18</v>
      </c>
      <c r="F78" s="55" t="s">
        <v>19</v>
      </c>
      <c r="G78" s="55">
        <v>1</v>
      </c>
      <c r="H78" s="55"/>
      <c r="I78" s="55"/>
      <c r="J78" s="55"/>
      <c r="K78" s="57"/>
      <c r="L78" s="55"/>
    </row>
    <row r="79" spans="1:12" s="24" customFormat="1">
      <c r="A79" s="53">
        <v>45908</v>
      </c>
      <c r="B79" s="54">
        <f>Table13[[#This Row],[Date]]</f>
        <v>45908</v>
      </c>
      <c r="C79" s="55" t="s">
        <v>26</v>
      </c>
      <c r="D79" s="68" t="s">
        <v>69</v>
      </c>
      <c r="E79" s="64" t="s">
        <v>21</v>
      </c>
      <c r="F79" s="55" t="s">
        <v>19</v>
      </c>
      <c r="G79" s="55">
        <v>1</v>
      </c>
      <c r="H79" s="55"/>
      <c r="I79" s="55"/>
      <c r="J79" s="55"/>
      <c r="K79" s="57"/>
      <c r="L79" s="55"/>
    </row>
    <row r="80" spans="1:12" s="24" customFormat="1">
      <c r="A80" s="53">
        <v>45908</v>
      </c>
      <c r="B80" s="54">
        <f>Table13[[#This Row],[Date]]</f>
        <v>45908</v>
      </c>
      <c r="C80" s="55" t="s">
        <v>26</v>
      </c>
      <c r="D80" s="68" t="s">
        <v>69</v>
      </c>
      <c r="E80" s="64" t="s">
        <v>49</v>
      </c>
      <c r="F80" s="55" t="s">
        <v>19</v>
      </c>
      <c r="G80" s="55">
        <v>1</v>
      </c>
      <c r="H80" s="55"/>
      <c r="I80" s="55"/>
      <c r="J80" s="55"/>
      <c r="K80" s="57"/>
      <c r="L80" s="55"/>
    </row>
    <row r="81" spans="1:12" s="24" customFormat="1">
      <c r="A81" s="53">
        <v>45908</v>
      </c>
      <c r="B81" s="54">
        <f>Table13[[#This Row],[Date]]</f>
        <v>45908</v>
      </c>
      <c r="C81" s="55" t="s">
        <v>26</v>
      </c>
      <c r="D81" s="68" t="s">
        <v>69</v>
      </c>
      <c r="E81" s="64" t="s">
        <v>41</v>
      </c>
      <c r="F81" s="55" t="s">
        <v>19</v>
      </c>
      <c r="G81" s="55">
        <v>1</v>
      </c>
      <c r="H81" s="55"/>
      <c r="I81" s="55"/>
      <c r="J81" s="55"/>
      <c r="K81" s="57"/>
      <c r="L81" s="55"/>
    </row>
    <row r="82" spans="1:12" s="24" customFormat="1">
      <c r="A82" s="19">
        <v>45909</v>
      </c>
      <c r="B82" s="20">
        <f>Table13[[#This Row],[Date]]</f>
        <v>45909</v>
      </c>
      <c r="C82" s="21" t="s">
        <v>23</v>
      </c>
      <c r="D82" s="261" t="s">
        <v>68</v>
      </c>
      <c r="E82" s="21" t="s">
        <v>47</v>
      </c>
      <c r="F82" s="21" t="s">
        <v>19</v>
      </c>
      <c r="G82" s="28">
        <v>1</v>
      </c>
      <c r="H82" s="21"/>
      <c r="I82" s="21"/>
      <c r="J82" s="21"/>
      <c r="K82" s="23"/>
      <c r="L82" s="21"/>
    </row>
    <row r="83" spans="1:12" s="24" customFormat="1">
      <c r="A83" s="53">
        <v>45909</v>
      </c>
      <c r="B83" s="54">
        <f>Table13[[#This Row],[Date]]</f>
        <v>45909</v>
      </c>
      <c r="C83" s="55" t="s">
        <v>26</v>
      </c>
      <c r="D83" s="68" t="s">
        <v>70</v>
      </c>
      <c r="E83" s="64" t="s">
        <v>18</v>
      </c>
      <c r="F83" s="55" t="s">
        <v>19</v>
      </c>
      <c r="G83" s="55">
        <v>1</v>
      </c>
      <c r="H83" s="55"/>
      <c r="I83" s="55"/>
      <c r="J83" s="55"/>
      <c r="K83" s="57"/>
      <c r="L83" s="55"/>
    </row>
    <row r="84" spans="1:12" s="24" customFormat="1">
      <c r="A84" s="53">
        <v>45909</v>
      </c>
      <c r="B84" s="54">
        <f>Table13[[#This Row],[Date]]</f>
        <v>45909</v>
      </c>
      <c r="C84" s="55" t="s">
        <v>26</v>
      </c>
      <c r="D84" s="68" t="s">
        <v>70</v>
      </c>
      <c r="E84" s="64" t="s">
        <v>21</v>
      </c>
      <c r="F84" s="55" t="s">
        <v>19</v>
      </c>
      <c r="G84" s="55">
        <v>1</v>
      </c>
      <c r="H84" s="55"/>
      <c r="I84" s="55"/>
      <c r="J84" s="55"/>
      <c r="K84" s="57"/>
      <c r="L84" s="55"/>
    </row>
    <row r="85" spans="1:12" s="24" customFormat="1">
      <c r="A85" s="53">
        <v>45909</v>
      </c>
      <c r="B85" s="54">
        <f>Table13[[#This Row],[Date]]</f>
        <v>45909</v>
      </c>
      <c r="C85" s="55" t="s">
        <v>26</v>
      </c>
      <c r="D85" s="68" t="s">
        <v>70</v>
      </c>
      <c r="E85" s="64" t="s">
        <v>49</v>
      </c>
      <c r="F85" s="55" t="s">
        <v>19</v>
      </c>
      <c r="G85" s="55">
        <v>1</v>
      </c>
      <c r="H85" s="55"/>
      <c r="I85" s="55"/>
      <c r="J85" s="55"/>
      <c r="K85" s="57"/>
      <c r="L85" s="55"/>
    </row>
    <row r="86" spans="1:12" s="24" customFormat="1">
      <c r="A86" s="53">
        <v>45909</v>
      </c>
      <c r="B86" s="54">
        <f>Table13[[#This Row],[Date]]</f>
        <v>45909</v>
      </c>
      <c r="C86" s="55" t="s">
        <v>26</v>
      </c>
      <c r="D86" s="68" t="s">
        <v>70</v>
      </c>
      <c r="E86" s="64" t="s">
        <v>41</v>
      </c>
      <c r="F86" s="55" t="s">
        <v>19</v>
      </c>
      <c r="G86" s="55">
        <v>1</v>
      </c>
      <c r="H86" s="55"/>
      <c r="I86" s="55"/>
      <c r="J86" s="55"/>
      <c r="K86" s="57"/>
      <c r="L86" s="55"/>
    </row>
    <row r="87" spans="1:12" s="24" customFormat="1">
      <c r="A87" s="48">
        <v>45909</v>
      </c>
      <c r="B87" s="49">
        <f>Table13[[#This Row],[Date]]</f>
        <v>45909</v>
      </c>
      <c r="C87" s="50" t="s">
        <v>4</v>
      </c>
      <c r="D87" s="256" t="s">
        <v>32</v>
      </c>
      <c r="E87" s="50"/>
      <c r="F87" s="50"/>
      <c r="G87" s="50"/>
      <c r="H87" s="50"/>
      <c r="I87" s="50"/>
      <c r="J87" s="50"/>
      <c r="K87" s="52"/>
      <c r="L87" s="50"/>
    </row>
    <row r="88" spans="1:12" s="24" customFormat="1">
      <c r="A88" s="53">
        <v>45910</v>
      </c>
      <c r="B88" s="54">
        <f>Table13[[#This Row],[Date]]</f>
        <v>45910</v>
      </c>
      <c r="C88" s="55" t="s">
        <v>14</v>
      </c>
      <c r="D88" s="69" t="s">
        <v>71</v>
      </c>
      <c r="E88" s="55" t="s">
        <v>59</v>
      </c>
      <c r="F88" s="55" t="s">
        <v>60</v>
      </c>
      <c r="G88" s="55">
        <v>1</v>
      </c>
      <c r="H88" s="55"/>
      <c r="I88" s="55"/>
      <c r="J88" s="55"/>
      <c r="K88" s="57"/>
      <c r="L88" s="55"/>
    </row>
    <row r="89" spans="1:12" s="24" customFormat="1">
      <c r="A89" s="53">
        <v>45910</v>
      </c>
      <c r="B89" s="54">
        <f>Table13[[#This Row],[Date]]</f>
        <v>45910</v>
      </c>
      <c r="C89" s="55" t="s">
        <v>14</v>
      </c>
      <c r="D89" s="69" t="s">
        <v>71</v>
      </c>
      <c r="E89" s="55" t="s">
        <v>72</v>
      </c>
      <c r="F89" s="55" t="s">
        <v>60</v>
      </c>
      <c r="G89" s="55">
        <v>1</v>
      </c>
      <c r="H89" s="55"/>
      <c r="I89" s="55"/>
      <c r="J89" s="55"/>
      <c r="K89" s="57"/>
      <c r="L89" s="55"/>
    </row>
    <row r="90" spans="1:12" s="24" customFormat="1">
      <c r="A90" s="53">
        <v>45910</v>
      </c>
      <c r="B90" s="54">
        <f>Table13[[#This Row],[Date]]</f>
        <v>45910</v>
      </c>
      <c r="C90" s="55" t="s">
        <v>14</v>
      </c>
      <c r="D90" s="69" t="s">
        <v>71</v>
      </c>
      <c r="E90" s="55" t="s">
        <v>73</v>
      </c>
      <c r="F90" s="55" t="s">
        <v>60</v>
      </c>
      <c r="G90" s="55">
        <v>1</v>
      </c>
      <c r="H90" s="55"/>
      <c r="I90" s="55"/>
      <c r="J90" s="55"/>
      <c r="K90" s="57"/>
      <c r="L90" s="55"/>
    </row>
    <row r="91" spans="1:12" s="24" customFormat="1">
      <c r="A91" s="53">
        <v>45910</v>
      </c>
      <c r="B91" s="54">
        <f>Table13[[#This Row],[Date]]</f>
        <v>45910</v>
      </c>
      <c r="C91" s="55" t="s">
        <v>16</v>
      </c>
      <c r="D91" s="69" t="s">
        <v>74</v>
      </c>
      <c r="E91" s="55" t="s">
        <v>18</v>
      </c>
      <c r="F91" s="55" t="s">
        <v>19</v>
      </c>
      <c r="G91" s="55">
        <v>1</v>
      </c>
      <c r="H91" s="55"/>
      <c r="I91" s="55"/>
      <c r="J91" s="55"/>
      <c r="K91" s="57"/>
      <c r="L91" s="55"/>
    </row>
    <row r="92" spans="1:12" s="24" customFormat="1">
      <c r="A92" s="53">
        <v>45910</v>
      </c>
      <c r="B92" s="54">
        <f>Table13[[#This Row],[Date]]</f>
        <v>45910</v>
      </c>
      <c r="C92" s="55" t="s">
        <v>16</v>
      </c>
      <c r="D92" s="69" t="s">
        <v>74</v>
      </c>
      <c r="E92" s="55" t="s">
        <v>21</v>
      </c>
      <c r="F92" s="55" t="s">
        <v>19</v>
      </c>
      <c r="G92" s="55">
        <v>1</v>
      </c>
      <c r="H92" s="55"/>
      <c r="I92" s="55"/>
      <c r="J92" s="55"/>
      <c r="K92" s="57"/>
      <c r="L92" s="55"/>
    </row>
    <row r="93" spans="1:12" s="24" customFormat="1">
      <c r="A93" s="53">
        <v>45910</v>
      </c>
      <c r="B93" s="54">
        <f>Table13[[#This Row],[Date]]</f>
        <v>45910</v>
      </c>
      <c r="C93" s="55" t="s">
        <v>16</v>
      </c>
      <c r="D93" s="69" t="s">
        <v>74</v>
      </c>
      <c r="E93" s="55" t="s">
        <v>49</v>
      </c>
      <c r="F93" s="55" t="s">
        <v>19</v>
      </c>
      <c r="G93" s="55">
        <v>1</v>
      </c>
      <c r="H93" s="55"/>
      <c r="I93" s="55"/>
      <c r="J93" s="55"/>
      <c r="K93" s="57"/>
      <c r="L93" s="55"/>
    </row>
    <row r="94" spans="1:12" s="24" customFormat="1">
      <c r="A94" s="53">
        <v>45910</v>
      </c>
      <c r="B94" s="54">
        <f>Table13[[#This Row],[Date]]</f>
        <v>45910</v>
      </c>
      <c r="C94" s="55" t="s">
        <v>16</v>
      </c>
      <c r="D94" s="69" t="s">
        <v>74</v>
      </c>
      <c r="E94" s="55" t="s">
        <v>41</v>
      </c>
      <c r="F94" s="55" t="s">
        <v>19</v>
      </c>
      <c r="G94" s="55">
        <v>1</v>
      </c>
      <c r="H94" s="55"/>
      <c r="I94" s="55"/>
      <c r="J94" s="55"/>
      <c r="K94" s="57"/>
      <c r="L94" s="55"/>
    </row>
    <row r="95" spans="1:12" s="24" customFormat="1">
      <c r="A95" s="26">
        <v>45910</v>
      </c>
      <c r="B95" s="27">
        <f>Table13[[#This Row],[Date]]</f>
        <v>45910</v>
      </c>
      <c r="C95" s="28" t="s">
        <v>23</v>
      </c>
      <c r="D95" s="263" t="s">
        <v>15</v>
      </c>
      <c r="E95" s="28"/>
      <c r="F95" s="28"/>
      <c r="G95" s="28"/>
      <c r="H95" s="28"/>
      <c r="I95" s="28"/>
      <c r="J95" s="28"/>
      <c r="K95" s="29"/>
      <c r="L95" s="28"/>
    </row>
    <row r="96" spans="1:12" s="24" customFormat="1">
      <c r="A96" s="53">
        <v>45910</v>
      </c>
      <c r="B96" s="54">
        <f>Table13[[#This Row],[Date]]</f>
        <v>45910</v>
      </c>
      <c r="C96" s="55" t="s">
        <v>26</v>
      </c>
      <c r="D96" s="68" t="s">
        <v>75</v>
      </c>
      <c r="E96" s="55" t="s">
        <v>18</v>
      </c>
      <c r="F96" s="55" t="s">
        <v>19</v>
      </c>
      <c r="G96" s="55">
        <v>1</v>
      </c>
      <c r="H96" s="55"/>
      <c r="I96" s="55"/>
      <c r="J96" s="55"/>
      <c r="K96" s="57"/>
      <c r="L96" s="55"/>
    </row>
    <row r="97" spans="1:12" s="24" customFormat="1">
      <c r="A97" s="53">
        <v>45910</v>
      </c>
      <c r="B97" s="54">
        <f>Table13[[#This Row],[Date]]</f>
        <v>45910</v>
      </c>
      <c r="C97" s="55" t="s">
        <v>26</v>
      </c>
      <c r="D97" s="68" t="s">
        <v>75</v>
      </c>
      <c r="E97" s="55" t="s">
        <v>21</v>
      </c>
      <c r="F97" s="55" t="s">
        <v>19</v>
      </c>
      <c r="G97" s="55">
        <v>1</v>
      </c>
      <c r="H97" s="55"/>
      <c r="I97" s="55"/>
      <c r="J97" s="55"/>
      <c r="K97" s="57"/>
      <c r="L97" s="55"/>
    </row>
    <row r="98" spans="1:12" s="24" customFormat="1">
      <c r="A98" s="53">
        <v>45910</v>
      </c>
      <c r="B98" s="54">
        <f>Table13[[#This Row],[Date]]</f>
        <v>45910</v>
      </c>
      <c r="C98" s="55" t="s">
        <v>26</v>
      </c>
      <c r="D98" s="68" t="s">
        <v>75</v>
      </c>
      <c r="E98" s="55" t="s">
        <v>28</v>
      </c>
      <c r="F98" s="55" t="s">
        <v>19</v>
      </c>
      <c r="G98" s="55">
        <v>1</v>
      </c>
      <c r="H98" s="55"/>
      <c r="I98" s="55"/>
      <c r="J98" s="55"/>
      <c r="K98" s="57"/>
      <c r="L98" s="55"/>
    </row>
    <row r="99" spans="1:12" s="24" customFormat="1">
      <c r="A99" s="26">
        <v>45911</v>
      </c>
      <c r="B99" s="27">
        <f>Table13[[#This Row],[Date]]</f>
        <v>45911</v>
      </c>
      <c r="C99" s="28" t="s">
        <v>14</v>
      </c>
      <c r="D99" s="263" t="s">
        <v>15</v>
      </c>
      <c r="E99" s="28"/>
      <c r="F99" s="28"/>
      <c r="G99" s="28"/>
      <c r="H99" s="28"/>
      <c r="I99" s="28"/>
      <c r="J99" s="28"/>
      <c r="K99" s="29"/>
      <c r="L99" s="264"/>
    </row>
    <row r="100" spans="1:12" s="24" customFormat="1">
      <c r="A100" s="53">
        <v>45911</v>
      </c>
      <c r="B100" s="54">
        <f>Table13[[#This Row],[Date]]</f>
        <v>45911</v>
      </c>
      <c r="C100" s="55" t="s">
        <v>16</v>
      </c>
      <c r="D100" s="79" t="s">
        <v>74</v>
      </c>
      <c r="E100" s="63" t="s">
        <v>42</v>
      </c>
      <c r="F100" s="55" t="s">
        <v>19</v>
      </c>
      <c r="G100" s="55">
        <v>1</v>
      </c>
      <c r="H100" s="55"/>
      <c r="I100" s="55"/>
      <c r="J100" s="55"/>
      <c r="K100" s="57"/>
      <c r="L100" s="55"/>
    </row>
    <row r="101" spans="1:12" s="24" customFormat="1">
      <c r="A101" s="53">
        <v>45911</v>
      </c>
      <c r="B101" s="54">
        <f>Table13[[#This Row],[Date]]</f>
        <v>45911</v>
      </c>
      <c r="C101" s="55" t="s">
        <v>16</v>
      </c>
      <c r="D101" s="79" t="s">
        <v>74</v>
      </c>
      <c r="E101" s="55" t="s">
        <v>47</v>
      </c>
      <c r="F101" s="55" t="s">
        <v>19</v>
      </c>
      <c r="G101" s="55">
        <v>1</v>
      </c>
      <c r="H101" s="55"/>
      <c r="I101" s="55"/>
      <c r="J101" s="55"/>
      <c r="K101" s="57"/>
      <c r="L101" s="55"/>
    </row>
    <row r="102" spans="1:12" s="24" customFormat="1">
      <c r="A102" s="53">
        <v>45911</v>
      </c>
      <c r="B102" s="54">
        <f>Table13[[#This Row],[Date]]</f>
        <v>45911</v>
      </c>
      <c r="C102" s="55" t="s">
        <v>16</v>
      </c>
      <c r="D102" s="79" t="s">
        <v>74</v>
      </c>
      <c r="E102" s="55" t="s">
        <v>53</v>
      </c>
      <c r="F102" s="55" t="s">
        <v>19</v>
      </c>
      <c r="G102" s="55">
        <v>1</v>
      </c>
      <c r="H102" s="55"/>
      <c r="I102" s="55"/>
      <c r="J102" s="55"/>
      <c r="K102" s="57"/>
      <c r="L102" s="55"/>
    </row>
    <row r="103" spans="1:12" s="24" customFormat="1">
      <c r="A103" s="53">
        <v>45911</v>
      </c>
      <c r="B103" s="54">
        <f>Table13[[#This Row],[Date]]</f>
        <v>45911</v>
      </c>
      <c r="C103" s="55" t="s">
        <v>23</v>
      </c>
      <c r="D103" s="78" t="s">
        <v>71</v>
      </c>
      <c r="E103" s="63" t="s">
        <v>61</v>
      </c>
      <c r="F103" s="55" t="s">
        <v>60</v>
      </c>
      <c r="G103" s="55">
        <v>1</v>
      </c>
      <c r="H103" s="55"/>
      <c r="I103" s="55"/>
      <c r="J103" s="55"/>
      <c r="K103" s="57"/>
      <c r="L103" s="55"/>
    </row>
    <row r="104" spans="1:12" s="24" customFormat="1">
      <c r="A104" s="53">
        <v>45911</v>
      </c>
      <c r="B104" s="54">
        <f>Table13[[#This Row],[Date]]</f>
        <v>45911</v>
      </c>
      <c r="C104" s="55" t="s">
        <v>23</v>
      </c>
      <c r="D104" s="78" t="s">
        <v>71</v>
      </c>
      <c r="E104" s="55" t="s">
        <v>76</v>
      </c>
      <c r="F104" s="55" t="s">
        <v>60</v>
      </c>
      <c r="G104" s="55">
        <v>1</v>
      </c>
      <c r="H104" s="55"/>
      <c r="I104" s="55"/>
      <c r="J104" s="55"/>
      <c r="K104" s="57"/>
      <c r="L104" s="55"/>
    </row>
    <row r="105" spans="1:12" s="24" customFormat="1">
      <c r="A105" s="53">
        <v>45911</v>
      </c>
      <c r="B105" s="54">
        <f>Table13[[#This Row],[Date]]</f>
        <v>45911</v>
      </c>
      <c r="C105" s="55" t="s">
        <v>23</v>
      </c>
      <c r="D105" s="78" t="s">
        <v>71</v>
      </c>
      <c r="E105" s="63" t="s">
        <v>77</v>
      </c>
      <c r="F105" s="55" t="s">
        <v>60</v>
      </c>
      <c r="G105" s="55">
        <v>1</v>
      </c>
      <c r="H105" s="55"/>
      <c r="I105" s="55"/>
      <c r="J105" s="55"/>
      <c r="K105" s="57"/>
      <c r="L105" s="55"/>
    </row>
    <row r="106" spans="1:12" s="24" customFormat="1">
      <c r="A106" s="53">
        <v>45911</v>
      </c>
      <c r="B106" s="54">
        <f>Table13[[#This Row],[Date]]</f>
        <v>45911</v>
      </c>
      <c r="C106" s="55" t="s">
        <v>26</v>
      </c>
      <c r="D106" s="78" t="s">
        <v>78</v>
      </c>
      <c r="E106" s="55" t="s">
        <v>18</v>
      </c>
      <c r="F106" s="55" t="s">
        <v>19</v>
      </c>
      <c r="G106" s="55">
        <v>1</v>
      </c>
      <c r="H106" s="55"/>
      <c r="I106" s="55"/>
      <c r="J106" s="55"/>
      <c r="K106" s="57"/>
      <c r="L106" s="55"/>
    </row>
    <row r="107" spans="1:12" s="24" customFormat="1">
      <c r="A107" s="53">
        <v>45911</v>
      </c>
      <c r="B107" s="54">
        <f>Table13[[#This Row],[Date]]</f>
        <v>45911</v>
      </c>
      <c r="C107" s="55" t="s">
        <v>26</v>
      </c>
      <c r="D107" s="61" t="s">
        <v>78</v>
      </c>
      <c r="E107" s="55" t="s">
        <v>21</v>
      </c>
      <c r="F107" s="55" t="s">
        <v>19</v>
      </c>
      <c r="G107" s="55">
        <v>1</v>
      </c>
      <c r="H107" s="55"/>
      <c r="I107" s="55"/>
      <c r="J107" s="55"/>
      <c r="K107" s="57"/>
      <c r="L107" s="55"/>
    </row>
    <row r="108" spans="1:12" s="24" customFormat="1">
      <c r="A108" s="53">
        <v>45911</v>
      </c>
      <c r="B108" s="54">
        <f>Table13[[#This Row],[Date]]</f>
        <v>45911</v>
      </c>
      <c r="C108" s="55" t="s">
        <v>26</v>
      </c>
      <c r="D108" s="61" t="s">
        <v>78</v>
      </c>
      <c r="E108" s="55" t="s">
        <v>28</v>
      </c>
      <c r="F108" s="55" t="s">
        <v>19</v>
      </c>
      <c r="G108" s="55">
        <v>1</v>
      </c>
      <c r="H108" s="55"/>
      <c r="I108" s="55"/>
      <c r="J108" s="55"/>
      <c r="K108" s="57"/>
      <c r="L108" s="55"/>
    </row>
    <row r="109" spans="1:12" s="24" customFormat="1">
      <c r="A109" s="53">
        <v>45912</v>
      </c>
      <c r="B109" s="54">
        <f>Table13[[#This Row],[Date]]</f>
        <v>45912</v>
      </c>
      <c r="C109" s="55" t="s">
        <v>14</v>
      </c>
      <c r="D109" s="59" t="s">
        <v>79</v>
      </c>
      <c r="E109" s="64" t="s">
        <v>18</v>
      </c>
      <c r="F109" s="55" t="s">
        <v>19</v>
      </c>
      <c r="G109" s="55">
        <v>1</v>
      </c>
      <c r="H109" s="55"/>
      <c r="I109" s="55"/>
      <c r="J109" s="55"/>
      <c r="K109" s="57"/>
      <c r="L109" s="55"/>
    </row>
    <row r="110" spans="1:12" s="24" customFormat="1">
      <c r="A110" s="53">
        <v>45912</v>
      </c>
      <c r="B110" s="54">
        <f>Table13[[#This Row],[Date]]</f>
        <v>45912</v>
      </c>
      <c r="C110" s="55" t="s">
        <v>14</v>
      </c>
      <c r="D110" s="59" t="s">
        <v>79</v>
      </c>
      <c r="E110" s="55" t="s">
        <v>21</v>
      </c>
      <c r="F110" s="55" t="s">
        <v>19</v>
      </c>
      <c r="G110" s="55">
        <v>1</v>
      </c>
      <c r="H110" s="55"/>
      <c r="I110" s="55"/>
      <c r="J110" s="55"/>
      <c r="K110" s="57"/>
      <c r="L110" s="55"/>
    </row>
    <row r="111" spans="1:12" s="24" customFormat="1">
      <c r="A111" s="53">
        <v>45912</v>
      </c>
      <c r="B111" s="54">
        <f>Table13[[#This Row],[Date]]</f>
        <v>45912</v>
      </c>
      <c r="C111" s="55" t="s">
        <v>14</v>
      </c>
      <c r="D111" s="79" t="s">
        <v>80</v>
      </c>
      <c r="E111" s="65" t="s">
        <v>18</v>
      </c>
      <c r="F111" s="55" t="s">
        <v>19</v>
      </c>
      <c r="G111" s="55">
        <v>1</v>
      </c>
      <c r="H111" s="55"/>
      <c r="I111" s="55"/>
      <c r="J111" s="55"/>
      <c r="K111" s="57"/>
      <c r="L111" s="55"/>
    </row>
    <row r="112" spans="1:12" s="24" customFormat="1">
      <c r="A112" s="53">
        <v>45912</v>
      </c>
      <c r="B112" s="54">
        <f>Table13[[#This Row],[Date]]</f>
        <v>45912</v>
      </c>
      <c r="C112" s="55" t="s">
        <v>14</v>
      </c>
      <c r="D112" s="79" t="s">
        <v>80</v>
      </c>
      <c r="E112" s="55" t="s">
        <v>21</v>
      </c>
      <c r="F112" s="55" t="s">
        <v>19</v>
      </c>
      <c r="G112" s="55">
        <v>1</v>
      </c>
      <c r="H112" s="55"/>
      <c r="I112" s="55"/>
      <c r="J112" s="55"/>
      <c r="K112" s="57"/>
      <c r="L112" s="55"/>
    </row>
    <row r="113" spans="1:12" s="24" customFormat="1">
      <c r="A113" s="26">
        <v>45912</v>
      </c>
      <c r="B113" s="27">
        <f>Table13[[#This Row],[Date]]</f>
        <v>45912</v>
      </c>
      <c r="C113" s="28" t="s">
        <v>16</v>
      </c>
      <c r="D113" s="260" t="s">
        <v>15</v>
      </c>
      <c r="E113" s="36"/>
      <c r="F113" s="28"/>
      <c r="G113" s="28"/>
      <c r="H113" s="28"/>
      <c r="I113" s="28"/>
      <c r="J113" s="28"/>
      <c r="K113" s="29"/>
      <c r="L113" s="28"/>
    </row>
    <row r="114" spans="1:12" s="24" customFormat="1">
      <c r="A114" s="53">
        <v>45912</v>
      </c>
      <c r="B114" s="54">
        <f>Table13[[#This Row],[Date]]</f>
        <v>45912</v>
      </c>
      <c r="C114" s="55" t="s">
        <v>23</v>
      </c>
      <c r="D114" s="79" t="s">
        <v>81</v>
      </c>
      <c r="E114" s="55" t="s">
        <v>18</v>
      </c>
      <c r="F114" s="55" t="s">
        <v>19</v>
      </c>
      <c r="G114" s="55">
        <v>1</v>
      </c>
      <c r="H114" s="55"/>
      <c r="I114" s="55"/>
      <c r="J114" s="55"/>
      <c r="K114" s="57"/>
      <c r="L114" s="55"/>
    </row>
    <row r="115" spans="1:12" s="24" customFormat="1">
      <c r="A115" s="53">
        <v>45912</v>
      </c>
      <c r="B115" s="54">
        <f>Table13[[#This Row],[Date]]</f>
        <v>45912</v>
      </c>
      <c r="C115" s="55" t="s">
        <v>23</v>
      </c>
      <c r="D115" s="79" t="s">
        <v>82</v>
      </c>
      <c r="E115" s="63" t="s">
        <v>18</v>
      </c>
      <c r="F115" s="55" t="s">
        <v>19</v>
      </c>
      <c r="G115" s="55">
        <v>1</v>
      </c>
      <c r="H115" s="55"/>
      <c r="I115" s="55"/>
      <c r="J115" s="55"/>
      <c r="K115" s="57"/>
      <c r="L115" s="55"/>
    </row>
    <row r="116" spans="1:12" s="24" customFormat="1">
      <c r="A116" s="53">
        <v>45912</v>
      </c>
      <c r="B116" s="54">
        <f>Table13[[#This Row],[Date]]</f>
        <v>45912</v>
      </c>
      <c r="C116" s="55" t="s">
        <v>23</v>
      </c>
      <c r="D116" s="79" t="s">
        <v>83</v>
      </c>
      <c r="E116" s="55" t="s">
        <v>18</v>
      </c>
      <c r="F116" s="55" t="s">
        <v>19</v>
      </c>
      <c r="G116" s="55">
        <v>1</v>
      </c>
      <c r="H116" s="55"/>
      <c r="I116" s="55"/>
      <c r="J116" s="55"/>
      <c r="K116" s="57"/>
      <c r="L116" s="55"/>
    </row>
    <row r="117" spans="1:12" s="24" customFormat="1">
      <c r="A117" s="53">
        <v>45912</v>
      </c>
      <c r="B117" s="54">
        <f>Table13[[#This Row],[Date]]</f>
        <v>45912</v>
      </c>
      <c r="C117" s="55" t="s">
        <v>26</v>
      </c>
      <c r="D117" s="78" t="s">
        <v>84</v>
      </c>
      <c r="E117" s="63" t="s">
        <v>47</v>
      </c>
      <c r="F117" s="55" t="s">
        <v>19</v>
      </c>
      <c r="G117" s="55">
        <v>1</v>
      </c>
      <c r="H117" s="55"/>
      <c r="I117" s="55"/>
      <c r="J117" s="55"/>
      <c r="K117" s="57"/>
      <c r="L117" s="55"/>
    </row>
    <row r="118" spans="1:12" s="24" customFormat="1">
      <c r="A118" s="53">
        <v>45912</v>
      </c>
      <c r="B118" s="54">
        <f>Table13[[#This Row],[Date]]</f>
        <v>45912</v>
      </c>
      <c r="C118" s="55" t="s">
        <v>26</v>
      </c>
      <c r="D118" s="78" t="s">
        <v>85</v>
      </c>
      <c r="E118" s="77" t="s">
        <v>18</v>
      </c>
      <c r="F118" s="55" t="s">
        <v>19</v>
      </c>
      <c r="G118" s="55">
        <v>1</v>
      </c>
      <c r="H118" s="55"/>
      <c r="I118" s="55"/>
      <c r="J118" s="55"/>
      <c r="K118" s="57"/>
      <c r="L118" s="55"/>
    </row>
    <row r="119" spans="1:12" s="24" customFormat="1">
      <c r="A119" s="53">
        <v>45912</v>
      </c>
      <c r="B119" s="54">
        <f>Table13[[#This Row],[Date]]</f>
        <v>45912</v>
      </c>
      <c r="C119" s="55" t="s">
        <v>26</v>
      </c>
      <c r="D119" s="78" t="s">
        <v>85</v>
      </c>
      <c r="E119" s="76" t="s">
        <v>21</v>
      </c>
      <c r="F119" s="55" t="s">
        <v>19</v>
      </c>
      <c r="G119" s="55">
        <v>1</v>
      </c>
      <c r="H119" s="55"/>
      <c r="I119" s="55"/>
      <c r="J119" s="55"/>
      <c r="K119" s="57"/>
      <c r="L119" s="55"/>
    </row>
    <row r="120" spans="1:12" s="24" customFormat="1">
      <c r="A120" s="16">
        <v>45913</v>
      </c>
      <c r="B120" s="18">
        <f>Table13[[#This Row],[Date]]</f>
        <v>45913</v>
      </c>
      <c r="C120" s="10" t="s">
        <v>16</v>
      </c>
      <c r="D120" s="259" t="s">
        <v>86</v>
      </c>
      <c r="E120" s="10" t="s">
        <v>18</v>
      </c>
      <c r="F120" s="10" t="s">
        <v>19</v>
      </c>
      <c r="G120" s="10">
        <v>1</v>
      </c>
      <c r="H120" s="10"/>
      <c r="I120" s="10"/>
      <c r="J120" s="10"/>
      <c r="K120" s="13"/>
      <c r="L120" s="10"/>
    </row>
    <row r="121" spans="1:12" s="24" customFormat="1">
      <c r="A121" s="16">
        <v>45913</v>
      </c>
      <c r="B121" s="18">
        <f>Table13[[#This Row],[Date]]</f>
        <v>45913</v>
      </c>
      <c r="C121" s="10" t="s">
        <v>16</v>
      </c>
      <c r="D121" s="259" t="s">
        <v>86</v>
      </c>
      <c r="E121" s="14" t="s">
        <v>21</v>
      </c>
      <c r="F121" s="10" t="s">
        <v>19</v>
      </c>
      <c r="G121" s="10">
        <v>1</v>
      </c>
      <c r="H121" s="10"/>
      <c r="I121" s="10"/>
      <c r="J121" s="10"/>
      <c r="K121" s="13"/>
      <c r="L121" s="10"/>
    </row>
    <row r="122" spans="1:12" s="24" customFormat="1">
      <c r="A122" s="16">
        <v>45913</v>
      </c>
      <c r="B122" s="18">
        <f>Table13[[#This Row],[Date]]</f>
        <v>45913</v>
      </c>
      <c r="C122" s="10" t="s">
        <v>16</v>
      </c>
      <c r="D122" s="259" t="s">
        <v>86</v>
      </c>
      <c r="E122" s="10" t="s">
        <v>49</v>
      </c>
      <c r="F122" s="10" t="s">
        <v>19</v>
      </c>
      <c r="G122" s="10">
        <v>1</v>
      </c>
      <c r="H122" s="10"/>
      <c r="I122" s="10"/>
      <c r="J122" s="10"/>
      <c r="K122" s="13"/>
      <c r="L122" s="10"/>
    </row>
    <row r="123" spans="1:12" s="24" customFormat="1">
      <c r="A123" s="16">
        <v>45913</v>
      </c>
      <c r="B123" s="18">
        <f>Table13[[#This Row],[Date]]</f>
        <v>45913</v>
      </c>
      <c r="C123" s="10" t="s">
        <v>4</v>
      </c>
      <c r="D123" s="258" t="s">
        <v>87</v>
      </c>
      <c r="E123" s="14" t="s">
        <v>88</v>
      </c>
      <c r="F123" s="10" t="s">
        <v>19</v>
      </c>
      <c r="G123" s="10">
        <v>1</v>
      </c>
      <c r="H123" s="10"/>
      <c r="I123" s="10"/>
      <c r="J123" s="10"/>
      <c r="K123" s="13"/>
      <c r="L123" s="10"/>
    </row>
    <row r="124" spans="1:12" s="24" customFormat="1">
      <c r="A124" s="16">
        <v>45913</v>
      </c>
      <c r="B124" s="18">
        <f>Table13[[#This Row],[Date]]</f>
        <v>45913</v>
      </c>
      <c r="C124" s="10" t="s">
        <v>4</v>
      </c>
      <c r="D124" s="258" t="s">
        <v>87</v>
      </c>
      <c r="E124" s="10" t="s">
        <v>89</v>
      </c>
      <c r="F124" s="10" t="s">
        <v>19</v>
      </c>
      <c r="G124" s="10">
        <v>1</v>
      </c>
      <c r="H124" s="10"/>
      <c r="I124" s="10"/>
      <c r="J124" s="10"/>
      <c r="K124" s="13"/>
      <c r="L124" s="10"/>
    </row>
    <row r="125" spans="1:12" s="24" customFormat="1">
      <c r="A125" s="16">
        <v>45913</v>
      </c>
      <c r="B125" s="18">
        <f>Table13[[#This Row],[Date]]</f>
        <v>45913</v>
      </c>
      <c r="C125" s="10" t="s">
        <v>4</v>
      </c>
      <c r="D125" s="258" t="s">
        <v>87</v>
      </c>
      <c r="E125" s="14" t="s">
        <v>90</v>
      </c>
      <c r="F125" s="10" t="s">
        <v>19</v>
      </c>
      <c r="G125" s="10">
        <v>1</v>
      </c>
      <c r="H125" s="10"/>
      <c r="I125" s="10"/>
      <c r="J125" s="10"/>
      <c r="K125" s="13"/>
      <c r="L125" s="10"/>
    </row>
    <row r="126" spans="1:12" s="24" customFormat="1">
      <c r="A126" s="16">
        <v>45913</v>
      </c>
      <c r="B126" s="18">
        <f>Table13[[#This Row],[Date]]</f>
        <v>45913</v>
      </c>
      <c r="C126" s="10" t="s">
        <v>4</v>
      </c>
      <c r="D126" s="258" t="s">
        <v>87</v>
      </c>
      <c r="E126" s="10" t="s">
        <v>91</v>
      </c>
      <c r="F126" s="10" t="s">
        <v>19</v>
      </c>
      <c r="G126" s="10">
        <v>1</v>
      </c>
      <c r="H126" s="10"/>
      <c r="I126" s="10"/>
      <c r="J126" s="10"/>
      <c r="K126" s="13"/>
      <c r="L126" s="10"/>
    </row>
    <row r="127" spans="1:12" s="24" customFormat="1">
      <c r="A127" s="16">
        <v>45914</v>
      </c>
      <c r="B127" s="18">
        <f>Table13[[#This Row],[Date]]</f>
        <v>45914</v>
      </c>
      <c r="C127" s="10" t="s">
        <v>4</v>
      </c>
      <c r="D127" s="259" t="s">
        <v>92</v>
      </c>
      <c r="E127" s="14" t="s">
        <v>93</v>
      </c>
      <c r="F127" s="10" t="s">
        <v>19</v>
      </c>
      <c r="G127" s="10">
        <v>1</v>
      </c>
      <c r="H127" s="10"/>
      <c r="I127" s="10"/>
      <c r="J127" s="10"/>
      <c r="K127" s="13"/>
      <c r="L127" s="10"/>
    </row>
    <row r="128" spans="1:12" s="24" customFormat="1">
      <c r="A128" s="16">
        <v>45914</v>
      </c>
      <c r="B128" s="18">
        <f>Table13[[#This Row],[Date]]</f>
        <v>45914</v>
      </c>
      <c r="C128" s="10" t="s">
        <v>4</v>
      </c>
      <c r="D128" s="259" t="s">
        <v>92</v>
      </c>
      <c r="E128" s="10" t="s">
        <v>94</v>
      </c>
      <c r="F128" s="10" t="s">
        <v>19</v>
      </c>
      <c r="G128" s="10">
        <v>1</v>
      </c>
      <c r="H128" s="10"/>
      <c r="I128" s="10"/>
      <c r="J128" s="10"/>
      <c r="K128" s="13"/>
      <c r="L128" s="10"/>
    </row>
    <row r="129" spans="1:12" s="24" customFormat="1">
      <c r="A129" s="16">
        <v>45914</v>
      </c>
      <c r="B129" s="18">
        <f>Table13[[#This Row],[Date]]</f>
        <v>45914</v>
      </c>
      <c r="C129" s="10" t="s">
        <v>4</v>
      </c>
      <c r="D129" s="259" t="s">
        <v>92</v>
      </c>
      <c r="E129" s="14" t="s">
        <v>95</v>
      </c>
      <c r="F129" s="10" t="s">
        <v>19</v>
      </c>
      <c r="G129" s="10">
        <v>1</v>
      </c>
      <c r="H129" s="10"/>
      <c r="I129" s="10"/>
      <c r="J129" s="10"/>
      <c r="K129" s="13"/>
      <c r="L129" s="10"/>
    </row>
    <row r="130" spans="1:12" s="24" customFormat="1">
      <c r="A130" s="53">
        <v>45915</v>
      </c>
      <c r="B130" s="54">
        <f>Table13[[#This Row],[Date]]</f>
        <v>45915</v>
      </c>
      <c r="C130" s="55" t="s">
        <v>14</v>
      </c>
      <c r="D130" s="79" t="s">
        <v>96</v>
      </c>
      <c r="E130" s="55" t="s">
        <v>18</v>
      </c>
      <c r="F130" s="55" t="s">
        <v>19</v>
      </c>
      <c r="G130" s="55">
        <v>1</v>
      </c>
      <c r="H130" s="55"/>
      <c r="I130" s="55"/>
      <c r="J130" s="55"/>
      <c r="K130" s="57"/>
      <c r="L130" s="55"/>
    </row>
    <row r="131" spans="1:12" s="24" customFormat="1">
      <c r="A131" s="53">
        <v>45915</v>
      </c>
      <c r="B131" s="54">
        <f>Table13[[#This Row],[Date]]</f>
        <v>45915</v>
      </c>
      <c r="C131" s="55" t="s">
        <v>14</v>
      </c>
      <c r="D131" s="79" t="s">
        <v>97</v>
      </c>
      <c r="E131" s="63" t="s">
        <v>18</v>
      </c>
      <c r="F131" s="55" t="s">
        <v>19</v>
      </c>
      <c r="G131" s="55">
        <v>1</v>
      </c>
      <c r="H131" s="55"/>
      <c r="I131" s="55"/>
      <c r="J131" s="55"/>
      <c r="K131" s="57"/>
      <c r="L131" s="55"/>
    </row>
    <row r="132" spans="1:12" s="24" customFormat="1">
      <c r="A132" s="15">
        <v>45915</v>
      </c>
      <c r="B132" s="17">
        <f>Table13[[#This Row],[Date]]</f>
        <v>45915</v>
      </c>
      <c r="C132" s="1" t="s">
        <v>14</v>
      </c>
      <c r="D132" s="35" t="s">
        <v>98</v>
      </c>
      <c r="E132" s="1" t="s">
        <v>18</v>
      </c>
      <c r="F132" s="1" t="s">
        <v>99</v>
      </c>
      <c r="G132" s="28">
        <v>1</v>
      </c>
      <c r="H132" s="1"/>
      <c r="I132" s="1"/>
      <c r="J132" s="1"/>
      <c r="K132" s="3"/>
      <c r="L132" s="1"/>
    </row>
    <row r="133" spans="1:12" s="24" customFormat="1">
      <c r="A133" s="53">
        <v>45915</v>
      </c>
      <c r="B133" s="80">
        <f>Table13[[#This Row],[Date]]</f>
        <v>45915</v>
      </c>
      <c r="C133" s="63" t="s">
        <v>14</v>
      </c>
      <c r="D133" s="157" t="s">
        <v>100</v>
      </c>
      <c r="E133" s="55" t="s">
        <v>18</v>
      </c>
      <c r="F133" s="55" t="s">
        <v>19</v>
      </c>
      <c r="G133" s="55">
        <v>1</v>
      </c>
      <c r="H133" s="63"/>
      <c r="I133" s="63"/>
      <c r="J133" s="63"/>
      <c r="K133" s="71"/>
      <c r="L133" s="55"/>
    </row>
    <row r="134" spans="1:12" s="24" customFormat="1">
      <c r="A134" s="53">
        <v>45915</v>
      </c>
      <c r="B134" s="54">
        <f>Table13[[#This Row],[Date]]</f>
        <v>45915</v>
      </c>
      <c r="C134" s="55" t="s">
        <v>16</v>
      </c>
      <c r="D134" s="79" t="s">
        <v>101</v>
      </c>
      <c r="E134" s="64" t="s">
        <v>18</v>
      </c>
      <c r="F134" s="55" t="s">
        <v>19</v>
      </c>
      <c r="G134" s="55">
        <v>1</v>
      </c>
      <c r="H134" s="55"/>
      <c r="I134" s="55"/>
      <c r="J134" s="55"/>
      <c r="K134" s="57"/>
      <c r="L134" s="55"/>
    </row>
    <row r="135" spans="1:12" s="24" customFormat="1">
      <c r="A135" s="53">
        <v>45915</v>
      </c>
      <c r="B135" s="54">
        <f>Table13[[#This Row],[Date]]</f>
        <v>45915</v>
      </c>
      <c r="C135" s="55" t="s">
        <v>16</v>
      </c>
      <c r="D135" s="79" t="s">
        <v>101</v>
      </c>
      <c r="E135" s="63" t="s">
        <v>21</v>
      </c>
      <c r="F135" s="55" t="s">
        <v>19</v>
      </c>
      <c r="G135" s="55">
        <v>1</v>
      </c>
      <c r="H135" s="55"/>
      <c r="I135" s="55"/>
      <c r="J135" s="55"/>
      <c r="K135" s="57"/>
      <c r="L135" s="55"/>
    </row>
    <row r="136" spans="1:12" s="24" customFormat="1">
      <c r="A136" s="53">
        <v>45915</v>
      </c>
      <c r="B136" s="54">
        <f>Table13[[#This Row],[Date]]</f>
        <v>45915</v>
      </c>
      <c r="C136" s="55" t="s">
        <v>16</v>
      </c>
      <c r="D136" s="79" t="s">
        <v>101</v>
      </c>
      <c r="E136" s="55" t="s">
        <v>47</v>
      </c>
      <c r="F136" s="55" t="s">
        <v>19</v>
      </c>
      <c r="G136" s="55">
        <v>1</v>
      </c>
      <c r="H136" s="55"/>
      <c r="I136" s="55"/>
      <c r="J136" s="55"/>
      <c r="K136" s="57"/>
      <c r="L136" s="55"/>
    </row>
    <row r="137" spans="1:12" s="24" customFormat="1">
      <c r="A137" s="26">
        <v>45915</v>
      </c>
      <c r="B137" s="27">
        <f>Table13[[#This Row],[Date]]</f>
        <v>45915</v>
      </c>
      <c r="C137" s="28" t="s">
        <v>23</v>
      </c>
      <c r="D137" s="260" t="s">
        <v>15</v>
      </c>
      <c r="E137" s="36"/>
      <c r="F137" s="28"/>
      <c r="G137" s="28"/>
      <c r="H137" s="28"/>
      <c r="I137" s="28"/>
      <c r="J137" s="28"/>
      <c r="K137" s="29"/>
      <c r="L137" s="28"/>
    </row>
    <row r="138" spans="1:12" s="24" customFormat="1">
      <c r="A138" s="53">
        <v>45915</v>
      </c>
      <c r="B138" s="54">
        <f>Table13[[#This Row],[Date]]</f>
        <v>45915</v>
      </c>
      <c r="C138" s="55" t="s">
        <v>26</v>
      </c>
      <c r="D138" s="78" t="s">
        <v>102</v>
      </c>
      <c r="E138" s="64" t="s">
        <v>18</v>
      </c>
      <c r="F138" s="55" t="s">
        <v>19</v>
      </c>
      <c r="G138" s="55">
        <v>1</v>
      </c>
      <c r="H138" s="55"/>
      <c r="I138" s="55"/>
      <c r="J138" s="55"/>
      <c r="K138" s="57"/>
      <c r="L138" s="55"/>
    </row>
    <row r="139" spans="1:12" s="24" customFormat="1">
      <c r="A139" s="53">
        <v>45915</v>
      </c>
      <c r="B139" s="54">
        <f>Table13[[#This Row],[Date]]</f>
        <v>45915</v>
      </c>
      <c r="C139" s="55" t="s">
        <v>26</v>
      </c>
      <c r="D139" s="78" t="s">
        <v>103</v>
      </c>
      <c r="E139" s="63" t="s">
        <v>18</v>
      </c>
      <c r="F139" s="55" t="s">
        <v>19</v>
      </c>
      <c r="G139" s="55">
        <v>1</v>
      </c>
      <c r="H139" s="55"/>
      <c r="I139" s="55"/>
      <c r="J139" s="55"/>
      <c r="K139" s="57"/>
      <c r="L139" s="55"/>
    </row>
    <row r="140" spans="1:12" s="24" customFormat="1">
      <c r="A140" s="53">
        <v>45915</v>
      </c>
      <c r="B140" s="54">
        <f>Table13[[#This Row],[Date]]</f>
        <v>45915</v>
      </c>
      <c r="C140" s="55" t="s">
        <v>26</v>
      </c>
      <c r="D140" s="78" t="s">
        <v>103</v>
      </c>
      <c r="E140" s="55" t="s">
        <v>21</v>
      </c>
      <c r="F140" s="55" t="s">
        <v>19</v>
      </c>
      <c r="G140" s="55">
        <v>1</v>
      </c>
      <c r="H140" s="55"/>
      <c r="I140" s="55"/>
      <c r="J140" s="55"/>
      <c r="K140" s="57"/>
      <c r="L140" s="55"/>
    </row>
    <row r="141" spans="1:12" s="24" customFormat="1">
      <c r="A141" s="53">
        <v>45916</v>
      </c>
      <c r="B141" s="54">
        <f>Table13[[#This Row],[Date]]</f>
        <v>45916</v>
      </c>
      <c r="C141" s="55" t="s">
        <v>14</v>
      </c>
      <c r="D141" s="59" t="s">
        <v>104</v>
      </c>
      <c r="E141" s="63" t="s">
        <v>59</v>
      </c>
      <c r="F141" s="55" t="s">
        <v>60</v>
      </c>
      <c r="G141" s="55">
        <v>1</v>
      </c>
      <c r="H141" s="55"/>
      <c r="I141" s="55"/>
      <c r="J141" s="55"/>
      <c r="K141" s="57"/>
      <c r="L141" s="55"/>
    </row>
    <row r="142" spans="1:12" s="24" customFormat="1">
      <c r="A142" s="53">
        <v>45916</v>
      </c>
      <c r="B142" s="54">
        <f>Table13[[#This Row],[Date]]</f>
        <v>45916</v>
      </c>
      <c r="C142" s="55" t="s">
        <v>14</v>
      </c>
      <c r="D142" s="59" t="s">
        <v>104</v>
      </c>
      <c r="E142" s="55" t="s">
        <v>61</v>
      </c>
      <c r="F142" s="55" t="s">
        <v>60</v>
      </c>
      <c r="G142" s="55">
        <v>1</v>
      </c>
      <c r="H142" s="55"/>
      <c r="I142" s="55"/>
      <c r="J142" s="55"/>
      <c r="K142" s="57"/>
      <c r="L142" s="55"/>
    </row>
    <row r="143" spans="1:12" s="24" customFormat="1">
      <c r="A143" s="48">
        <v>45916</v>
      </c>
      <c r="B143" s="49">
        <f>Table13[[#This Row],[Date]]</f>
        <v>45916</v>
      </c>
      <c r="C143" s="50" t="s">
        <v>4</v>
      </c>
      <c r="D143" s="255" t="s">
        <v>32</v>
      </c>
      <c r="E143" s="84"/>
      <c r="F143" s="50"/>
      <c r="G143" s="50"/>
      <c r="H143" s="50"/>
      <c r="I143" s="50"/>
      <c r="J143" s="50"/>
      <c r="K143" s="52"/>
      <c r="L143" s="50"/>
    </row>
    <row r="144" spans="1:12" s="24" customFormat="1">
      <c r="A144" s="53">
        <v>45917</v>
      </c>
      <c r="B144" s="54">
        <f>Table13[[#This Row],[Date]]</f>
        <v>45917</v>
      </c>
      <c r="C144" s="55" t="s">
        <v>14</v>
      </c>
      <c r="D144" s="59" t="s">
        <v>104</v>
      </c>
      <c r="E144" s="55" t="s">
        <v>72</v>
      </c>
      <c r="F144" s="55" t="s">
        <v>60</v>
      </c>
      <c r="G144" s="55">
        <v>1</v>
      </c>
      <c r="H144" s="55"/>
      <c r="I144" s="55"/>
      <c r="J144" s="55"/>
      <c r="K144" s="57"/>
      <c r="L144" s="55"/>
    </row>
    <row r="145" spans="1:12" s="24" customFormat="1">
      <c r="A145" s="53">
        <v>45917</v>
      </c>
      <c r="B145" s="54">
        <f>Table13[[#This Row],[Date]]</f>
        <v>45917</v>
      </c>
      <c r="C145" s="55" t="s">
        <v>14</v>
      </c>
      <c r="D145" s="59" t="s">
        <v>104</v>
      </c>
      <c r="E145" s="63" t="s">
        <v>76</v>
      </c>
      <c r="F145" s="55" t="s">
        <v>60</v>
      </c>
      <c r="G145" s="55">
        <v>1</v>
      </c>
      <c r="H145" s="55"/>
      <c r="I145" s="55"/>
      <c r="J145" s="55"/>
      <c r="K145" s="57"/>
      <c r="L145" s="55"/>
    </row>
    <row r="146" spans="1:12" s="24" customFormat="1">
      <c r="A146" s="26">
        <v>45917</v>
      </c>
      <c r="B146" s="27">
        <f>Table13[[#This Row],[Date]]</f>
        <v>45917</v>
      </c>
      <c r="C146" s="28" t="s">
        <v>14</v>
      </c>
      <c r="D146" s="6" t="s">
        <v>15</v>
      </c>
      <c r="E146" s="28"/>
      <c r="F146" s="28"/>
      <c r="G146" s="28"/>
      <c r="H146" s="28"/>
      <c r="I146" s="28"/>
      <c r="J146" s="28"/>
      <c r="K146" s="29"/>
      <c r="L146" s="28"/>
    </row>
    <row r="147" spans="1:12" s="24" customFormat="1">
      <c r="A147" s="53">
        <v>45917</v>
      </c>
      <c r="B147" s="54">
        <f>Table13[[#This Row],[Date]]</f>
        <v>45917</v>
      </c>
      <c r="C147" s="55" t="s">
        <v>16</v>
      </c>
      <c r="D147" s="59" t="s">
        <v>105</v>
      </c>
      <c r="E147" s="76" t="s">
        <v>18</v>
      </c>
      <c r="F147" s="55" t="s">
        <v>19</v>
      </c>
      <c r="G147" s="55">
        <v>1</v>
      </c>
      <c r="H147" s="55"/>
      <c r="I147" s="55"/>
      <c r="J147" s="55"/>
      <c r="K147" s="57"/>
      <c r="L147" s="55"/>
    </row>
    <row r="148" spans="1:12" s="24" customFormat="1">
      <c r="A148" s="53">
        <v>45917</v>
      </c>
      <c r="B148" s="54">
        <f>Table13[[#This Row],[Date]]</f>
        <v>45917</v>
      </c>
      <c r="C148" s="55" t="s">
        <v>16</v>
      </c>
      <c r="D148" s="59" t="s">
        <v>105</v>
      </c>
      <c r="E148" s="77" t="s">
        <v>21</v>
      </c>
      <c r="F148" s="55" t="s">
        <v>19</v>
      </c>
      <c r="G148" s="55">
        <v>1</v>
      </c>
      <c r="H148" s="55"/>
      <c r="I148" s="55"/>
      <c r="J148" s="55"/>
      <c r="K148" s="57"/>
      <c r="L148" s="55"/>
    </row>
    <row r="149" spans="1:12" s="24" customFormat="1">
      <c r="A149" s="53">
        <v>45917</v>
      </c>
      <c r="B149" s="54">
        <f>Table13[[#This Row],[Date]]</f>
        <v>45917</v>
      </c>
      <c r="C149" s="55" t="s">
        <v>16</v>
      </c>
      <c r="D149" s="79" t="s">
        <v>105</v>
      </c>
      <c r="E149" s="77" t="s">
        <v>49</v>
      </c>
      <c r="F149" s="55" t="s">
        <v>19</v>
      </c>
      <c r="G149" s="55">
        <v>1</v>
      </c>
      <c r="H149" s="55"/>
      <c r="I149" s="55"/>
      <c r="J149" s="55"/>
      <c r="K149" s="57"/>
      <c r="L149" s="55"/>
    </row>
    <row r="150" spans="1:12" s="24" customFormat="1">
      <c r="A150" s="53">
        <v>45917</v>
      </c>
      <c r="B150" s="54">
        <f>Table13[[#This Row],[Date]]</f>
        <v>45917</v>
      </c>
      <c r="C150" s="55" t="s">
        <v>23</v>
      </c>
      <c r="D150" s="79" t="s">
        <v>106</v>
      </c>
      <c r="E150" s="64" t="s">
        <v>28</v>
      </c>
      <c r="F150" s="55" t="s">
        <v>19</v>
      </c>
      <c r="G150" s="55">
        <v>1</v>
      </c>
      <c r="H150" s="55"/>
      <c r="I150" s="55"/>
      <c r="J150" s="55"/>
      <c r="K150" s="57"/>
      <c r="L150" s="55"/>
    </row>
    <row r="151" spans="1:12" s="24" customFormat="1">
      <c r="A151" s="53">
        <v>45917</v>
      </c>
      <c r="B151" s="54">
        <f>Table13[[#This Row],[Date]]</f>
        <v>45917</v>
      </c>
      <c r="C151" s="55" t="s">
        <v>23</v>
      </c>
      <c r="D151" s="79" t="s">
        <v>106</v>
      </c>
      <c r="E151" s="55" t="s">
        <v>107</v>
      </c>
      <c r="F151" s="55" t="s">
        <v>19</v>
      </c>
      <c r="G151" s="55">
        <v>1</v>
      </c>
      <c r="H151" s="55"/>
      <c r="I151" s="55"/>
      <c r="J151" s="55"/>
      <c r="K151" s="57"/>
      <c r="L151" s="55"/>
    </row>
    <row r="152" spans="1:12" s="24" customFormat="1">
      <c r="A152" s="53">
        <v>45917</v>
      </c>
      <c r="B152" s="54">
        <f>Table13[[#This Row],[Date]]</f>
        <v>45917</v>
      </c>
      <c r="C152" s="55" t="s">
        <v>23</v>
      </c>
      <c r="D152" s="79" t="s">
        <v>106</v>
      </c>
      <c r="E152" s="64" t="s">
        <v>41</v>
      </c>
      <c r="F152" s="55" t="s">
        <v>19</v>
      </c>
      <c r="G152" s="55">
        <v>1</v>
      </c>
      <c r="H152" s="55"/>
      <c r="I152" s="55"/>
      <c r="J152" s="55"/>
      <c r="K152" s="57"/>
      <c r="L152" s="55"/>
    </row>
    <row r="153" spans="1:12" s="24" customFormat="1">
      <c r="A153" s="53">
        <v>45917</v>
      </c>
      <c r="B153" s="54">
        <f>Table13[[#This Row],[Date]]</f>
        <v>45917</v>
      </c>
      <c r="C153" s="55" t="s">
        <v>26</v>
      </c>
      <c r="D153" s="78" t="s">
        <v>108</v>
      </c>
      <c r="E153" s="55" t="s">
        <v>28</v>
      </c>
      <c r="F153" s="55" t="s">
        <v>19</v>
      </c>
      <c r="G153" s="55">
        <v>1</v>
      </c>
      <c r="H153" s="55"/>
      <c r="I153" s="55"/>
      <c r="J153" s="55"/>
      <c r="K153" s="57"/>
      <c r="L153" s="55"/>
    </row>
    <row r="154" spans="1:12" s="24" customFormat="1">
      <c r="A154" s="53">
        <v>45917</v>
      </c>
      <c r="B154" s="54">
        <f>Table13[[#This Row],[Date]]</f>
        <v>45917</v>
      </c>
      <c r="C154" s="55" t="s">
        <v>26</v>
      </c>
      <c r="D154" s="78" t="s">
        <v>108</v>
      </c>
      <c r="E154" s="55" t="s">
        <v>107</v>
      </c>
      <c r="F154" s="55" t="s">
        <v>19</v>
      </c>
      <c r="G154" s="55">
        <v>1</v>
      </c>
      <c r="H154" s="55"/>
      <c r="I154" s="55"/>
      <c r="J154" s="55"/>
      <c r="K154" s="57"/>
      <c r="L154" s="55"/>
    </row>
    <row r="155" spans="1:12" s="24" customFormat="1">
      <c r="A155" s="53">
        <v>45917</v>
      </c>
      <c r="B155" s="54">
        <f>Table13[[#This Row],[Date]]</f>
        <v>45917</v>
      </c>
      <c r="C155" s="55" t="s">
        <v>26</v>
      </c>
      <c r="D155" s="78" t="s">
        <v>108</v>
      </c>
      <c r="E155" s="55" t="s">
        <v>35</v>
      </c>
      <c r="F155" s="55" t="s">
        <v>19</v>
      </c>
      <c r="G155" s="55">
        <v>1</v>
      </c>
      <c r="H155" s="55"/>
      <c r="I155" s="55"/>
      <c r="J155" s="55"/>
      <c r="K155" s="57"/>
      <c r="L155" s="55"/>
    </row>
    <row r="156" spans="1:12" s="24" customFormat="1">
      <c r="A156" s="53">
        <v>45917</v>
      </c>
      <c r="B156" s="54">
        <f>Table13[[#This Row],[Date]]</f>
        <v>45917</v>
      </c>
      <c r="C156" s="55" t="s">
        <v>26</v>
      </c>
      <c r="D156" s="78" t="s">
        <v>108</v>
      </c>
      <c r="E156" s="55" t="s">
        <v>109</v>
      </c>
      <c r="F156" s="55" t="s">
        <v>19</v>
      </c>
      <c r="G156" s="55">
        <v>1</v>
      </c>
      <c r="H156" s="55"/>
      <c r="I156" s="55"/>
      <c r="J156" s="55"/>
      <c r="K156" s="57"/>
      <c r="L156" s="55"/>
    </row>
    <row r="157" spans="1:12" s="24" customFormat="1">
      <c r="A157" s="53">
        <v>45918</v>
      </c>
      <c r="B157" s="54">
        <f>Table13[[#This Row],[Date]]</f>
        <v>45918</v>
      </c>
      <c r="C157" s="55" t="s">
        <v>14</v>
      </c>
      <c r="D157" s="59" t="s">
        <v>105</v>
      </c>
      <c r="E157" s="55" t="s">
        <v>59</v>
      </c>
      <c r="F157" s="55" t="s">
        <v>60</v>
      </c>
      <c r="G157" s="55">
        <v>1</v>
      </c>
      <c r="H157" s="55"/>
      <c r="I157" s="55"/>
      <c r="J157" s="55"/>
      <c r="K157" s="57"/>
      <c r="L157" s="55"/>
    </row>
    <row r="158" spans="1:12" s="24" customFormat="1">
      <c r="A158" s="53">
        <v>45918</v>
      </c>
      <c r="B158" s="54">
        <f>Table13[[#This Row],[Date]]</f>
        <v>45918</v>
      </c>
      <c r="C158" s="55" t="s">
        <v>14</v>
      </c>
      <c r="D158" s="79" t="s">
        <v>105</v>
      </c>
      <c r="E158" s="77" t="s">
        <v>61</v>
      </c>
      <c r="F158" s="55" t="s">
        <v>60</v>
      </c>
      <c r="G158" s="55">
        <v>1</v>
      </c>
      <c r="H158" s="55"/>
      <c r="I158" s="55"/>
      <c r="J158" s="55"/>
      <c r="K158" s="57"/>
      <c r="L158" s="55"/>
    </row>
    <row r="159" spans="1:12" s="24" customFormat="1">
      <c r="A159" s="53">
        <v>45918</v>
      </c>
      <c r="B159" s="54">
        <f>Table13[[#This Row],[Date]]</f>
        <v>45918</v>
      </c>
      <c r="C159" s="55" t="s">
        <v>14</v>
      </c>
      <c r="D159" s="79" t="s">
        <v>105</v>
      </c>
      <c r="E159" s="77" t="s">
        <v>72</v>
      </c>
      <c r="F159" s="55" t="s">
        <v>60</v>
      </c>
      <c r="G159" s="55">
        <v>1</v>
      </c>
      <c r="H159" s="55"/>
      <c r="I159" s="55"/>
      <c r="J159" s="55"/>
      <c r="K159" s="57"/>
      <c r="L159" s="55"/>
    </row>
    <row r="160" spans="1:12" s="24" customFormat="1">
      <c r="A160" s="53">
        <v>45918</v>
      </c>
      <c r="B160" s="54">
        <f>Table13[[#This Row],[Date]]</f>
        <v>45918</v>
      </c>
      <c r="C160" s="55" t="s">
        <v>14</v>
      </c>
      <c r="D160" s="59" t="s">
        <v>105</v>
      </c>
      <c r="E160" s="77" t="s">
        <v>76</v>
      </c>
      <c r="F160" s="55" t="s">
        <v>60</v>
      </c>
      <c r="G160" s="55">
        <v>1</v>
      </c>
      <c r="H160" s="55"/>
      <c r="I160" s="55"/>
      <c r="J160" s="55"/>
      <c r="K160" s="57"/>
      <c r="L160" s="55"/>
    </row>
    <row r="161" spans="1:12" s="24" customFormat="1">
      <c r="A161" s="26">
        <v>45918</v>
      </c>
      <c r="B161" s="27">
        <f>Table13[[#This Row],[Date]]</f>
        <v>45918</v>
      </c>
      <c r="C161" s="28" t="s">
        <v>16</v>
      </c>
      <c r="D161" s="6" t="s">
        <v>15</v>
      </c>
      <c r="E161" s="36"/>
      <c r="F161" s="28"/>
      <c r="G161" s="28"/>
      <c r="H161" s="28"/>
      <c r="I161" s="28"/>
      <c r="J161" s="28"/>
      <c r="K161" s="29"/>
      <c r="L161" s="28"/>
    </row>
    <row r="162" spans="1:12" s="24" customFormat="1">
      <c r="A162" s="53">
        <v>45918</v>
      </c>
      <c r="B162" s="54">
        <f>Table13[[#This Row],[Date]]</f>
        <v>45918</v>
      </c>
      <c r="C162" s="55" t="s">
        <v>23</v>
      </c>
      <c r="D162" s="59" t="s">
        <v>106</v>
      </c>
      <c r="E162" s="64" t="s">
        <v>18</v>
      </c>
      <c r="F162" s="55" t="s">
        <v>19</v>
      </c>
      <c r="G162" s="55">
        <v>1</v>
      </c>
      <c r="H162" s="55"/>
      <c r="I162" s="55"/>
      <c r="J162" s="55"/>
      <c r="K162" s="57"/>
      <c r="L162" s="55"/>
    </row>
    <row r="163" spans="1:12" s="24" customFormat="1">
      <c r="A163" s="53">
        <v>45918</v>
      </c>
      <c r="B163" s="54">
        <f>Table13[[#This Row],[Date]]</f>
        <v>45918</v>
      </c>
      <c r="C163" s="55" t="s">
        <v>23</v>
      </c>
      <c r="D163" s="59" t="s">
        <v>106</v>
      </c>
      <c r="E163" s="64" t="s">
        <v>21</v>
      </c>
      <c r="F163" s="55" t="s">
        <v>19</v>
      </c>
      <c r="G163" s="55">
        <v>1</v>
      </c>
      <c r="H163" s="55"/>
      <c r="I163" s="55"/>
      <c r="J163" s="55"/>
      <c r="K163" s="57"/>
      <c r="L163" s="55"/>
    </row>
    <row r="164" spans="1:12" s="24" customFormat="1">
      <c r="A164" s="53">
        <v>45918</v>
      </c>
      <c r="B164" s="54">
        <f>Table13[[#This Row],[Date]]</f>
        <v>45918</v>
      </c>
      <c r="C164" s="55" t="s">
        <v>23</v>
      </c>
      <c r="D164" s="59" t="s">
        <v>106</v>
      </c>
      <c r="E164" s="64" t="s">
        <v>49</v>
      </c>
      <c r="F164" s="55" t="s">
        <v>19</v>
      </c>
      <c r="G164" s="55">
        <v>1</v>
      </c>
      <c r="H164" s="55"/>
      <c r="I164" s="55"/>
      <c r="J164" s="55"/>
      <c r="K164" s="57"/>
      <c r="L164" s="55"/>
    </row>
    <row r="165" spans="1:12" s="24" customFormat="1">
      <c r="A165" s="53">
        <v>45918</v>
      </c>
      <c r="B165" s="54">
        <f>Table13[[#This Row],[Date]]</f>
        <v>45918</v>
      </c>
      <c r="C165" s="55" t="s">
        <v>26</v>
      </c>
      <c r="D165" s="59" t="s">
        <v>110</v>
      </c>
      <c r="E165" s="63" t="s">
        <v>18</v>
      </c>
      <c r="F165" s="55" t="s">
        <v>19</v>
      </c>
      <c r="G165" s="55">
        <v>1</v>
      </c>
      <c r="H165" s="55"/>
      <c r="I165" s="55"/>
      <c r="J165" s="55"/>
      <c r="K165" s="57"/>
      <c r="L165" s="55"/>
    </row>
    <row r="166" spans="1:12" s="24" customFormat="1">
      <c r="A166" s="53">
        <v>45918</v>
      </c>
      <c r="B166" s="54">
        <f>Table13[[#This Row],[Date]]</f>
        <v>45918</v>
      </c>
      <c r="C166" s="55" t="s">
        <v>26</v>
      </c>
      <c r="D166" s="59" t="s">
        <v>110</v>
      </c>
      <c r="E166" s="55" t="s">
        <v>21</v>
      </c>
      <c r="F166" s="55" t="s">
        <v>19</v>
      </c>
      <c r="G166" s="55">
        <v>1</v>
      </c>
      <c r="H166" s="55"/>
      <c r="I166" s="55"/>
      <c r="J166" s="55"/>
      <c r="K166" s="57"/>
      <c r="L166" s="55"/>
    </row>
    <row r="167" spans="1:12" s="24" customFormat="1">
      <c r="A167" s="53">
        <v>45919</v>
      </c>
      <c r="B167" s="54">
        <f>Table13[[#This Row],[Date]]</f>
        <v>45919</v>
      </c>
      <c r="C167" s="55" t="s">
        <v>14</v>
      </c>
      <c r="D167" s="61" t="s">
        <v>111</v>
      </c>
      <c r="E167" s="63" t="s">
        <v>18</v>
      </c>
      <c r="F167" s="55" t="s">
        <v>99</v>
      </c>
      <c r="G167" s="55">
        <v>1</v>
      </c>
      <c r="H167" s="55"/>
      <c r="I167" s="55"/>
      <c r="J167" s="55"/>
      <c r="K167" s="57"/>
      <c r="L167" s="55"/>
    </row>
    <row r="168" spans="1:12" s="24" customFormat="1">
      <c r="A168" s="53">
        <v>45919</v>
      </c>
      <c r="B168" s="54">
        <f>Table13[[#This Row],[Date]]</f>
        <v>45919</v>
      </c>
      <c r="C168" s="55" t="s">
        <v>14</v>
      </c>
      <c r="D168" s="61" t="s">
        <v>112</v>
      </c>
      <c r="E168" s="63" t="s">
        <v>18</v>
      </c>
      <c r="F168" s="55" t="s">
        <v>99</v>
      </c>
      <c r="G168" s="55">
        <v>1</v>
      </c>
      <c r="H168" s="55"/>
      <c r="I168" s="55"/>
      <c r="J168" s="55"/>
      <c r="K168" s="57"/>
      <c r="L168" s="55"/>
    </row>
    <row r="169" spans="1:12" s="24" customFormat="1">
      <c r="A169" s="53">
        <v>45919</v>
      </c>
      <c r="B169" s="54">
        <f>Table13[[#This Row],[Date]]</f>
        <v>45919</v>
      </c>
      <c r="C169" s="55" t="s">
        <v>14</v>
      </c>
      <c r="D169" s="61" t="s">
        <v>113</v>
      </c>
      <c r="E169" s="55" t="s">
        <v>18</v>
      </c>
      <c r="F169" s="55" t="s">
        <v>19</v>
      </c>
      <c r="G169" s="55">
        <v>1</v>
      </c>
      <c r="H169" s="55"/>
      <c r="I169" s="55"/>
      <c r="J169" s="55"/>
      <c r="K169" s="57"/>
      <c r="L169" s="55"/>
    </row>
    <row r="170" spans="1:12" s="24" customFormat="1">
      <c r="A170" s="53">
        <v>45919</v>
      </c>
      <c r="B170" s="54">
        <f>Table13[[#This Row],[Date]]</f>
        <v>45919</v>
      </c>
      <c r="C170" s="55" t="s">
        <v>16</v>
      </c>
      <c r="D170" s="59" t="s">
        <v>105</v>
      </c>
      <c r="E170" s="55" t="s">
        <v>47</v>
      </c>
      <c r="F170" s="55" t="s">
        <v>19</v>
      </c>
      <c r="G170" s="55">
        <v>1</v>
      </c>
      <c r="H170" s="55"/>
      <c r="I170" s="55"/>
      <c r="J170" s="55"/>
      <c r="K170" s="57"/>
      <c r="L170" s="55"/>
    </row>
    <row r="171" spans="1:12" s="24" customFormat="1">
      <c r="A171" s="53">
        <v>45919</v>
      </c>
      <c r="B171" s="54">
        <f>Table13[[#This Row],[Date]]</f>
        <v>45919</v>
      </c>
      <c r="C171" s="55" t="s">
        <v>16</v>
      </c>
      <c r="D171" s="59" t="s">
        <v>105</v>
      </c>
      <c r="E171" s="55" t="s">
        <v>53</v>
      </c>
      <c r="F171" s="55" t="s">
        <v>19</v>
      </c>
      <c r="G171" s="55">
        <v>1</v>
      </c>
      <c r="H171" s="55"/>
      <c r="I171" s="55"/>
      <c r="J171" s="55"/>
      <c r="K171" s="57"/>
      <c r="L171" s="55"/>
    </row>
    <row r="172" spans="1:12" s="24" customFormat="1">
      <c r="A172" s="53">
        <v>45919</v>
      </c>
      <c r="B172" s="54">
        <f>Table13[[#This Row],[Date]]</f>
        <v>45919</v>
      </c>
      <c r="C172" s="55" t="s">
        <v>16</v>
      </c>
      <c r="D172" s="59" t="s">
        <v>105</v>
      </c>
      <c r="E172" s="55" t="s">
        <v>41</v>
      </c>
      <c r="F172" s="55" t="s">
        <v>19</v>
      </c>
      <c r="G172" s="55">
        <v>1</v>
      </c>
      <c r="H172" s="55"/>
      <c r="I172" s="55"/>
      <c r="J172" s="55"/>
      <c r="K172" s="57"/>
      <c r="L172" s="55"/>
    </row>
    <row r="173" spans="1:12" s="24" customFormat="1">
      <c r="A173" s="26">
        <v>45919</v>
      </c>
      <c r="B173" s="27">
        <f>Table13[[#This Row],[Date]]</f>
        <v>45919</v>
      </c>
      <c r="C173" s="28" t="s">
        <v>23</v>
      </c>
      <c r="D173" s="6" t="s">
        <v>15</v>
      </c>
      <c r="E173" s="28"/>
      <c r="F173" s="28"/>
      <c r="G173" s="28"/>
      <c r="H173" s="28"/>
      <c r="I173" s="28"/>
      <c r="J173" s="28"/>
      <c r="K173" s="29"/>
      <c r="L173" s="28"/>
    </row>
    <row r="174" spans="1:12" s="24" customFormat="1">
      <c r="A174" s="53">
        <v>45919</v>
      </c>
      <c r="B174" s="54">
        <f>Table13[[#This Row],[Date]]</f>
        <v>45919</v>
      </c>
      <c r="C174" s="55" t="s">
        <v>26</v>
      </c>
      <c r="D174" s="59" t="s">
        <v>114</v>
      </c>
      <c r="E174" s="63" t="s">
        <v>18</v>
      </c>
      <c r="F174" s="55" t="s">
        <v>19</v>
      </c>
      <c r="G174" s="55">
        <v>1</v>
      </c>
      <c r="H174" s="55"/>
      <c r="I174" s="55"/>
      <c r="J174" s="55"/>
      <c r="K174" s="57"/>
      <c r="L174" s="55"/>
    </row>
    <row r="175" spans="1:12" s="24" customFormat="1">
      <c r="A175" s="53">
        <v>45919</v>
      </c>
      <c r="B175" s="54">
        <f>Table13[[#This Row],[Date]]</f>
        <v>45919</v>
      </c>
      <c r="C175" s="55" t="s">
        <v>26</v>
      </c>
      <c r="D175" s="59" t="s">
        <v>114</v>
      </c>
      <c r="E175" s="55" t="s">
        <v>21</v>
      </c>
      <c r="F175" s="55" t="s">
        <v>19</v>
      </c>
      <c r="G175" s="55">
        <v>1</v>
      </c>
      <c r="H175" s="55"/>
      <c r="I175" s="55"/>
      <c r="J175" s="55"/>
      <c r="K175" s="57"/>
      <c r="L175" s="55"/>
    </row>
    <row r="176" spans="1:12" s="24" customFormat="1">
      <c r="A176" s="53">
        <v>45919</v>
      </c>
      <c r="B176" s="54">
        <f>Table13[[#This Row],[Date]]</f>
        <v>45919</v>
      </c>
      <c r="C176" s="55" t="s">
        <v>26</v>
      </c>
      <c r="D176" s="61" t="s">
        <v>115</v>
      </c>
      <c r="E176" s="64" t="s">
        <v>18</v>
      </c>
      <c r="F176" s="55" t="s">
        <v>19</v>
      </c>
      <c r="G176" s="55">
        <v>1</v>
      </c>
      <c r="H176" s="55"/>
      <c r="I176" s="55"/>
      <c r="J176" s="55"/>
      <c r="K176" s="57"/>
      <c r="L176" s="55"/>
    </row>
    <row r="177" spans="1:12" s="24" customFormat="1">
      <c r="A177" s="16">
        <v>45920</v>
      </c>
      <c r="B177" s="18">
        <f>Table13[[#This Row],[Date]]</f>
        <v>45920</v>
      </c>
      <c r="C177" s="10" t="s">
        <v>4</v>
      </c>
      <c r="D177" s="9" t="s">
        <v>87</v>
      </c>
      <c r="E177" s="8" t="s">
        <v>72</v>
      </c>
      <c r="F177" s="10" t="s">
        <v>60</v>
      </c>
      <c r="G177" s="10">
        <v>1</v>
      </c>
      <c r="H177" s="10"/>
      <c r="I177" s="10"/>
      <c r="J177" s="10"/>
      <c r="K177" s="13"/>
      <c r="L177" s="10"/>
    </row>
    <row r="178" spans="1:12" s="24" customFormat="1">
      <c r="A178" s="16">
        <v>45920</v>
      </c>
      <c r="B178" s="18">
        <f>Table13[[#This Row],[Date]]</f>
        <v>45920</v>
      </c>
      <c r="C178" s="10" t="s">
        <v>4</v>
      </c>
      <c r="D178" s="9" t="s">
        <v>87</v>
      </c>
      <c r="E178" s="8" t="s">
        <v>76</v>
      </c>
      <c r="F178" s="10" t="s">
        <v>60</v>
      </c>
      <c r="G178" s="10">
        <v>1</v>
      </c>
      <c r="H178" s="10"/>
      <c r="I178" s="10"/>
      <c r="J178" s="10"/>
      <c r="K178" s="13"/>
      <c r="L178" s="10"/>
    </row>
    <row r="179" spans="1:12" s="24" customFormat="1">
      <c r="A179" s="16">
        <v>45920</v>
      </c>
      <c r="B179" s="18">
        <f>Table13[[#This Row],[Date]]</f>
        <v>45920</v>
      </c>
      <c r="C179" s="10" t="s">
        <v>4</v>
      </c>
      <c r="D179" s="9" t="s">
        <v>87</v>
      </c>
      <c r="E179" s="8" t="s">
        <v>28</v>
      </c>
      <c r="F179" s="10" t="s">
        <v>19</v>
      </c>
      <c r="G179" s="10">
        <v>1</v>
      </c>
      <c r="H179" s="10"/>
      <c r="I179" s="10"/>
      <c r="J179" s="10"/>
      <c r="K179" s="13"/>
      <c r="L179" s="10"/>
    </row>
    <row r="180" spans="1:12" s="24" customFormat="1">
      <c r="A180" s="16">
        <v>45920</v>
      </c>
      <c r="B180" s="18">
        <f>Table13[[#This Row],[Date]]</f>
        <v>45920</v>
      </c>
      <c r="C180" s="10" t="s">
        <v>4</v>
      </c>
      <c r="D180" s="9" t="s">
        <v>87</v>
      </c>
      <c r="E180" s="8" t="s">
        <v>107</v>
      </c>
      <c r="F180" s="10" t="s">
        <v>19</v>
      </c>
      <c r="G180" s="10">
        <v>1</v>
      </c>
      <c r="H180" s="10"/>
      <c r="I180" s="10"/>
      <c r="J180" s="10"/>
      <c r="K180" s="13"/>
      <c r="L180" s="10"/>
    </row>
    <row r="181" spans="1:12" s="24" customFormat="1">
      <c r="A181" s="16">
        <v>45920</v>
      </c>
      <c r="B181" s="18">
        <f>Table13[[#This Row],[Date]]</f>
        <v>45920</v>
      </c>
      <c r="C181" s="10" t="s">
        <v>4</v>
      </c>
      <c r="D181" s="12" t="s">
        <v>116</v>
      </c>
      <c r="E181" s="10" t="s">
        <v>18</v>
      </c>
      <c r="F181" s="10" t="s">
        <v>99</v>
      </c>
      <c r="G181" s="10">
        <v>1</v>
      </c>
      <c r="H181" s="10"/>
      <c r="I181" s="10"/>
      <c r="J181" s="10"/>
      <c r="K181" s="13"/>
      <c r="L181" s="10"/>
    </row>
    <row r="182" spans="1:12" s="24" customFormat="1">
      <c r="A182" s="53">
        <v>45920</v>
      </c>
      <c r="B182" s="54">
        <f>Table13[[#This Row],[Date]]</f>
        <v>45920</v>
      </c>
      <c r="C182" s="55"/>
      <c r="D182" s="61" t="s">
        <v>117</v>
      </c>
      <c r="E182" s="55" t="s">
        <v>18</v>
      </c>
      <c r="F182" s="55" t="s">
        <v>99</v>
      </c>
      <c r="G182" s="55">
        <v>1</v>
      </c>
      <c r="H182" s="55"/>
      <c r="I182" s="55"/>
      <c r="J182" s="55"/>
      <c r="K182" s="57"/>
      <c r="L182" s="55"/>
    </row>
    <row r="183" spans="1:12" s="24" customFormat="1">
      <c r="A183" s="16">
        <v>45921</v>
      </c>
      <c r="B183" s="18">
        <f>Table13[[#This Row],[Date]]</f>
        <v>45921</v>
      </c>
      <c r="C183" s="10" t="s">
        <v>4</v>
      </c>
      <c r="D183" s="9" t="s">
        <v>92</v>
      </c>
      <c r="E183" s="10" t="s">
        <v>118</v>
      </c>
      <c r="F183" s="10" t="s">
        <v>19</v>
      </c>
      <c r="G183" s="10">
        <v>1</v>
      </c>
      <c r="H183" s="10"/>
      <c r="I183" s="10"/>
      <c r="J183" s="10"/>
      <c r="K183" s="13"/>
      <c r="L183" s="10"/>
    </row>
    <row r="184" spans="1:12" s="24" customFormat="1">
      <c r="A184" s="16">
        <v>45921</v>
      </c>
      <c r="B184" s="18">
        <f>Table13[[#This Row],[Date]]</f>
        <v>45921</v>
      </c>
      <c r="C184" s="10" t="s">
        <v>4</v>
      </c>
      <c r="D184" s="9" t="s">
        <v>92</v>
      </c>
      <c r="E184" s="10" t="s">
        <v>47</v>
      </c>
      <c r="F184" s="10" t="s">
        <v>19</v>
      </c>
      <c r="G184" s="10">
        <v>1</v>
      </c>
      <c r="H184" s="10"/>
      <c r="I184" s="10"/>
      <c r="J184" s="10"/>
      <c r="K184" s="13"/>
      <c r="L184" s="10"/>
    </row>
    <row r="185" spans="1:12" s="24" customFormat="1">
      <c r="A185" s="26">
        <v>45922</v>
      </c>
      <c r="B185" s="27">
        <f>Table13[[#This Row],[Date]]</f>
        <v>45922</v>
      </c>
      <c r="C185" s="28" t="s">
        <v>14</v>
      </c>
      <c r="D185" s="6" t="s">
        <v>15</v>
      </c>
      <c r="E185" s="36"/>
      <c r="F185" s="28"/>
      <c r="G185" s="28"/>
      <c r="H185" s="28"/>
      <c r="I185" s="28"/>
      <c r="J185" s="28"/>
      <c r="K185" s="29"/>
      <c r="L185" s="28"/>
    </row>
    <row r="186" spans="1:12" s="24" customFormat="1">
      <c r="A186" s="53">
        <v>45922</v>
      </c>
      <c r="B186" s="54">
        <f>Table13[[#This Row],[Date]]</f>
        <v>45922</v>
      </c>
      <c r="C186" s="55" t="s">
        <v>16</v>
      </c>
      <c r="D186" s="59" t="s">
        <v>119</v>
      </c>
      <c r="E186" s="55" t="s">
        <v>47</v>
      </c>
      <c r="F186" s="55" t="s">
        <v>19</v>
      </c>
      <c r="G186" s="55">
        <v>1</v>
      </c>
      <c r="H186" s="55"/>
      <c r="I186" s="55"/>
      <c r="J186" s="55"/>
      <c r="K186" s="57"/>
      <c r="L186" s="55"/>
    </row>
    <row r="187" spans="1:12" s="24" customFormat="1">
      <c r="A187" s="53">
        <v>45922</v>
      </c>
      <c r="B187" s="54">
        <f>Table13[[#This Row],[Date]]</f>
        <v>45922</v>
      </c>
      <c r="C187" s="55" t="s">
        <v>16</v>
      </c>
      <c r="D187" s="59" t="s">
        <v>119</v>
      </c>
      <c r="E187" s="63" t="s">
        <v>18</v>
      </c>
      <c r="F187" s="55" t="s">
        <v>19</v>
      </c>
      <c r="G187" s="55">
        <v>1</v>
      </c>
      <c r="H187" s="55"/>
      <c r="I187" s="55"/>
      <c r="J187" s="55"/>
      <c r="K187" s="57"/>
      <c r="L187" s="55"/>
    </row>
    <row r="188" spans="1:12" s="24" customFormat="1">
      <c r="A188" s="53">
        <v>45922</v>
      </c>
      <c r="B188" s="54">
        <f>Table13[[#This Row],[Date]]</f>
        <v>45922</v>
      </c>
      <c r="C188" s="55" t="s">
        <v>23</v>
      </c>
      <c r="D188" s="61" t="s">
        <v>120</v>
      </c>
      <c r="E188" s="55" t="s">
        <v>18</v>
      </c>
      <c r="F188" s="55" t="s">
        <v>19</v>
      </c>
      <c r="G188" s="55">
        <v>1</v>
      </c>
      <c r="H188" s="55"/>
      <c r="I188" s="55"/>
      <c r="J188" s="55"/>
      <c r="K188" s="57"/>
      <c r="L188" s="55"/>
    </row>
    <row r="189" spans="1:12" s="24" customFormat="1">
      <c r="A189" s="53">
        <v>45922</v>
      </c>
      <c r="B189" s="54">
        <f>Table13[[#This Row],[Date]]</f>
        <v>45922</v>
      </c>
      <c r="C189" s="55" t="s">
        <v>23</v>
      </c>
      <c r="D189" s="59" t="s">
        <v>121</v>
      </c>
      <c r="E189" s="55" t="s">
        <v>21</v>
      </c>
      <c r="F189" s="55" t="s">
        <v>19</v>
      </c>
      <c r="G189" s="55">
        <v>1</v>
      </c>
      <c r="H189" s="55"/>
      <c r="I189" s="55"/>
      <c r="J189" s="55"/>
      <c r="K189" s="57"/>
      <c r="L189" s="55"/>
    </row>
    <row r="190" spans="1:12" s="24" customFormat="1">
      <c r="A190" s="53">
        <v>45922</v>
      </c>
      <c r="B190" s="54">
        <f>Table13[[#This Row],[Date]]</f>
        <v>45922</v>
      </c>
      <c r="C190" s="55" t="s">
        <v>23</v>
      </c>
      <c r="D190" s="132" t="s">
        <v>122</v>
      </c>
      <c r="E190" s="55" t="s">
        <v>18</v>
      </c>
      <c r="F190" s="55" t="s">
        <v>19</v>
      </c>
      <c r="G190" s="55">
        <v>1</v>
      </c>
      <c r="H190" s="55"/>
      <c r="I190" s="55"/>
      <c r="J190" s="55"/>
      <c r="K190" s="57"/>
      <c r="L190" s="55"/>
    </row>
    <row r="191" spans="1:12" s="24" customFormat="1">
      <c r="A191" s="53">
        <v>45922</v>
      </c>
      <c r="B191" s="54">
        <f>Table13[[#This Row],[Date]]</f>
        <v>45922</v>
      </c>
      <c r="C191" s="55" t="s">
        <v>26</v>
      </c>
      <c r="D191" s="61" t="s">
        <v>123</v>
      </c>
      <c r="E191" s="55" t="s">
        <v>18</v>
      </c>
      <c r="F191" s="55" t="s">
        <v>19</v>
      </c>
      <c r="G191" s="55">
        <v>1</v>
      </c>
      <c r="H191" s="55"/>
      <c r="I191" s="55"/>
      <c r="J191" s="55"/>
      <c r="K191" s="57"/>
      <c r="L191" s="55"/>
    </row>
    <row r="192" spans="1:12" s="24" customFormat="1">
      <c r="A192" s="53">
        <v>45922</v>
      </c>
      <c r="B192" s="54">
        <f>Table13[[#This Row],[Date]]</f>
        <v>45922</v>
      </c>
      <c r="C192" s="55" t="s">
        <v>26</v>
      </c>
      <c r="D192" s="61" t="s">
        <v>123</v>
      </c>
      <c r="E192" s="55" t="s">
        <v>21</v>
      </c>
      <c r="F192" s="55" t="s">
        <v>19</v>
      </c>
      <c r="G192" s="55">
        <v>1</v>
      </c>
      <c r="H192" s="55"/>
      <c r="I192" s="55"/>
      <c r="J192" s="55"/>
      <c r="K192" s="57"/>
      <c r="L192" s="55"/>
    </row>
    <row r="193" spans="1:12" s="24" customFormat="1">
      <c r="A193" s="53">
        <v>45922</v>
      </c>
      <c r="B193" s="54">
        <f>Table13[[#This Row],[Date]]</f>
        <v>45922</v>
      </c>
      <c r="C193" s="55" t="s">
        <v>26</v>
      </c>
      <c r="D193" s="61" t="s">
        <v>123</v>
      </c>
      <c r="E193" s="55" t="s">
        <v>47</v>
      </c>
      <c r="F193" s="55" t="s">
        <v>19</v>
      </c>
      <c r="G193" s="55">
        <v>1</v>
      </c>
      <c r="H193" s="55"/>
      <c r="I193" s="55"/>
      <c r="J193" s="55"/>
      <c r="K193" s="57"/>
      <c r="L193" s="55"/>
    </row>
    <row r="194" spans="1:12" s="24" customFormat="1">
      <c r="A194" s="53">
        <v>45923</v>
      </c>
      <c r="B194" s="54">
        <f>Table13[[#This Row],[Date]]</f>
        <v>45923</v>
      </c>
      <c r="C194" s="55" t="s">
        <v>14</v>
      </c>
      <c r="D194" s="59" t="s">
        <v>104</v>
      </c>
      <c r="E194" s="55" t="s">
        <v>18</v>
      </c>
      <c r="F194" s="55" t="s">
        <v>19</v>
      </c>
      <c r="G194" s="55">
        <v>1</v>
      </c>
      <c r="H194" s="55"/>
      <c r="I194" s="55"/>
      <c r="J194" s="55"/>
      <c r="K194" s="57"/>
      <c r="L194" s="55"/>
    </row>
    <row r="195" spans="1:12" s="24" customFormat="1">
      <c r="A195" s="53">
        <v>45923</v>
      </c>
      <c r="B195" s="54">
        <f>Table13[[#This Row],[Date]]</f>
        <v>45923</v>
      </c>
      <c r="C195" s="55" t="s">
        <v>14</v>
      </c>
      <c r="D195" s="59" t="s">
        <v>104</v>
      </c>
      <c r="E195" s="55" t="s">
        <v>21</v>
      </c>
      <c r="F195" s="55" t="s">
        <v>19</v>
      </c>
      <c r="G195" s="55">
        <v>1</v>
      </c>
      <c r="H195" s="55"/>
      <c r="I195" s="55"/>
      <c r="J195" s="55"/>
      <c r="K195" s="57"/>
      <c r="L195" s="55"/>
    </row>
    <row r="196" spans="1:12" s="24" customFormat="1">
      <c r="A196" s="53">
        <v>45924</v>
      </c>
      <c r="B196" s="54">
        <f>Table13[[#This Row],[Date]]</f>
        <v>45924</v>
      </c>
      <c r="C196" s="55" t="s">
        <v>14</v>
      </c>
      <c r="D196" s="59" t="s">
        <v>124</v>
      </c>
      <c r="E196" s="55" t="s">
        <v>18</v>
      </c>
      <c r="F196" s="55" t="s">
        <v>19</v>
      </c>
      <c r="G196" s="55">
        <v>1</v>
      </c>
      <c r="H196" s="55"/>
      <c r="I196" s="55"/>
      <c r="J196" s="55"/>
      <c r="K196" s="57"/>
      <c r="L196" s="55"/>
    </row>
    <row r="197" spans="1:12" s="24" customFormat="1">
      <c r="A197" s="53">
        <v>45924</v>
      </c>
      <c r="B197" s="54">
        <f>Table13[[#This Row],[Date]]</f>
        <v>45924</v>
      </c>
      <c r="C197" s="55" t="s">
        <v>16</v>
      </c>
      <c r="D197" s="59" t="s">
        <v>119</v>
      </c>
      <c r="E197" s="55" t="s">
        <v>21</v>
      </c>
      <c r="F197" s="55" t="s">
        <v>19</v>
      </c>
      <c r="G197" s="55">
        <v>1</v>
      </c>
      <c r="H197" s="55"/>
      <c r="I197" s="55"/>
      <c r="J197" s="55"/>
      <c r="K197" s="57"/>
      <c r="L197" s="55"/>
    </row>
    <row r="198" spans="1:12" s="24" customFormat="1">
      <c r="A198" s="26">
        <v>45924</v>
      </c>
      <c r="B198" s="27">
        <f>Table13[[#This Row],[Date]]</f>
        <v>45924</v>
      </c>
      <c r="C198" s="28" t="s">
        <v>16</v>
      </c>
      <c r="D198" s="6" t="s">
        <v>15</v>
      </c>
      <c r="E198" s="28"/>
      <c r="F198" s="28"/>
      <c r="G198" s="28"/>
      <c r="H198" s="28"/>
      <c r="I198" s="28"/>
      <c r="J198" s="28"/>
      <c r="K198" s="29"/>
      <c r="L198" s="28"/>
    </row>
    <row r="199" spans="1:12" s="24" customFormat="1">
      <c r="A199" s="53">
        <v>45924</v>
      </c>
      <c r="B199" s="54">
        <f>Table13[[#This Row],[Date]]</f>
        <v>45924</v>
      </c>
      <c r="C199" s="55" t="s">
        <v>23</v>
      </c>
      <c r="D199" s="59" t="s">
        <v>125</v>
      </c>
      <c r="E199" s="55" t="s">
        <v>18</v>
      </c>
      <c r="F199" s="55" t="s">
        <v>19</v>
      </c>
      <c r="G199" s="55">
        <v>1</v>
      </c>
      <c r="H199" s="55"/>
      <c r="I199" s="55"/>
      <c r="J199" s="55"/>
      <c r="K199" s="57"/>
      <c r="L199" s="55"/>
    </row>
    <row r="200" spans="1:12" s="24" customFormat="1">
      <c r="A200" s="15">
        <v>45924</v>
      </c>
      <c r="B200" s="17">
        <f>Table13[[#This Row],[Date]]</f>
        <v>45924</v>
      </c>
      <c r="C200" s="1" t="s">
        <v>23</v>
      </c>
      <c r="D200" s="2" t="s">
        <v>126</v>
      </c>
      <c r="E200" s="55" t="s">
        <v>18</v>
      </c>
      <c r="F200" s="1" t="s">
        <v>99</v>
      </c>
      <c r="G200" s="28">
        <v>1</v>
      </c>
      <c r="H200" s="1"/>
      <c r="I200" s="1"/>
      <c r="J200" s="1"/>
      <c r="K200" s="3"/>
      <c r="L200" s="1"/>
    </row>
    <row r="201" spans="1:12" s="24" customFormat="1">
      <c r="A201" s="53">
        <v>45924</v>
      </c>
      <c r="B201" s="54">
        <f>Table13[[#This Row],[Date]]</f>
        <v>45924</v>
      </c>
      <c r="C201" s="55" t="s">
        <v>23</v>
      </c>
      <c r="D201" s="61" t="s">
        <v>127</v>
      </c>
      <c r="E201" s="55" t="s">
        <v>18</v>
      </c>
      <c r="F201" s="55" t="s">
        <v>19</v>
      </c>
      <c r="G201" s="55">
        <v>1</v>
      </c>
      <c r="H201" s="55"/>
      <c r="I201" s="55"/>
      <c r="J201" s="55"/>
      <c r="K201" s="57"/>
      <c r="L201" s="55"/>
    </row>
    <row r="202" spans="1:12" s="24" customFormat="1">
      <c r="A202" s="53">
        <v>45924</v>
      </c>
      <c r="B202" s="54">
        <f>Table13[[#This Row],[Date]]</f>
        <v>45924</v>
      </c>
      <c r="C202" s="55" t="s">
        <v>26</v>
      </c>
      <c r="D202" s="59" t="s">
        <v>128</v>
      </c>
      <c r="E202" s="55" t="s">
        <v>21</v>
      </c>
      <c r="F202" s="55" t="s">
        <v>19</v>
      </c>
      <c r="G202" s="55">
        <v>1</v>
      </c>
      <c r="H202" s="55"/>
      <c r="I202" s="55"/>
      <c r="J202" s="55"/>
      <c r="K202" s="57"/>
      <c r="L202" s="55"/>
    </row>
    <row r="203" spans="1:12" s="24" customFormat="1">
      <c r="A203" s="53">
        <v>45924</v>
      </c>
      <c r="B203" s="54">
        <f>Table13[[#This Row],[Date]]</f>
        <v>45924</v>
      </c>
      <c r="C203" s="55" t="s">
        <v>26</v>
      </c>
      <c r="D203" s="59" t="s">
        <v>129</v>
      </c>
      <c r="E203" s="55" t="s">
        <v>18</v>
      </c>
      <c r="F203" s="55" t="s">
        <v>19</v>
      </c>
      <c r="G203" s="55">
        <v>1</v>
      </c>
      <c r="H203" s="55"/>
      <c r="I203" s="55"/>
      <c r="J203" s="55"/>
      <c r="K203" s="57"/>
      <c r="L203" s="55"/>
    </row>
    <row r="204" spans="1:12" s="24" customFormat="1">
      <c r="A204" s="53">
        <v>45925</v>
      </c>
      <c r="B204" s="54">
        <f>Table13[[#This Row],[Date]]</f>
        <v>45925</v>
      </c>
      <c r="C204" s="55" t="s">
        <v>14</v>
      </c>
      <c r="D204" s="59" t="s">
        <v>130</v>
      </c>
      <c r="E204" s="55" t="s">
        <v>18</v>
      </c>
      <c r="F204" s="55" t="s">
        <v>19</v>
      </c>
      <c r="G204" s="55">
        <v>1</v>
      </c>
      <c r="H204" s="55"/>
      <c r="I204" s="55"/>
      <c r="J204" s="55"/>
      <c r="K204" s="57"/>
      <c r="L204" s="55"/>
    </row>
    <row r="205" spans="1:12" s="24" customFormat="1">
      <c r="A205" s="53">
        <v>45925</v>
      </c>
      <c r="B205" s="54">
        <f>Table13[[#This Row],[Date]]</f>
        <v>45925</v>
      </c>
      <c r="C205" s="55" t="s">
        <v>14</v>
      </c>
      <c r="D205" s="59" t="s">
        <v>131</v>
      </c>
      <c r="E205" s="64" t="s">
        <v>18</v>
      </c>
      <c r="F205" s="55" t="s">
        <v>19</v>
      </c>
      <c r="G205" s="55">
        <v>1</v>
      </c>
      <c r="H205" s="55"/>
      <c r="I205" s="55"/>
      <c r="J205" s="55"/>
      <c r="K205" s="57"/>
      <c r="L205" s="55"/>
    </row>
    <row r="206" spans="1:12" s="24" customFormat="1">
      <c r="A206" s="53">
        <v>45925</v>
      </c>
      <c r="B206" s="54">
        <f>Table13[[#This Row],[Date]]</f>
        <v>45925</v>
      </c>
      <c r="C206" s="55" t="s">
        <v>14</v>
      </c>
      <c r="D206" s="59" t="s">
        <v>132</v>
      </c>
      <c r="E206" s="55" t="s">
        <v>18</v>
      </c>
      <c r="F206" s="55" t="s">
        <v>19</v>
      </c>
      <c r="G206" s="55">
        <v>1</v>
      </c>
      <c r="H206" s="55"/>
      <c r="I206" s="55"/>
      <c r="J206" s="55"/>
      <c r="K206" s="57"/>
      <c r="L206" s="55"/>
    </row>
    <row r="207" spans="1:12" s="24" customFormat="1">
      <c r="A207" s="53">
        <v>45925</v>
      </c>
      <c r="B207" s="54">
        <f>Table13[[#This Row],[Date]]</f>
        <v>45925</v>
      </c>
      <c r="C207" s="55" t="s">
        <v>16</v>
      </c>
      <c r="D207" s="59" t="s">
        <v>133</v>
      </c>
      <c r="E207" s="55" t="s">
        <v>21</v>
      </c>
      <c r="F207" s="55" t="s">
        <v>19</v>
      </c>
      <c r="G207" s="55">
        <v>1</v>
      </c>
      <c r="H207" s="55"/>
      <c r="I207" s="55"/>
      <c r="J207" s="55"/>
      <c r="K207" s="57"/>
      <c r="L207" s="55"/>
    </row>
    <row r="208" spans="1:12" s="24" customFormat="1">
      <c r="A208" s="53">
        <v>45925</v>
      </c>
      <c r="B208" s="54">
        <f>Table13[[#This Row],[Date]]</f>
        <v>45925</v>
      </c>
      <c r="C208" s="55" t="s">
        <v>16</v>
      </c>
      <c r="D208" s="59" t="s">
        <v>134</v>
      </c>
      <c r="E208" s="55" t="s">
        <v>18</v>
      </c>
      <c r="F208" s="55" t="s">
        <v>19</v>
      </c>
      <c r="G208" s="55">
        <v>1</v>
      </c>
      <c r="H208" s="55"/>
      <c r="I208" s="55"/>
      <c r="J208" s="55"/>
      <c r="K208" s="57"/>
      <c r="L208" s="55"/>
    </row>
    <row r="209" spans="1:12" s="24" customFormat="1">
      <c r="A209" s="53">
        <v>45925</v>
      </c>
      <c r="B209" s="54">
        <f>Table13[[#This Row],[Date]]</f>
        <v>45925</v>
      </c>
      <c r="C209" s="55" t="s">
        <v>16</v>
      </c>
      <c r="D209" s="59" t="s">
        <v>135</v>
      </c>
      <c r="E209" s="77" t="s">
        <v>47</v>
      </c>
      <c r="F209" s="55" t="s">
        <v>19</v>
      </c>
      <c r="G209" s="55">
        <v>1</v>
      </c>
      <c r="H209" s="55"/>
      <c r="I209" s="55"/>
      <c r="J209" s="55"/>
      <c r="K209" s="57"/>
      <c r="L209" s="55"/>
    </row>
    <row r="210" spans="1:12" s="24" customFormat="1">
      <c r="A210" s="53">
        <v>45925</v>
      </c>
      <c r="B210" s="54">
        <f>Table13[[#This Row],[Date]]</f>
        <v>45925</v>
      </c>
      <c r="C210" s="55" t="s">
        <v>16</v>
      </c>
      <c r="D210" s="59" t="s">
        <v>135</v>
      </c>
      <c r="E210" s="77" t="s">
        <v>53</v>
      </c>
      <c r="F210" s="55" t="s">
        <v>19</v>
      </c>
      <c r="G210" s="55">
        <v>1</v>
      </c>
      <c r="H210" s="55"/>
      <c r="I210" s="55"/>
      <c r="J210" s="55"/>
      <c r="K210" s="57"/>
      <c r="L210" s="55"/>
    </row>
    <row r="211" spans="1:12" s="24" customFormat="1">
      <c r="A211" s="26">
        <v>45925</v>
      </c>
      <c r="B211" s="27">
        <f>Table13[[#This Row],[Date]]</f>
        <v>45925</v>
      </c>
      <c r="C211" s="28" t="s">
        <v>23</v>
      </c>
      <c r="D211" s="6" t="s">
        <v>15</v>
      </c>
      <c r="E211" s="28"/>
      <c r="F211" s="28"/>
      <c r="G211" s="28"/>
      <c r="H211" s="28"/>
      <c r="I211" s="28"/>
      <c r="J211" s="28"/>
      <c r="K211" s="29"/>
      <c r="L211" s="28"/>
    </row>
    <row r="212" spans="1:12" s="24" customFormat="1">
      <c r="A212" s="26">
        <v>45925</v>
      </c>
      <c r="B212" s="27">
        <f>Table13[[#This Row],[Date]]</f>
        <v>45925</v>
      </c>
      <c r="C212" s="28" t="s">
        <v>26</v>
      </c>
      <c r="D212" s="6" t="s">
        <v>15</v>
      </c>
      <c r="E212" s="28"/>
      <c r="F212" s="28"/>
      <c r="G212" s="28"/>
      <c r="H212" s="28"/>
      <c r="I212" s="28"/>
      <c r="J212" s="28"/>
      <c r="K212" s="29"/>
      <c r="L212" s="28"/>
    </row>
    <row r="213" spans="1:12" s="24" customFormat="1">
      <c r="A213" s="26">
        <v>45926</v>
      </c>
      <c r="B213" s="27">
        <f>Table13[[#This Row],[Date]]</f>
        <v>45926</v>
      </c>
      <c r="C213" s="28" t="s">
        <v>14</v>
      </c>
      <c r="D213" s="6" t="s">
        <v>15</v>
      </c>
      <c r="E213" s="28"/>
      <c r="F213" s="28"/>
      <c r="G213" s="28"/>
      <c r="H213" s="28"/>
      <c r="I213" s="28"/>
      <c r="J213" s="28"/>
      <c r="K213" s="29"/>
      <c r="L213" s="28"/>
    </row>
    <row r="214" spans="1:12" s="24" customFormat="1">
      <c r="A214" s="53">
        <v>45926</v>
      </c>
      <c r="B214" s="54">
        <f>Table13[[#This Row],[Date]]</f>
        <v>45926</v>
      </c>
      <c r="C214" s="55" t="s">
        <v>16</v>
      </c>
      <c r="D214" s="59" t="s">
        <v>136</v>
      </c>
      <c r="E214" s="55" t="s">
        <v>28</v>
      </c>
      <c r="F214" s="55" t="s">
        <v>19</v>
      </c>
      <c r="G214" s="55">
        <v>1</v>
      </c>
      <c r="H214" s="55"/>
      <c r="I214" s="55"/>
      <c r="J214" s="55"/>
      <c r="K214" s="57"/>
      <c r="L214" s="55"/>
    </row>
    <row r="215" spans="1:12" s="24" customFormat="1">
      <c r="A215" s="53">
        <v>45926</v>
      </c>
      <c r="B215" s="54">
        <f>Table13[[#This Row],[Date]]</f>
        <v>45926</v>
      </c>
      <c r="C215" s="55" t="s">
        <v>16</v>
      </c>
      <c r="D215" s="59" t="s">
        <v>137</v>
      </c>
      <c r="E215" s="55" t="s">
        <v>28</v>
      </c>
      <c r="F215" s="55" t="s">
        <v>19</v>
      </c>
      <c r="G215" s="55">
        <v>1</v>
      </c>
      <c r="H215" s="55"/>
      <c r="I215" s="55"/>
      <c r="J215" s="55"/>
      <c r="K215" s="57"/>
      <c r="L215" s="55"/>
    </row>
    <row r="216" spans="1:12" s="24" customFormat="1">
      <c r="A216" s="53">
        <v>45926</v>
      </c>
      <c r="B216" s="54">
        <f>Table13[[#This Row],[Date]]</f>
        <v>45926</v>
      </c>
      <c r="C216" s="55" t="s">
        <v>16</v>
      </c>
      <c r="D216" s="59" t="s">
        <v>138</v>
      </c>
      <c r="E216" s="55" t="s">
        <v>28</v>
      </c>
      <c r="F216" s="55" t="s">
        <v>19</v>
      </c>
      <c r="G216" s="55">
        <v>1</v>
      </c>
      <c r="H216" s="55"/>
      <c r="I216" s="55"/>
      <c r="J216" s="55"/>
      <c r="K216" s="57"/>
      <c r="L216" s="55"/>
    </row>
    <row r="217" spans="1:12" s="24" customFormat="1">
      <c r="A217" s="53">
        <v>45926</v>
      </c>
      <c r="B217" s="54">
        <f>Table13[[#This Row],[Date]]</f>
        <v>45926</v>
      </c>
      <c r="C217" s="55" t="s">
        <v>23</v>
      </c>
      <c r="D217" s="59" t="s">
        <v>139</v>
      </c>
      <c r="E217" s="55" t="s">
        <v>18</v>
      </c>
      <c r="F217" s="55" t="s">
        <v>19</v>
      </c>
      <c r="G217" s="55">
        <v>1</v>
      </c>
      <c r="H217" s="55"/>
      <c r="I217" s="55"/>
      <c r="J217" s="55"/>
      <c r="K217" s="57"/>
      <c r="L217" s="55"/>
    </row>
    <row r="218" spans="1:12" s="24" customFormat="1">
      <c r="A218" s="53">
        <v>45926</v>
      </c>
      <c r="B218" s="54">
        <f>Table13[[#This Row],[Date]]</f>
        <v>45926</v>
      </c>
      <c r="C218" s="55" t="s">
        <v>23</v>
      </c>
      <c r="D218" s="59" t="s">
        <v>140</v>
      </c>
      <c r="E218" s="55" t="s">
        <v>18</v>
      </c>
      <c r="F218" s="55" t="s">
        <v>19</v>
      </c>
      <c r="G218" s="55">
        <v>1</v>
      </c>
      <c r="H218" s="55"/>
      <c r="I218" s="55"/>
      <c r="J218" s="55"/>
      <c r="K218" s="57"/>
      <c r="L218" s="55"/>
    </row>
    <row r="219" spans="1:12" s="24" customFormat="1">
      <c r="A219" s="53">
        <v>45926</v>
      </c>
      <c r="B219" s="54">
        <f>Table13[[#This Row],[Date]]</f>
        <v>45926</v>
      </c>
      <c r="C219" s="55" t="s">
        <v>23</v>
      </c>
      <c r="D219" s="59" t="s">
        <v>141</v>
      </c>
      <c r="E219" s="55" t="s">
        <v>18</v>
      </c>
      <c r="F219" s="55" t="s">
        <v>19</v>
      </c>
      <c r="G219" s="55">
        <v>1</v>
      </c>
      <c r="H219" s="55"/>
      <c r="I219" s="55"/>
      <c r="J219" s="55"/>
      <c r="K219" s="57"/>
      <c r="L219" s="55"/>
    </row>
    <row r="220" spans="1:12" s="24" customFormat="1">
      <c r="A220" s="53">
        <v>45926</v>
      </c>
      <c r="B220" s="54">
        <f>Table13[[#This Row],[Date]]</f>
        <v>45926</v>
      </c>
      <c r="C220" s="55" t="s">
        <v>23</v>
      </c>
      <c r="D220" s="59" t="s">
        <v>142</v>
      </c>
      <c r="E220" s="55" t="s">
        <v>18</v>
      </c>
      <c r="F220" s="55" t="s">
        <v>19</v>
      </c>
      <c r="G220" s="55">
        <v>1</v>
      </c>
      <c r="H220" s="55"/>
      <c r="I220" s="55"/>
      <c r="J220" s="55"/>
      <c r="K220" s="57"/>
      <c r="L220" s="55"/>
    </row>
    <row r="221" spans="1:12" s="24" customFormat="1">
      <c r="A221" s="26">
        <v>45926</v>
      </c>
      <c r="B221" s="27">
        <f>Table13[[#This Row],[Date]]</f>
        <v>45926</v>
      </c>
      <c r="C221" s="28" t="s">
        <v>26</v>
      </c>
      <c r="D221" s="6" t="s">
        <v>15</v>
      </c>
      <c r="E221" s="28"/>
      <c r="F221" s="28"/>
      <c r="G221" s="28"/>
      <c r="H221" s="28"/>
      <c r="I221" s="28"/>
      <c r="J221" s="28"/>
      <c r="K221" s="29"/>
      <c r="L221" s="28"/>
    </row>
    <row r="222" spans="1:12" s="24" customFormat="1">
      <c r="A222" s="16">
        <v>45927</v>
      </c>
      <c r="B222" s="18">
        <f>Table13[[#This Row],[Date]]</f>
        <v>45927</v>
      </c>
      <c r="C222" s="10" t="s">
        <v>16</v>
      </c>
      <c r="D222" s="9" t="s">
        <v>143</v>
      </c>
      <c r="E222" s="10" t="s">
        <v>41</v>
      </c>
      <c r="F222" s="10" t="s">
        <v>19</v>
      </c>
      <c r="G222" s="10">
        <v>1</v>
      </c>
      <c r="H222" s="10"/>
      <c r="I222" s="10"/>
      <c r="J222" s="10"/>
      <c r="K222" s="13"/>
      <c r="L222" s="10"/>
    </row>
    <row r="223" spans="1:12" s="24" customFormat="1">
      <c r="A223" s="16">
        <v>45927</v>
      </c>
      <c r="B223" s="18">
        <f>Table13[[#This Row],[Date]]</f>
        <v>45927</v>
      </c>
      <c r="C223" s="10" t="s">
        <v>16</v>
      </c>
      <c r="D223" s="9" t="s">
        <v>143</v>
      </c>
      <c r="E223" s="10" t="s">
        <v>42</v>
      </c>
      <c r="F223" s="10" t="s">
        <v>19</v>
      </c>
      <c r="G223" s="10">
        <v>1</v>
      </c>
      <c r="H223" s="10"/>
      <c r="I223" s="10"/>
      <c r="J223" s="10"/>
      <c r="K223" s="13"/>
      <c r="L223" s="10"/>
    </row>
    <row r="224" spans="1:12" s="24" customFormat="1">
      <c r="A224" s="16">
        <v>45928</v>
      </c>
      <c r="B224" s="18">
        <f>Table13[[#This Row],[Date]]</f>
        <v>45928</v>
      </c>
      <c r="C224" s="10" t="s">
        <v>14</v>
      </c>
      <c r="D224" s="9" t="s">
        <v>144</v>
      </c>
      <c r="E224" s="10" t="s">
        <v>18</v>
      </c>
      <c r="F224" s="10" t="s">
        <v>19</v>
      </c>
      <c r="G224" s="10">
        <v>1</v>
      </c>
      <c r="H224" s="10"/>
      <c r="I224" s="10"/>
      <c r="J224" s="10"/>
      <c r="K224" s="13"/>
      <c r="L224" s="10"/>
    </row>
    <row r="225" spans="1:12" s="24" customFormat="1">
      <c r="A225" s="16">
        <v>45928</v>
      </c>
      <c r="B225" s="18">
        <f>Table13[[#This Row],[Date]]</f>
        <v>45928</v>
      </c>
      <c r="C225" s="10" t="s">
        <v>14</v>
      </c>
      <c r="D225" s="9" t="s">
        <v>144</v>
      </c>
      <c r="E225" s="14" t="s">
        <v>21</v>
      </c>
      <c r="F225" s="10" t="s">
        <v>19</v>
      </c>
      <c r="G225" s="10">
        <v>1</v>
      </c>
      <c r="H225" s="10"/>
      <c r="I225" s="10"/>
      <c r="J225" s="10"/>
      <c r="K225" s="13"/>
      <c r="L225" s="10"/>
    </row>
    <row r="226" spans="1:12" s="24" customFormat="1">
      <c r="A226" s="53">
        <v>45929</v>
      </c>
      <c r="B226" s="54">
        <f>Table13[[#This Row],[Date]]</f>
        <v>45929</v>
      </c>
      <c r="C226" s="55" t="s">
        <v>14</v>
      </c>
      <c r="D226" s="59" t="s">
        <v>145</v>
      </c>
      <c r="E226" s="63" t="s">
        <v>18</v>
      </c>
      <c r="F226" s="55" t="s">
        <v>19</v>
      </c>
      <c r="G226" s="55">
        <v>1</v>
      </c>
      <c r="H226" s="55"/>
      <c r="I226" s="55"/>
      <c r="J226" s="55"/>
      <c r="K226" s="57"/>
      <c r="L226" s="55"/>
    </row>
    <row r="227" spans="1:12" s="24" customFormat="1">
      <c r="A227" s="26">
        <v>45929</v>
      </c>
      <c r="B227" s="27">
        <f>Table13[[#This Row],[Date]]</f>
        <v>45929</v>
      </c>
      <c r="C227" s="28" t="s">
        <v>16</v>
      </c>
      <c r="D227" s="6" t="s">
        <v>15</v>
      </c>
      <c r="E227" s="28"/>
      <c r="F227" s="28"/>
      <c r="G227" s="28"/>
      <c r="H227" s="28"/>
      <c r="I227" s="28"/>
      <c r="J227" s="28"/>
      <c r="K227" s="29"/>
      <c r="L227" s="28"/>
    </row>
    <row r="228" spans="1:12" s="24" customFormat="1">
      <c r="A228" s="53">
        <v>45929</v>
      </c>
      <c r="B228" s="54">
        <f>Table13[[#This Row],[Date]]</f>
        <v>45929</v>
      </c>
      <c r="C228" s="55" t="s">
        <v>23</v>
      </c>
      <c r="D228" s="59" t="s">
        <v>146</v>
      </c>
      <c r="E228" s="55" t="s">
        <v>18</v>
      </c>
      <c r="F228" s="55" t="s">
        <v>19</v>
      </c>
      <c r="G228" s="55">
        <v>1</v>
      </c>
      <c r="H228" s="55"/>
      <c r="I228" s="55"/>
      <c r="J228" s="55"/>
      <c r="K228" s="57"/>
      <c r="L228" s="55"/>
    </row>
    <row r="229" spans="1:12" s="24" customFormat="1">
      <c r="A229" s="53">
        <v>45929</v>
      </c>
      <c r="B229" s="54">
        <f>Table13[[#This Row],[Date]]</f>
        <v>45929</v>
      </c>
      <c r="C229" s="55" t="s">
        <v>23</v>
      </c>
      <c r="D229" s="59" t="s">
        <v>146</v>
      </c>
      <c r="E229" s="55" t="s">
        <v>21</v>
      </c>
      <c r="F229" s="55" t="s">
        <v>19</v>
      </c>
      <c r="G229" s="55">
        <v>1</v>
      </c>
      <c r="H229" s="55"/>
      <c r="I229" s="55"/>
      <c r="J229" s="55"/>
      <c r="K229" s="57"/>
      <c r="L229" s="55"/>
    </row>
    <row r="230" spans="1:12" s="24" customFormat="1">
      <c r="A230" s="53">
        <v>45929</v>
      </c>
      <c r="B230" s="54">
        <f>Table13[[#This Row],[Date]]</f>
        <v>45929</v>
      </c>
      <c r="C230" s="55" t="s">
        <v>23</v>
      </c>
      <c r="D230" s="59" t="s">
        <v>146</v>
      </c>
      <c r="E230" s="63" t="s">
        <v>147</v>
      </c>
      <c r="F230" s="55" t="s">
        <v>19</v>
      </c>
      <c r="G230" s="55">
        <v>1</v>
      </c>
      <c r="H230" s="55"/>
      <c r="I230" s="55"/>
      <c r="J230" s="55"/>
      <c r="K230" s="57"/>
      <c r="L230" s="55"/>
    </row>
    <row r="231" spans="1:12" s="24" customFormat="1">
      <c r="A231" s="53">
        <v>45929</v>
      </c>
      <c r="B231" s="54">
        <f>Table13[[#This Row],[Date]]</f>
        <v>45929</v>
      </c>
      <c r="C231" s="55" t="s">
        <v>23</v>
      </c>
      <c r="D231" s="59" t="s">
        <v>146</v>
      </c>
      <c r="E231" s="63" t="s">
        <v>148</v>
      </c>
      <c r="F231" s="55" t="s">
        <v>19</v>
      </c>
      <c r="G231" s="55">
        <v>1</v>
      </c>
      <c r="H231" s="55"/>
      <c r="I231" s="55"/>
      <c r="J231" s="55"/>
      <c r="K231" s="57"/>
      <c r="L231" s="55"/>
    </row>
    <row r="232" spans="1:12" s="24" customFormat="1">
      <c r="A232" s="26">
        <v>45929</v>
      </c>
      <c r="B232" s="27">
        <f>Table13[[#This Row],[Date]]</f>
        <v>45929</v>
      </c>
      <c r="C232" s="28" t="s">
        <v>26</v>
      </c>
      <c r="D232" s="6" t="s">
        <v>15</v>
      </c>
      <c r="E232" s="28"/>
      <c r="F232" s="28"/>
      <c r="G232" s="28"/>
      <c r="H232" s="28"/>
      <c r="I232" s="28"/>
      <c r="J232" s="28"/>
      <c r="K232" s="29"/>
      <c r="L232" s="28"/>
    </row>
    <row r="233" spans="1:12" s="24" customFormat="1">
      <c r="A233" s="48">
        <v>45930</v>
      </c>
      <c r="B233" s="49">
        <f>Table13[[#This Row],[Date]]</f>
        <v>45930</v>
      </c>
      <c r="C233" s="50" t="s">
        <v>149</v>
      </c>
      <c r="D233" s="51" t="s">
        <v>150</v>
      </c>
      <c r="E233" s="50"/>
      <c r="F233" s="50"/>
      <c r="G233" s="50"/>
      <c r="H233" s="50"/>
      <c r="I233" s="50"/>
      <c r="J233" s="50"/>
      <c r="K233" s="52"/>
      <c r="L233" s="50"/>
    </row>
    <row r="234" spans="1:12" s="24" customFormat="1">
      <c r="A234" s="53">
        <v>45931</v>
      </c>
      <c r="B234" s="54">
        <f>Table13[[#This Row],[Date]]</f>
        <v>45931</v>
      </c>
      <c r="C234" s="55" t="s">
        <v>14</v>
      </c>
      <c r="D234" s="59" t="s">
        <v>79</v>
      </c>
      <c r="E234" s="65" t="s">
        <v>18</v>
      </c>
      <c r="F234" s="55" t="s">
        <v>19</v>
      </c>
      <c r="G234" s="55">
        <v>1</v>
      </c>
      <c r="H234" s="55"/>
      <c r="I234" s="55"/>
      <c r="J234" s="55"/>
      <c r="K234" s="57"/>
      <c r="L234" s="55"/>
    </row>
    <row r="235" spans="1:12" s="24" customFormat="1">
      <c r="A235" s="53">
        <v>45931</v>
      </c>
      <c r="B235" s="54">
        <f>Table13[[#This Row],[Date]]</f>
        <v>45931</v>
      </c>
      <c r="C235" s="55" t="s">
        <v>14</v>
      </c>
      <c r="D235" s="59" t="s">
        <v>79</v>
      </c>
      <c r="E235" s="55" t="s">
        <v>21</v>
      </c>
      <c r="F235" s="55" t="s">
        <v>19</v>
      </c>
      <c r="G235" s="55">
        <v>1</v>
      </c>
      <c r="H235" s="55"/>
      <c r="I235" s="55"/>
      <c r="J235" s="55"/>
      <c r="K235" s="57"/>
      <c r="L235" s="55"/>
    </row>
    <row r="236" spans="1:12" s="24" customFormat="1">
      <c r="A236" s="53">
        <v>45931</v>
      </c>
      <c r="B236" s="54">
        <f>Table13[[#This Row],[Date]]</f>
        <v>45931</v>
      </c>
      <c r="C236" s="55" t="s">
        <v>14</v>
      </c>
      <c r="D236" s="59" t="s">
        <v>80</v>
      </c>
      <c r="E236" s="65" t="s">
        <v>18</v>
      </c>
      <c r="F236" s="55" t="s">
        <v>19</v>
      </c>
      <c r="G236" s="55">
        <v>1</v>
      </c>
      <c r="H236" s="55"/>
      <c r="I236" s="55"/>
      <c r="J236" s="55"/>
      <c r="K236" s="57"/>
      <c r="L236" s="55"/>
    </row>
    <row r="237" spans="1:12" s="24" customFormat="1">
      <c r="A237" s="53">
        <v>45931</v>
      </c>
      <c r="B237" s="54">
        <f>Table13[[#This Row],[Date]]</f>
        <v>45931</v>
      </c>
      <c r="C237" s="55" t="s">
        <v>14</v>
      </c>
      <c r="D237" s="59" t="s">
        <v>80</v>
      </c>
      <c r="E237" s="55" t="s">
        <v>21</v>
      </c>
      <c r="F237" s="55" t="s">
        <v>19</v>
      </c>
      <c r="G237" s="55">
        <v>1</v>
      </c>
      <c r="H237" s="55"/>
      <c r="I237" s="55"/>
      <c r="J237" s="55"/>
      <c r="K237" s="57"/>
      <c r="L237" s="55"/>
    </row>
    <row r="238" spans="1:12" s="24" customFormat="1">
      <c r="A238" s="53">
        <v>45931</v>
      </c>
      <c r="B238" s="54">
        <f>Table13[[#This Row],[Date]]</f>
        <v>45931</v>
      </c>
      <c r="C238" s="55" t="s">
        <v>14</v>
      </c>
      <c r="D238" s="91" t="s">
        <v>33</v>
      </c>
      <c r="E238" s="76" t="s">
        <v>18</v>
      </c>
      <c r="F238" s="55" t="s">
        <v>19</v>
      </c>
      <c r="G238" s="55">
        <v>1</v>
      </c>
      <c r="H238" s="55"/>
      <c r="I238" s="55"/>
      <c r="J238" s="55"/>
      <c r="K238" s="57"/>
      <c r="L238" s="55"/>
    </row>
    <row r="239" spans="1:12" s="24" customFormat="1">
      <c r="A239" s="53">
        <v>45931</v>
      </c>
      <c r="B239" s="54">
        <f>Table13[[#This Row],[Date]]</f>
        <v>45931</v>
      </c>
      <c r="C239" s="55" t="s">
        <v>14</v>
      </c>
      <c r="D239" s="91" t="s">
        <v>33</v>
      </c>
      <c r="E239" s="55" t="s">
        <v>21</v>
      </c>
      <c r="F239" s="55" t="s">
        <v>19</v>
      </c>
      <c r="G239" s="55">
        <v>1</v>
      </c>
      <c r="H239" s="55"/>
      <c r="I239" s="55"/>
      <c r="J239" s="55"/>
      <c r="K239" s="57"/>
      <c r="L239" s="55"/>
    </row>
    <row r="240" spans="1:12" s="24" customFormat="1">
      <c r="A240" s="53">
        <v>45931</v>
      </c>
      <c r="B240" s="54">
        <f>Table13[[#This Row],[Date]]</f>
        <v>45931</v>
      </c>
      <c r="C240" s="55" t="s">
        <v>14</v>
      </c>
      <c r="D240" s="91" t="s">
        <v>33</v>
      </c>
      <c r="E240" s="76" t="s">
        <v>34</v>
      </c>
      <c r="F240" s="55" t="s">
        <v>19</v>
      </c>
      <c r="G240" s="55">
        <v>1</v>
      </c>
      <c r="H240" s="55"/>
      <c r="I240" s="55"/>
      <c r="J240" s="55"/>
      <c r="K240" s="57"/>
      <c r="L240" s="55"/>
    </row>
    <row r="241" spans="1:12" s="24" customFormat="1">
      <c r="A241" s="53">
        <v>45931</v>
      </c>
      <c r="B241" s="54">
        <f>Table13[[#This Row],[Date]]</f>
        <v>45931</v>
      </c>
      <c r="C241" s="55" t="s">
        <v>14</v>
      </c>
      <c r="D241" s="91" t="s">
        <v>33</v>
      </c>
      <c r="E241" s="77" t="s">
        <v>35</v>
      </c>
      <c r="F241" s="55" t="s">
        <v>19</v>
      </c>
      <c r="G241" s="55">
        <v>1</v>
      </c>
      <c r="H241" s="55"/>
      <c r="I241" s="55"/>
      <c r="J241" s="55"/>
      <c r="K241" s="57"/>
      <c r="L241" s="55"/>
    </row>
    <row r="242" spans="1:12" s="24" customFormat="1">
      <c r="A242" s="53">
        <v>45931</v>
      </c>
      <c r="B242" s="54">
        <f>Table13[[#This Row],[Date]]</f>
        <v>45931</v>
      </c>
      <c r="C242" s="55" t="s">
        <v>16</v>
      </c>
      <c r="D242" s="61" t="s">
        <v>17</v>
      </c>
      <c r="E242" s="63" t="s">
        <v>18</v>
      </c>
      <c r="F242" s="55" t="s">
        <v>19</v>
      </c>
      <c r="G242" s="55">
        <v>1</v>
      </c>
      <c r="H242" s="55"/>
      <c r="I242" s="55"/>
      <c r="J242" s="55"/>
      <c r="K242" s="57"/>
      <c r="L242" s="55"/>
    </row>
    <row r="243" spans="1:12" s="24" customFormat="1">
      <c r="A243" s="53">
        <v>45931</v>
      </c>
      <c r="B243" s="54">
        <f>Table13[[#This Row],[Date]]</f>
        <v>45931</v>
      </c>
      <c r="C243" s="55" t="s">
        <v>16</v>
      </c>
      <c r="D243" s="59" t="s">
        <v>20</v>
      </c>
      <c r="E243" s="55" t="s">
        <v>18</v>
      </c>
      <c r="F243" s="55" t="s">
        <v>19</v>
      </c>
      <c r="G243" s="55">
        <v>1</v>
      </c>
      <c r="H243" s="55"/>
      <c r="I243" s="55"/>
      <c r="J243" s="55"/>
      <c r="K243" s="57"/>
      <c r="L243" s="55"/>
    </row>
    <row r="244" spans="1:12" s="24" customFormat="1">
      <c r="A244" s="53">
        <v>45931</v>
      </c>
      <c r="B244" s="54">
        <f>Table13[[#This Row],[Date]]</f>
        <v>45931</v>
      </c>
      <c r="C244" s="55" t="s">
        <v>16</v>
      </c>
      <c r="D244" s="91" t="s">
        <v>22</v>
      </c>
      <c r="E244" s="65" t="s">
        <v>18</v>
      </c>
      <c r="F244" s="55" t="s">
        <v>19</v>
      </c>
      <c r="G244" s="55">
        <v>1</v>
      </c>
      <c r="H244" s="55"/>
      <c r="I244" s="55"/>
      <c r="J244" s="55"/>
      <c r="K244" s="57"/>
      <c r="L244" s="55"/>
    </row>
    <row r="245" spans="1:12" s="24" customFormat="1">
      <c r="A245" s="53">
        <v>45931</v>
      </c>
      <c r="B245" s="54">
        <f>Table13[[#This Row],[Date]]</f>
        <v>45931</v>
      </c>
      <c r="C245" s="55" t="s">
        <v>23</v>
      </c>
      <c r="D245" s="59" t="s">
        <v>36</v>
      </c>
      <c r="E245" s="55" t="s">
        <v>18</v>
      </c>
      <c r="F245" s="55" t="s">
        <v>19</v>
      </c>
      <c r="G245" s="55">
        <v>1</v>
      </c>
      <c r="H245" s="55"/>
      <c r="I245" s="55"/>
      <c r="J245" s="55"/>
      <c r="K245" s="57"/>
      <c r="L245" s="55"/>
    </row>
    <row r="246" spans="1:12" s="24" customFormat="1">
      <c r="A246" s="53">
        <v>45931</v>
      </c>
      <c r="B246" s="54">
        <f>Table13[[#This Row],[Date]]</f>
        <v>45931</v>
      </c>
      <c r="C246" s="55" t="s">
        <v>23</v>
      </c>
      <c r="D246" s="91" t="s">
        <v>25</v>
      </c>
      <c r="E246" s="65" t="s">
        <v>18</v>
      </c>
      <c r="F246" s="55" t="s">
        <v>19</v>
      </c>
      <c r="G246" s="55">
        <v>1</v>
      </c>
      <c r="H246" s="55"/>
      <c r="I246" s="55"/>
      <c r="J246" s="55"/>
      <c r="K246" s="57"/>
      <c r="L246" s="55"/>
    </row>
    <row r="247" spans="1:12" s="24" customFormat="1">
      <c r="A247" s="53">
        <v>45931</v>
      </c>
      <c r="B247" s="54">
        <f>Table13[[#This Row],[Date]]</f>
        <v>45931</v>
      </c>
      <c r="C247" s="55" t="s">
        <v>23</v>
      </c>
      <c r="D247" s="91" t="s">
        <v>25</v>
      </c>
      <c r="E247" s="64" t="s">
        <v>21</v>
      </c>
      <c r="F247" s="55" t="s">
        <v>19</v>
      </c>
      <c r="G247" s="55">
        <v>1</v>
      </c>
      <c r="H247" s="55"/>
      <c r="I247" s="55"/>
      <c r="J247" s="55"/>
      <c r="K247" s="57"/>
      <c r="L247" s="55"/>
    </row>
    <row r="248" spans="1:12" s="24" customFormat="1">
      <c r="A248" s="53">
        <v>45931</v>
      </c>
      <c r="B248" s="54">
        <f>Table13[[#This Row],[Date]]</f>
        <v>45931</v>
      </c>
      <c r="C248" s="55" t="s">
        <v>23</v>
      </c>
      <c r="D248" s="59" t="s">
        <v>37</v>
      </c>
      <c r="E248" s="63" t="s">
        <v>18</v>
      </c>
      <c r="F248" s="55" t="s">
        <v>19</v>
      </c>
      <c r="G248" s="55">
        <v>1</v>
      </c>
      <c r="H248" s="55"/>
      <c r="I248" s="55"/>
      <c r="J248" s="55"/>
      <c r="K248" s="57"/>
      <c r="L248" s="55"/>
    </row>
    <row r="249" spans="1:12" s="24" customFormat="1">
      <c r="A249" s="15">
        <v>45931</v>
      </c>
      <c r="B249" s="17">
        <f>Table13[[#This Row],[Date]]</f>
        <v>45931</v>
      </c>
      <c r="C249" s="1" t="s">
        <v>23</v>
      </c>
      <c r="D249" s="135" t="s">
        <v>38</v>
      </c>
      <c r="E249" s="1" t="s">
        <v>18</v>
      </c>
      <c r="F249" s="1" t="s">
        <v>19</v>
      </c>
      <c r="G249" s="1">
        <v>1</v>
      </c>
      <c r="H249" s="1"/>
      <c r="I249" s="1"/>
      <c r="J249" s="1"/>
      <c r="K249" s="3"/>
      <c r="L249" s="1"/>
    </row>
    <row r="250" spans="1:12" s="24" customFormat="1">
      <c r="A250" s="53">
        <v>45931</v>
      </c>
      <c r="B250" s="54">
        <f>Table13[[#This Row],[Date]]</f>
        <v>45931</v>
      </c>
      <c r="C250" s="55" t="s">
        <v>26</v>
      </c>
      <c r="D250" s="61" t="s">
        <v>151</v>
      </c>
      <c r="E250" s="63" t="s">
        <v>18</v>
      </c>
      <c r="F250" s="55" t="s">
        <v>19</v>
      </c>
      <c r="G250" s="55">
        <v>1</v>
      </c>
      <c r="H250" s="55"/>
      <c r="I250" s="55"/>
      <c r="J250" s="55"/>
      <c r="K250" s="57"/>
      <c r="L250" s="55"/>
    </row>
    <row r="251" spans="1:12" s="24" customFormat="1">
      <c r="A251" s="53">
        <v>45931</v>
      </c>
      <c r="B251" s="54">
        <f>Table13[[#This Row],[Date]]</f>
        <v>45931</v>
      </c>
      <c r="C251" s="55" t="s">
        <v>26</v>
      </c>
      <c r="D251" s="61" t="s">
        <v>151</v>
      </c>
      <c r="E251" s="55" t="s">
        <v>28</v>
      </c>
      <c r="F251" s="55" t="s">
        <v>19</v>
      </c>
      <c r="G251" s="55">
        <v>1</v>
      </c>
      <c r="H251" s="55"/>
      <c r="I251" s="55"/>
      <c r="J251" s="55"/>
      <c r="K251" s="57"/>
      <c r="L251" s="55"/>
    </row>
    <row r="252" spans="1:12" s="24" customFormat="1">
      <c r="A252" s="53">
        <v>45931</v>
      </c>
      <c r="B252" s="54">
        <f>Table13[[#This Row],[Date]]</f>
        <v>45931</v>
      </c>
      <c r="C252" s="55" t="s">
        <v>26</v>
      </c>
      <c r="D252" s="61" t="s">
        <v>152</v>
      </c>
      <c r="E252" s="63" t="s">
        <v>18</v>
      </c>
      <c r="F252" s="55" t="s">
        <v>19</v>
      </c>
      <c r="G252" s="55">
        <v>1</v>
      </c>
      <c r="H252" s="55"/>
      <c r="I252" s="55"/>
      <c r="J252" s="55"/>
      <c r="K252" s="57"/>
      <c r="L252" s="55"/>
    </row>
    <row r="253" spans="1:12" s="24" customFormat="1">
      <c r="A253" s="53">
        <v>45931</v>
      </c>
      <c r="B253" s="54">
        <f>Table13[[#This Row],[Date]]</f>
        <v>45931</v>
      </c>
      <c r="C253" s="55" t="s">
        <v>26</v>
      </c>
      <c r="D253" s="61" t="s">
        <v>152</v>
      </c>
      <c r="E253" s="55" t="s">
        <v>28</v>
      </c>
      <c r="F253" s="55" t="s">
        <v>19</v>
      </c>
      <c r="G253" s="55">
        <v>1</v>
      </c>
      <c r="H253" s="55"/>
      <c r="I253" s="55"/>
      <c r="J253" s="55"/>
      <c r="K253" s="57"/>
      <c r="L253" s="55"/>
    </row>
    <row r="254" spans="1:12" s="24" customFormat="1">
      <c r="A254" s="53">
        <v>45932</v>
      </c>
      <c r="B254" s="54">
        <f>Table13[[#This Row],[Date]]</f>
        <v>45932</v>
      </c>
      <c r="C254" s="55" t="s">
        <v>14</v>
      </c>
      <c r="D254" s="59" t="s">
        <v>71</v>
      </c>
      <c r="E254" s="63" t="s">
        <v>59</v>
      </c>
      <c r="F254" s="55" t="s">
        <v>60</v>
      </c>
      <c r="G254" s="55">
        <v>1</v>
      </c>
      <c r="H254" s="55"/>
      <c r="I254" s="55"/>
      <c r="J254" s="55"/>
      <c r="K254" s="57"/>
      <c r="L254" s="55"/>
    </row>
    <row r="255" spans="1:12" s="24" customFormat="1">
      <c r="A255" s="53">
        <v>45932</v>
      </c>
      <c r="B255" s="54">
        <f>Table13[[#This Row],[Date]]</f>
        <v>45932</v>
      </c>
      <c r="C255" s="55" t="s">
        <v>14</v>
      </c>
      <c r="D255" s="59" t="s">
        <v>71</v>
      </c>
      <c r="E255" s="55" t="s">
        <v>72</v>
      </c>
      <c r="F255" s="55" t="s">
        <v>60</v>
      </c>
      <c r="G255" s="55">
        <v>1</v>
      </c>
      <c r="H255" s="55"/>
      <c r="I255" s="55"/>
      <c r="J255" s="55"/>
      <c r="K255" s="57"/>
      <c r="L255" s="55"/>
    </row>
    <row r="256" spans="1:12" s="24" customFormat="1">
      <c r="A256" s="53">
        <v>45932</v>
      </c>
      <c r="B256" s="54">
        <f>Table13[[#This Row],[Date]]</f>
        <v>45932</v>
      </c>
      <c r="C256" s="55" t="s">
        <v>14</v>
      </c>
      <c r="D256" s="59" t="s">
        <v>71</v>
      </c>
      <c r="E256" s="55" t="s">
        <v>73</v>
      </c>
      <c r="F256" s="55" t="s">
        <v>60</v>
      </c>
      <c r="G256" s="55">
        <v>1</v>
      </c>
      <c r="H256" s="55"/>
      <c r="I256" s="55"/>
      <c r="J256" s="55"/>
      <c r="K256" s="57"/>
      <c r="L256" s="55"/>
    </row>
    <row r="257" spans="1:12" s="24" customFormat="1">
      <c r="A257" s="53">
        <v>45932</v>
      </c>
      <c r="B257" s="54">
        <f>Table13[[#This Row],[Date]]</f>
        <v>45932</v>
      </c>
      <c r="C257" s="55" t="s">
        <v>14</v>
      </c>
      <c r="D257" s="91" t="s">
        <v>33</v>
      </c>
      <c r="E257" s="64" t="s">
        <v>45</v>
      </c>
      <c r="F257" s="55" t="s">
        <v>19</v>
      </c>
      <c r="G257" s="55">
        <v>1</v>
      </c>
      <c r="H257" s="55"/>
      <c r="I257" s="55"/>
      <c r="J257" s="55"/>
      <c r="K257" s="57"/>
      <c r="L257" s="55"/>
    </row>
    <row r="258" spans="1:12" s="24" customFormat="1">
      <c r="A258" s="53">
        <v>45932</v>
      </c>
      <c r="B258" s="54">
        <f>Table13[[#This Row],[Date]]</f>
        <v>45932</v>
      </c>
      <c r="C258" s="55" t="s">
        <v>14</v>
      </c>
      <c r="D258" s="91" t="s">
        <v>33</v>
      </c>
      <c r="E258" s="64" t="s">
        <v>41</v>
      </c>
      <c r="F258" s="55" t="s">
        <v>19</v>
      </c>
      <c r="G258" s="55">
        <v>1</v>
      </c>
      <c r="H258" s="55"/>
      <c r="I258" s="55"/>
      <c r="J258" s="55"/>
      <c r="K258" s="57"/>
      <c r="L258" s="55"/>
    </row>
    <row r="259" spans="1:12" s="24" customFormat="1">
      <c r="A259" s="53">
        <v>45932</v>
      </c>
      <c r="B259" s="54">
        <f>Table13[[#This Row],[Date]]</f>
        <v>45932</v>
      </c>
      <c r="C259" s="55" t="s">
        <v>14</v>
      </c>
      <c r="D259" s="91" t="s">
        <v>33</v>
      </c>
      <c r="E259" s="63" t="s">
        <v>42</v>
      </c>
      <c r="F259" s="55" t="s">
        <v>19</v>
      </c>
      <c r="G259" s="55">
        <v>1</v>
      </c>
      <c r="H259" s="55"/>
      <c r="I259" s="55"/>
      <c r="J259" s="55"/>
      <c r="K259" s="57"/>
      <c r="L259" s="55"/>
    </row>
    <row r="260" spans="1:12" s="24" customFormat="1">
      <c r="A260" s="53">
        <v>45932</v>
      </c>
      <c r="B260" s="54">
        <f>Table13[[#This Row],[Date]]</f>
        <v>45932</v>
      </c>
      <c r="C260" s="55" t="s">
        <v>14</v>
      </c>
      <c r="D260" s="91" t="s">
        <v>33</v>
      </c>
      <c r="E260" s="55" t="s">
        <v>43</v>
      </c>
      <c r="F260" s="55" t="s">
        <v>19</v>
      </c>
      <c r="G260" s="55">
        <v>1</v>
      </c>
      <c r="H260" s="55"/>
      <c r="I260" s="55"/>
      <c r="J260" s="55"/>
      <c r="K260" s="57"/>
      <c r="L260" s="55"/>
    </row>
    <row r="261" spans="1:12" s="24" customFormat="1">
      <c r="A261" s="53">
        <v>45932</v>
      </c>
      <c r="B261" s="54">
        <f>Table13[[#This Row],[Date]]</f>
        <v>45932</v>
      </c>
      <c r="C261" s="55" t="s">
        <v>14</v>
      </c>
      <c r="D261" s="91" t="s">
        <v>33</v>
      </c>
      <c r="E261" s="64" t="s">
        <v>44</v>
      </c>
      <c r="F261" s="55" t="s">
        <v>19</v>
      </c>
      <c r="G261" s="55">
        <v>1</v>
      </c>
      <c r="H261" s="55"/>
      <c r="I261" s="55"/>
      <c r="J261" s="55"/>
      <c r="K261" s="57"/>
      <c r="L261" s="55"/>
    </row>
    <row r="262" spans="1:12" s="24" customFormat="1">
      <c r="A262" s="53">
        <v>45932</v>
      </c>
      <c r="B262" s="54">
        <f>Table13[[#This Row],[Date]]</f>
        <v>45932</v>
      </c>
      <c r="C262" s="55" t="s">
        <v>16</v>
      </c>
      <c r="D262" s="59" t="s">
        <v>46</v>
      </c>
      <c r="E262" s="64" t="s">
        <v>18</v>
      </c>
      <c r="F262" s="55" t="s">
        <v>19</v>
      </c>
      <c r="G262" s="55">
        <v>1</v>
      </c>
      <c r="H262" s="55"/>
      <c r="I262" s="55"/>
      <c r="J262" s="55"/>
      <c r="K262" s="57"/>
      <c r="L262" s="55"/>
    </row>
    <row r="263" spans="1:12" s="24" customFormat="1">
      <c r="A263" s="53">
        <v>45932</v>
      </c>
      <c r="B263" s="54">
        <f>Table13[[#This Row],[Date]]</f>
        <v>45932</v>
      </c>
      <c r="C263" s="55" t="s">
        <v>16</v>
      </c>
      <c r="D263" s="59" t="s">
        <v>46</v>
      </c>
      <c r="E263" s="64" t="s">
        <v>21</v>
      </c>
      <c r="F263" s="55" t="s">
        <v>19</v>
      </c>
      <c r="G263" s="55">
        <v>1</v>
      </c>
      <c r="H263" s="55"/>
      <c r="I263" s="55"/>
      <c r="J263" s="55"/>
      <c r="K263" s="57"/>
      <c r="L263" s="55"/>
    </row>
    <row r="264" spans="1:12" s="24" customFormat="1">
      <c r="A264" s="53">
        <v>45932</v>
      </c>
      <c r="B264" s="54">
        <f>Table13[[#This Row],[Date]]</f>
        <v>45932</v>
      </c>
      <c r="C264" s="55" t="s">
        <v>16</v>
      </c>
      <c r="D264" s="59" t="s">
        <v>46</v>
      </c>
      <c r="E264" s="64" t="s">
        <v>47</v>
      </c>
      <c r="F264" s="55" t="s">
        <v>19</v>
      </c>
      <c r="G264" s="55">
        <v>1</v>
      </c>
      <c r="H264" s="55"/>
      <c r="I264" s="55"/>
      <c r="J264" s="55"/>
      <c r="K264" s="57"/>
      <c r="L264" s="55"/>
    </row>
    <row r="265" spans="1:12" s="24" customFormat="1">
      <c r="A265" s="53">
        <v>45932</v>
      </c>
      <c r="B265" s="54">
        <f>Table13[[#This Row],[Date]]</f>
        <v>45932</v>
      </c>
      <c r="C265" s="55" t="s">
        <v>26</v>
      </c>
      <c r="D265" s="61" t="s">
        <v>153</v>
      </c>
      <c r="E265" s="55" t="s">
        <v>18</v>
      </c>
      <c r="F265" s="55" t="s">
        <v>19</v>
      </c>
      <c r="G265" s="55">
        <v>1</v>
      </c>
      <c r="H265" s="55"/>
      <c r="I265" s="55"/>
      <c r="J265" s="55"/>
      <c r="K265" s="57"/>
      <c r="L265" s="55"/>
    </row>
    <row r="266" spans="1:12" s="24" customFormat="1">
      <c r="A266" s="53">
        <v>45932</v>
      </c>
      <c r="B266" s="54">
        <f>Table13[[#This Row],[Date]]</f>
        <v>45932</v>
      </c>
      <c r="C266" s="55" t="s">
        <v>26</v>
      </c>
      <c r="D266" s="61" t="s">
        <v>153</v>
      </c>
      <c r="E266" s="55" t="s">
        <v>28</v>
      </c>
      <c r="F266" s="55" t="s">
        <v>19</v>
      </c>
      <c r="G266" s="55">
        <v>1</v>
      </c>
      <c r="H266" s="55"/>
      <c r="I266" s="55"/>
      <c r="J266" s="55"/>
      <c r="K266" s="57"/>
      <c r="L266" s="55"/>
    </row>
    <row r="267" spans="1:12" s="24" customFormat="1">
      <c r="A267" s="53">
        <v>45932</v>
      </c>
      <c r="B267" s="54">
        <f>Table13[[#This Row],[Date]]</f>
        <v>45932</v>
      </c>
      <c r="C267" s="55" t="s">
        <v>26</v>
      </c>
      <c r="D267" s="61" t="s">
        <v>154</v>
      </c>
      <c r="E267" s="55" t="s">
        <v>18</v>
      </c>
      <c r="F267" s="55" t="s">
        <v>19</v>
      </c>
      <c r="G267" s="55">
        <v>1</v>
      </c>
      <c r="H267" s="55"/>
      <c r="I267" s="55"/>
      <c r="J267" s="55"/>
      <c r="K267" s="57"/>
      <c r="L267" s="55"/>
    </row>
    <row r="268" spans="1:12" s="24" customFormat="1">
      <c r="A268" s="53">
        <v>45932</v>
      </c>
      <c r="B268" s="54">
        <f>Table13[[#This Row],[Date]]</f>
        <v>45932</v>
      </c>
      <c r="C268" s="55" t="s">
        <v>26</v>
      </c>
      <c r="D268" s="61" t="s">
        <v>154</v>
      </c>
      <c r="E268" s="55" t="s">
        <v>28</v>
      </c>
      <c r="F268" s="55" t="s">
        <v>19</v>
      </c>
      <c r="G268" s="55">
        <v>1</v>
      </c>
      <c r="H268" s="55"/>
      <c r="I268" s="55"/>
      <c r="J268" s="55"/>
      <c r="K268" s="57"/>
      <c r="L268" s="55"/>
    </row>
    <row r="269" spans="1:12" s="24" customFormat="1">
      <c r="A269" s="53">
        <v>45933</v>
      </c>
      <c r="B269" s="54">
        <f>Table13[[#This Row],[Date]]</f>
        <v>45933</v>
      </c>
      <c r="C269" s="55" t="s">
        <v>14</v>
      </c>
      <c r="D269" s="59" t="s">
        <v>71</v>
      </c>
      <c r="E269" s="55" t="s">
        <v>61</v>
      </c>
      <c r="F269" s="55" t="s">
        <v>60</v>
      </c>
      <c r="G269" s="55">
        <v>1</v>
      </c>
      <c r="H269" s="55"/>
      <c r="I269" s="55"/>
      <c r="J269" s="55"/>
      <c r="K269" s="57"/>
      <c r="L269" s="55"/>
    </row>
    <row r="270" spans="1:12" s="24" customFormat="1">
      <c r="A270" s="53">
        <v>45933</v>
      </c>
      <c r="B270" s="54">
        <f>Table13[[#This Row],[Date]]</f>
        <v>45933</v>
      </c>
      <c r="C270" s="55" t="s">
        <v>14</v>
      </c>
      <c r="D270" s="59" t="s">
        <v>71</v>
      </c>
      <c r="E270" s="55" t="s">
        <v>76</v>
      </c>
      <c r="F270" s="55" t="s">
        <v>60</v>
      </c>
      <c r="G270" s="55">
        <v>1</v>
      </c>
      <c r="H270" s="55"/>
      <c r="I270" s="55"/>
      <c r="J270" s="55"/>
      <c r="K270" s="57"/>
      <c r="L270" s="55"/>
    </row>
    <row r="271" spans="1:12" s="24" customFormat="1">
      <c r="A271" s="53">
        <v>45933</v>
      </c>
      <c r="B271" s="54">
        <f>Table13[[#This Row],[Date]]</f>
        <v>45933</v>
      </c>
      <c r="C271" s="55" t="s">
        <v>14</v>
      </c>
      <c r="D271" s="59" t="s">
        <v>71</v>
      </c>
      <c r="E271" s="55" t="s">
        <v>77</v>
      </c>
      <c r="F271" s="55" t="s">
        <v>60</v>
      </c>
      <c r="G271" s="55">
        <v>1</v>
      </c>
      <c r="H271" s="55"/>
      <c r="I271" s="55"/>
      <c r="J271" s="55"/>
      <c r="K271" s="57"/>
      <c r="L271" s="55"/>
    </row>
    <row r="272" spans="1:12" s="24" customFormat="1">
      <c r="A272" s="53">
        <v>45933</v>
      </c>
      <c r="B272" s="54">
        <f>Table13[[#This Row],[Date]]</f>
        <v>45933</v>
      </c>
      <c r="C272" s="55" t="s">
        <v>16</v>
      </c>
      <c r="D272" s="118" t="s">
        <v>50</v>
      </c>
      <c r="E272" s="64" t="s">
        <v>47</v>
      </c>
      <c r="F272" s="55" t="s">
        <v>19</v>
      </c>
      <c r="G272" s="55">
        <v>1</v>
      </c>
      <c r="H272" s="55"/>
      <c r="I272" s="55"/>
      <c r="J272" s="55"/>
      <c r="K272" s="57"/>
      <c r="L272" s="55"/>
    </row>
    <row r="273" spans="1:12" s="24" customFormat="1">
      <c r="A273" s="53">
        <v>45933</v>
      </c>
      <c r="B273" s="54">
        <f>Table13[[#This Row],[Date]]</f>
        <v>45933</v>
      </c>
      <c r="C273" s="55" t="s">
        <v>16</v>
      </c>
      <c r="D273" s="118" t="s">
        <v>50</v>
      </c>
      <c r="E273" s="64" t="s">
        <v>18</v>
      </c>
      <c r="F273" s="55" t="s">
        <v>19</v>
      </c>
      <c r="G273" s="55">
        <v>1</v>
      </c>
      <c r="H273" s="55"/>
      <c r="I273" s="55"/>
      <c r="J273" s="55"/>
      <c r="K273" s="57"/>
      <c r="L273" s="55"/>
    </row>
    <row r="274" spans="1:12" s="24" customFormat="1">
      <c r="A274" s="53">
        <v>45933</v>
      </c>
      <c r="B274" s="54">
        <f>Table13[[#This Row],[Date]]</f>
        <v>45933</v>
      </c>
      <c r="C274" s="55" t="s">
        <v>16</v>
      </c>
      <c r="D274" s="118" t="s">
        <v>50</v>
      </c>
      <c r="E274" s="64" t="s">
        <v>21</v>
      </c>
      <c r="F274" s="55" t="s">
        <v>19</v>
      </c>
      <c r="G274" s="55">
        <v>1</v>
      </c>
      <c r="H274" s="55"/>
      <c r="I274" s="55"/>
      <c r="J274" s="55"/>
      <c r="K274" s="57"/>
      <c r="L274" s="55"/>
    </row>
    <row r="275" spans="1:12" s="24" customFormat="1">
      <c r="A275" s="53">
        <v>45933</v>
      </c>
      <c r="B275" s="54">
        <f>Table13[[#This Row],[Date]]</f>
        <v>45933</v>
      </c>
      <c r="C275" s="55" t="s">
        <v>16</v>
      </c>
      <c r="D275" s="59" t="s">
        <v>51</v>
      </c>
      <c r="E275" s="55" t="s">
        <v>18</v>
      </c>
      <c r="F275" s="55" t="s">
        <v>19</v>
      </c>
      <c r="G275" s="55">
        <v>1</v>
      </c>
      <c r="H275" s="55"/>
      <c r="I275" s="55"/>
      <c r="J275" s="55"/>
      <c r="K275" s="57"/>
      <c r="L275" s="55"/>
    </row>
    <row r="276" spans="1:12" s="24" customFormat="1">
      <c r="A276" s="53">
        <v>45933</v>
      </c>
      <c r="B276" s="54">
        <f>Table13[[#This Row],[Date]]</f>
        <v>45933</v>
      </c>
      <c r="C276" s="55" t="s">
        <v>23</v>
      </c>
      <c r="D276" s="123" t="s">
        <v>52</v>
      </c>
      <c r="E276" s="64" t="s">
        <v>47</v>
      </c>
      <c r="F276" s="55" t="s">
        <v>19</v>
      </c>
      <c r="G276" s="55">
        <v>1</v>
      </c>
      <c r="H276" s="55"/>
      <c r="I276" s="55"/>
      <c r="J276" s="55"/>
      <c r="K276" s="57"/>
      <c r="L276" s="55"/>
    </row>
    <row r="277" spans="1:12" s="24" customFormat="1">
      <c r="A277" s="53">
        <v>45933</v>
      </c>
      <c r="B277" s="54">
        <f>Table13[[#This Row],[Date]]</f>
        <v>45933</v>
      </c>
      <c r="C277" s="55" t="s">
        <v>23</v>
      </c>
      <c r="D277" s="123" t="s">
        <v>52</v>
      </c>
      <c r="E277" s="64" t="s">
        <v>53</v>
      </c>
      <c r="F277" s="55" t="s">
        <v>19</v>
      </c>
      <c r="G277" s="55">
        <v>1</v>
      </c>
      <c r="H277" s="55"/>
      <c r="I277" s="55"/>
      <c r="J277" s="55"/>
      <c r="K277" s="57"/>
      <c r="L277" s="55"/>
    </row>
    <row r="278" spans="1:12" s="24" customFormat="1">
      <c r="A278" s="53">
        <v>45933</v>
      </c>
      <c r="B278" s="54">
        <f>Table13[[#This Row],[Date]]</f>
        <v>45933</v>
      </c>
      <c r="C278" s="55" t="s">
        <v>23</v>
      </c>
      <c r="D278" s="91" t="s">
        <v>54</v>
      </c>
      <c r="E278" s="64" t="s">
        <v>18</v>
      </c>
      <c r="F278" s="55" t="s">
        <v>19</v>
      </c>
      <c r="G278" s="55">
        <v>1</v>
      </c>
      <c r="H278" s="55"/>
      <c r="I278" s="55"/>
      <c r="J278" s="55"/>
      <c r="K278" s="57"/>
      <c r="L278" s="55"/>
    </row>
    <row r="279" spans="1:12" s="24" customFormat="1">
      <c r="A279" s="53">
        <v>45933</v>
      </c>
      <c r="B279" s="54">
        <f>Table13[[#This Row],[Date]]</f>
        <v>45933</v>
      </c>
      <c r="C279" s="55" t="s">
        <v>23</v>
      </c>
      <c r="D279" s="91" t="s">
        <v>54</v>
      </c>
      <c r="E279" s="64" t="s">
        <v>21</v>
      </c>
      <c r="F279" s="55" t="s">
        <v>19</v>
      </c>
      <c r="G279" s="55">
        <v>1</v>
      </c>
      <c r="H279" s="55"/>
      <c r="I279" s="55"/>
      <c r="J279" s="55"/>
      <c r="K279" s="57"/>
      <c r="L279" s="55"/>
    </row>
    <row r="280" spans="1:12" s="24" customFormat="1">
      <c r="A280" s="53">
        <v>45933</v>
      </c>
      <c r="B280" s="54">
        <f>Table13[[#This Row],[Date]]</f>
        <v>45933</v>
      </c>
      <c r="C280" s="55" t="s">
        <v>26</v>
      </c>
      <c r="D280" s="74" t="s">
        <v>39</v>
      </c>
      <c r="E280" s="55" t="s">
        <v>18</v>
      </c>
      <c r="F280" s="55" t="s">
        <v>19</v>
      </c>
      <c r="G280" s="55">
        <v>1</v>
      </c>
      <c r="H280" s="55"/>
      <c r="I280" s="55"/>
      <c r="J280" s="55"/>
      <c r="K280" s="57"/>
      <c r="L280" s="55"/>
    </row>
    <row r="281" spans="1:12" s="24" customFormat="1">
      <c r="A281" s="53">
        <v>45933</v>
      </c>
      <c r="B281" s="54">
        <f>Table13[[#This Row],[Date]]</f>
        <v>45933</v>
      </c>
      <c r="C281" s="55" t="s">
        <v>26</v>
      </c>
      <c r="D281" s="74" t="s">
        <v>39</v>
      </c>
      <c r="E281" s="55" t="s">
        <v>28</v>
      </c>
      <c r="F281" s="55" t="s">
        <v>19</v>
      </c>
      <c r="G281" s="55">
        <v>1</v>
      </c>
      <c r="H281" s="55"/>
      <c r="I281" s="55"/>
      <c r="J281" s="55"/>
      <c r="K281" s="57"/>
      <c r="L281" s="55"/>
    </row>
    <row r="282" spans="1:12" s="24" customFormat="1">
      <c r="A282" s="53">
        <v>45933</v>
      </c>
      <c r="B282" s="54">
        <f>Table13[[#This Row],[Date]]</f>
        <v>45933</v>
      </c>
      <c r="C282" s="55" t="s">
        <v>26</v>
      </c>
      <c r="D282" s="61" t="s">
        <v>155</v>
      </c>
      <c r="E282" s="55" t="s">
        <v>18</v>
      </c>
      <c r="F282" s="55" t="s">
        <v>19</v>
      </c>
      <c r="G282" s="55">
        <v>1</v>
      </c>
      <c r="H282" s="55"/>
      <c r="I282" s="55"/>
      <c r="J282" s="55"/>
      <c r="K282" s="57"/>
      <c r="L282" s="55"/>
    </row>
    <row r="283" spans="1:12" s="24" customFormat="1">
      <c r="A283" s="53">
        <v>45933</v>
      </c>
      <c r="B283" s="54">
        <f>Table13[[#This Row],[Date]]</f>
        <v>45933</v>
      </c>
      <c r="C283" s="55" t="s">
        <v>26</v>
      </c>
      <c r="D283" s="61" t="s">
        <v>155</v>
      </c>
      <c r="E283" s="55" t="s">
        <v>28</v>
      </c>
      <c r="F283" s="55" t="s">
        <v>19</v>
      </c>
      <c r="G283" s="55">
        <v>1</v>
      </c>
      <c r="H283" s="55"/>
      <c r="I283" s="55"/>
      <c r="J283" s="55"/>
      <c r="K283" s="57"/>
      <c r="L283" s="55"/>
    </row>
    <row r="284" spans="1:12" s="24" customFormat="1">
      <c r="A284" s="16">
        <v>45934</v>
      </c>
      <c r="B284" s="18">
        <f>Table13[[#This Row],[Date]]</f>
        <v>45934</v>
      </c>
      <c r="C284" s="10" t="s">
        <v>4</v>
      </c>
      <c r="D284" s="9" t="s">
        <v>58</v>
      </c>
      <c r="E284" s="8" t="s">
        <v>18</v>
      </c>
      <c r="F284" s="10" t="s">
        <v>19</v>
      </c>
      <c r="G284" s="10">
        <v>1</v>
      </c>
      <c r="H284" s="10"/>
      <c r="I284" s="10"/>
      <c r="J284" s="10"/>
      <c r="K284" s="13"/>
      <c r="L284" s="10"/>
    </row>
    <row r="285" spans="1:12" s="24" customFormat="1">
      <c r="A285" s="16">
        <v>45934</v>
      </c>
      <c r="B285" s="18">
        <f>Table13[[#This Row],[Date]]</f>
        <v>45934</v>
      </c>
      <c r="C285" s="10" t="s">
        <v>4</v>
      </c>
      <c r="D285" s="9" t="s">
        <v>58</v>
      </c>
      <c r="E285" s="8" t="s">
        <v>21</v>
      </c>
      <c r="F285" s="10" t="s">
        <v>19</v>
      </c>
      <c r="G285" s="10">
        <v>1</v>
      </c>
      <c r="H285" s="10"/>
      <c r="I285" s="10"/>
      <c r="J285" s="10"/>
      <c r="K285" s="13"/>
      <c r="L285" s="10"/>
    </row>
    <row r="286" spans="1:12" s="24" customFormat="1">
      <c r="A286" s="16">
        <v>45934</v>
      </c>
      <c r="B286" s="18">
        <f>Table13[[#This Row],[Date]]</f>
        <v>45934</v>
      </c>
      <c r="C286" s="10" t="s">
        <v>4</v>
      </c>
      <c r="D286" s="9" t="s">
        <v>58</v>
      </c>
      <c r="E286" s="8" t="s">
        <v>49</v>
      </c>
      <c r="F286" s="10" t="s">
        <v>19</v>
      </c>
      <c r="G286" s="10">
        <v>1</v>
      </c>
      <c r="H286" s="10"/>
      <c r="I286" s="10"/>
      <c r="J286" s="10"/>
      <c r="K286" s="13"/>
      <c r="L286" s="10"/>
    </row>
    <row r="287" spans="1:12" s="24" customFormat="1">
      <c r="A287" s="16">
        <v>45934</v>
      </c>
      <c r="B287" s="18">
        <f>Table13[[#This Row],[Date]]</f>
        <v>45934</v>
      </c>
      <c r="C287" s="10" t="s">
        <v>4</v>
      </c>
      <c r="D287" s="9" t="s">
        <v>58</v>
      </c>
      <c r="E287" s="8" t="s">
        <v>41</v>
      </c>
      <c r="F287" s="10" t="s">
        <v>19</v>
      </c>
      <c r="G287" s="10">
        <v>1</v>
      </c>
      <c r="H287" s="10"/>
      <c r="I287" s="10"/>
      <c r="J287" s="10"/>
      <c r="K287" s="13"/>
      <c r="L287" s="10"/>
    </row>
    <row r="288" spans="1:12" s="24" customFormat="1">
      <c r="A288" s="16">
        <v>45935</v>
      </c>
      <c r="B288" s="18">
        <f>Table13[[#This Row],[Date]]</f>
        <v>45935</v>
      </c>
      <c r="C288" s="10" t="s">
        <v>4</v>
      </c>
      <c r="D288" s="11" t="s">
        <v>58</v>
      </c>
      <c r="E288" s="8" t="s">
        <v>42</v>
      </c>
      <c r="F288" s="10" t="s">
        <v>19</v>
      </c>
      <c r="G288" s="10">
        <v>1</v>
      </c>
      <c r="H288" s="10"/>
      <c r="I288" s="10"/>
      <c r="J288" s="10"/>
      <c r="K288" s="13"/>
      <c r="L288" s="10"/>
    </row>
    <row r="289" spans="1:12" s="24" customFormat="1">
      <c r="A289" s="16">
        <v>45935</v>
      </c>
      <c r="B289" s="18">
        <f>Table13[[#This Row],[Date]]</f>
        <v>45935</v>
      </c>
      <c r="C289" s="10" t="s">
        <v>4</v>
      </c>
      <c r="D289" s="9" t="s">
        <v>58</v>
      </c>
      <c r="E289" s="10" t="s">
        <v>64</v>
      </c>
      <c r="F289" s="10" t="s">
        <v>19</v>
      </c>
      <c r="G289" s="10">
        <v>1</v>
      </c>
      <c r="H289" s="10"/>
      <c r="I289" s="10"/>
      <c r="J289" s="10"/>
      <c r="K289" s="13"/>
      <c r="L289" s="10"/>
    </row>
    <row r="290" spans="1:12" s="24" customFormat="1">
      <c r="A290" s="16">
        <v>45935</v>
      </c>
      <c r="B290" s="18">
        <f>Table13[[#This Row],[Date]]</f>
        <v>45935</v>
      </c>
      <c r="C290" s="10" t="s">
        <v>4</v>
      </c>
      <c r="D290" s="12" t="s">
        <v>58</v>
      </c>
      <c r="E290" s="10" t="s">
        <v>34</v>
      </c>
      <c r="F290" s="10" t="s">
        <v>19</v>
      </c>
      <c r="G290" s="10">
        <v>1</v>
      </c>
      <c r="H290" s="10"/>
      <c r="I290" s="10"/>
      <c r="J290" s="10"/>
      <c r="K290" s="13"/>
      <c r="L290" s="10"/>
    </row>
    <row r="291" spans="1:12" s="24" customFormat="1">
      <c r="A291" s="16">
        <v>45935</v>
      </c>
      <c r="B291" s="18">
        <f>Table13[[#This Row],[Date]]</f>
        <v>45935</v>
      </c>
      <c r="C291" s="10" t="s">
        <v>4</v>
      </c>
      <c r="D291" s="12" t="s">
        <v>58</v>
      </c>
      <c r="E291" s="10" t="s">
        <v>43</v>
      </c>
      <c r="F291" s="10" t="s">
        <v>19</v>
      </c>
      <c r="G291" s="10">
        <v>1</v>
      </c>
      <c r="H291" s="10"/>
      <c r="I291" s="10"/>
      <c r="J291" s="10"/>
      <c r="K291" s="13"/>
      <c r="L291" s="10"/>
    </row>
    <row r="292" spans="1:12" s="24" customFormat="1">
      <c r="A292" s="41">
        <v>45936</v>
      </c>
      <c r="B292" s="42">
        <f>Table13[[#This Row],[Date]]</f>
        <v>45936</v>
      </c>
      <c r="C292" s="43"/>
      <c r="D292" s="44" t="s">
        <v>156</v>
      </c>
      <c r="E292" s="43"/>
      <c r="F292" s="43"/>
      <c r="G292" s="43"/>
      <c r="H292" s="43"/>
      <c r="I292" s="43"/>
      <c r="J292" s="43"/>
      <c r="K292" s="45"/>
      <c r="L292" s="43"/>
    </row>
    <row r="293" spans="1:12" s="24" customFormat="1">
      <c r="A293" s="48">
        <v>45937</v>
      </c>
      <c r="B293" s="49">
        <f>Table13[[#This Row],[Date]]</f>
        <v>45937</v>
      </c>
      <c r="C293" s="50" t="s">
        <v>4</v>
      </c>
      <c r="D293" s="51" t="s">
        <v>32</v>
      </c>
      <c r="E293" s="50"/>
      <c r="F293" s="50"/>
      <c r="G293" s="50"/>
      <c r="H293" s="50"/>
      <c r="I293" s="84"/>
      <c r="J293" s="84"/>
      <c r="K293" s="165"/>
      <c r="L293" s="50"/>
    </row>
    <row r="294" spans="1:12" s="24" customFormat="1">
      <c r="A294" s="41">
        <v>45937</v>
      </c>
      <c r="B294" s="42">
        <f>Table13[[#This Row],[Date]]</f>
        <v>45937</v>
      </c>
      <c r="C294" s="43"/>
      <c r="D294" s="44" t="s">
        <v>156</v>
      </c>
      <c r="E294" s="43"/>
      <c r="F294" s="43"/>
      <c r="G294" s="43"/>
      <c r="H294" s="43"/>
      <c r="I294" s="43"/>
      <c r="J294" s="43"/>
      <c r="K294" s="45"/>
      <c r="L294" s="43"/>
    </row>
    <row r="295" spans="1:12" s="24" customFormat="1">
      <c r="A295" s="53">
        <v>45938</v>
      </c>
      <c r="B295" s="54">
        <f>Table13[[#This Row],[Date]]</f>
        <v>45938</v>
      </c>
      <c r="C295" s="55" t="s">
        <v>26</v>
      </c>
      <c r="D295" s="61" t="s">
        <v>157</v>
      </c>
      <c r="E295" s="64" t="s">
        <v>18</v>
      </c>
      <c r="F295" s="55" t="s">
        <v>19</v>
      </c>
      <c r="G295" s="55">
        <v>1</v>
      </c>
      <c r="H295" s="55"/>
      <c r="I295" s="55"/>
      <c r="J295" s="55"/>
      <c r="K295" s="57"/>
      <c r="L295" s="55"/>
    </row>
    <row r="296" spans="1:12" s="24" customFormat="1">
      <c r="A296" s="53">
        <v>45938</v>
      </c>
      <c r="B296" s="54">
        <f>Table13[[#This Row],[Date]]</f>
        <v>45938</v>
      </c>
      <c r="C296" s="55" t="s">
        <v>26</v>
      </c>
      <c r="D296" s="61" t="s">
        <v>157</v>
      </c>
      <c r="E296" s="64" t="s">
        <v>21</v>
      </c>
      <c r="F296" s="55" t="s">
        <v>19</v>
      </c>
      <c r="G296" s="55">
        <v>1</v>
      </c>
      <c r="H296" s="55"/>
      <c r="I296" s="55"/>
      <c r="J296" s="55"/>
      <c r="K296" s="57"/>
      <c r="L296" s="55"/>
    </row>
    <row r="297" spans="1:12" s="24" customFormat="1">
      <c r="A297" s="53">
        <v>45938</v>
      </c>
      <c r="B297" s="54">
        <f>Table13[[#This Row],[Date]]</f>
        <v>45938</v>
      </c>
      <c r="C297" s="55" t="s">
        <v>26</v>
      </c>
      <c r="D297" s="74" t="s">
        <v>40</v>
      </c>
      <c r="E297" s="55" t="s">
        <v>18</v>
      </c>
      <c r="F297" s="55" t="s">
        <v>19</v>
      </c>
      <c r="G297" s="55">
        <v>1</v>
      </c>
      <c r="H297" s="55"/>
      <c r="I297" s="55"/>
      <c r="J297" s="55"/>
      <c r="K297" s="57"/>
      <c r="L297" s="55"/>
    </row>
    <row r="298" spans="1:12" s="24" customFormat="1">
      <c r="A298" s="53">
        <v>45938</v>
      </c>
      <c r="B298" s="54">
        <f>Table13[[#This Row],[Date]]</f>
        <v>45938</v>
      </c>
      <c r="C298" s="55" t="s">
        <v>26</v>
      </c>
      <c r="D298" s="74" t="s">
        <v>40</v>
      </c>
      <c r="E298" s="55" t="s">
        <v>28</v>
      </c>
      <c r="F298" s="55" t="s">
        <v>19</v>
      </c>
      <c r="G298" s="55">
        <v>1</v>
      </c>
      <c r="H298" s="55"/>
      <c r="I298" s="55"/>
      <c r="J298" s="55"/>
      <c r="K298" s="57"/>
      <c r="L298" s="55"/>
    </row>
    <row r="299" spans="1:12" s="24" customFormat="1">
      <c r="A299" s="48">
        <v>45938</v>
      </c>
      <c r="B299" s="49">
        <f>Table13[[#This Row],[Date]]</f>
        <v>45938</v>
      </c>
      <c r="C299" s="50" t="s">
        <v>149</v>
      </c>
      <c r="D299" s="51" t="s">
        <v>150</v>
      </c>
      <c r="E299" s="50"/>
      <c r="F299" s="50"/>
      <c r="G299" s="50"/>
      <c r="H299" s="50"/>
      <c r="I299" s="50"/>
      <c r="J299" s="50"/>
      <c r="K299" s="52"/>
      <c r="L299" s="50"/>
    </row>
    <row r="300" spans="1:12" s="24" customFormat="1">
      <c r="A300" s="53">
        <v>45939</v>
      </c>
      <c r="B300" s="54">
        <f>Table13[[#This Row],[Date]]</f>
        <v>45939</v>
      </c>
      <c r="C300" s="55" t="s">
        <v>14</v>
      </c>
      <c r="D300" s="59" t="s">
        <v>65</v>
      </c>
      <c r="E300" s="55" t="s">
        <v>18</v>
      </c>
      <c r="F300" s="55" t="s">
        <v>19</v>
      </c>
      <c r="G300" s="55">
        <v>1</v>
      </c>
      <c r="H300" s="55"/>
      <c r="I300" s="55"/>
      <c r="J300" s="55"/>
      <c r="K300" s="57"/>
      <c r="L300" s="55"/>
    </row>
    <row r="301" spans="1:12" s="24" customFormat="1">
      <c r="A301" s="103">
        <v>45939</v>
      </c>
      <c r="B301" s="104">
        <f>Table13[[#This Row],[Date]]</f>
        <v>45939</v>
      </c>
      <c r="C301" s="105" t="s">
        <v>14</v>
      </c>
      <c r="D301" s="119" t="s">
        <v>66</v>
      </c>
      <c r="E301" s="105" t="s">
        <v>18</v>
      </c>
      <c r="F301" s="105" t="s">
        <v>19</v>
      </c>
      <c r="G301" s="105">
        <v>1</v>
      </c>
      <c r="H301" s="105"/>
      <c r="I301" s="105"/>
      <c r="J301" s="105"/>
      <c r="K301" s="108"/>
      <c r="L301" s="105"/>
    </row>
    <row r="302" spans="1:12" s="24" customFormat="1">
      <c r="A302" s="53">
        <v>45939</v>
      </c>
      <c r="B302" s="54">
        <f>Table13[[#This Row],[Date]]</f>
        <v>45939</v>
      </c>
      <c r="C302" s="55" t="s">
        <v>14</v>
      </c>
      <c r="D302" s="59" t="s">
        <v>67</v>
      </c>
      <c r="E302" s="55" t="s">
        <v>18</v>
      </c>
      <c r="F302" s="55" t="s">
        <v>19</v>
      </c>
      <c r="G302" s="55">
        <v>1</v>
      </c>
      <c r="H302" s="55"/>
      <c r="I302" s="55"/>
      <c r="J302" s="55"/>
      <c r="K302" s="57"/>
      <c r="L302" s="55"/>
    </row>
    <row r="303" spans="1:12" s="24" customFormat="1">
      <c r="A303" s="53">
        <v>45939</v>
      </c>
      <c r="B303" s="54">
        <f>Table13[[#This Row],[Date]]</f>
        <v>45939</v>
      </c>
      <c r="C303" s="55" t="s">
        <v>16</v>
      </c>
      <c r="D303" s="59" t="s">
        <v>74</v>
      </c>
      <c r="E303" s="55" t="s">
        <v>18</v>
      </c>
      <c r="F303" s="55" t="s">
        <v>19</v>
      </c>
      <c r="G303" s="55">
        <v>1</v>
      </c>
      <c r="H303" s="55"/>
      <c r="I303" s="55"/>
      <c r="J303" s="55"/>
      <c r="K303" s="57"/>
      <c r="L303" s="55"/>
    </row>
    <row r="304" spans="1:12" s="24" customFormat="1">
      <c r="A304" s="53">
        <v>45939</v>
      </c>
      <c r="B304" s="54">
        <f>Table13[[#This Row],[Date]]</f>
        <v>45939</v>
      </c>
      <c r="C304" s="55" t="s">
        <v>16</v>
      </c>
      <c r="D304" s="59" t="s">
        <v>74</v>
      </c>
      <c r="E304" s="55" t="s">
        <v>21</v>
      </c>
      <c r="F304" s="55" t="s">
        <v>19</v>
      </c>
      <c r="G304" s="55">
        <v>1</v>
      </c>
      <c r="H304" s="55"/>
      <c r="I304" s="55"/>
      <c r="J304" s="55"/>
      <c r="K304" s="57"/>
      <c r="L304" s="55"/>
    </row>
    <row r="305" spans="1:12" s="24" customFormat="1">
      <c r="A305" s="53">
        <v>45939</v>
      </c>
      <c r="B305" s="54">
        <f>Table13[[#This Row],[Date]]</f>
        <v>45939</v>
      </c>
      <c r="C305" s="55" t="s">
        <v>16</v>
      </c>
      <c r="D305" s="59" t="s">
        <v>74</v>
      </c>
      <c r="E305" s="55" t="s">
        <v>49</v>
      </c>
      <c r="F305" s="55" t="s">
        <v>19</v>
      </c>
      <c r="G305" s="55">
        <v>1</v>
      </c>
      <c r="H305" s="55"/>
      <c r="I305" s="55"/>
      <c r="J305" s="55"/>
      <c r="K305" s="57"/>
      <c r="L305" s="55"/>
    </row>
    <row r="306" spans="1:12" s="24" customFormat="1">
      <c r="A306" s="53">
        <v>45939</v>
      </c>
      <c r="B306" s="54">
        <f>Table13[[#This Row],[Date]]</f>
        <v>45939</v>
      </c>
      <c r="C306" s="55" t="s">
        <v>16</v>
      </c>
      <c r="D306" s="59" t="s">
        <v>74</v>
      </c>
      <c r="E306" s="55" t="s">
        <v>41</v>
      </c>
      <c r="F306" s="55" t="s">
        <v>19</v>
      </c>
      <c r="G306" s="55">
        <v>1</v>
      </c>
      <c r="H306" s="55"/>
      <c r="I306" s="55"/>
      <c r="J306" s="55"/>
      <c r="K306" s="57"/>
      <c r="L306" s="55"/>
    </row>
    <row r="307" spans="1:12" s="24" customFormat="1">
      <c r="A307" s="53">
        <v>45939</v>
      </c>
      <c r="B307" s="54">
        <f>Table13[[#This Row],[Date]]</f>
        <v>45939</v>
      </c>
      <c r="C307" s="55" t="s">
        <v>23</v>
      </c>
      <c r="D307" s="91" t="s">
        <v>24</v>
      </c>
      <c r="E307" s="64" t="s">
        <v>18</v>
      </c>
      <c r="F307" s="55" t="s">
        <v>19</v>
      </c>
      <c r="G307" s="55">
        <v>1</v>
      </c>
      <c r="H307" s="55"/>
      <c r="I307" s="55"/>
      <c r="J307" s="55"/>
      <c r="K307" s="57"/>
      <c r="L307" s="55"/>
    </row>
    <row r="308" spans="1:12" s="24" customFormat="1">
      <c r="A308" s="53">
        <v>45939</v>
      </c>
      <c r="B308" s="54">
        <f>Table13[[#This Row],[Date]]</f>
        <v>45939</v>
      </c>
      <c r="C308" s="55" t="s">
        <v>26</v>
      </c>
      <c r="D308" s="61" t="s">
        <v>158</v>
      </c>
      <c r="E308" s="64" t="s">
        <v>18</v>
      </c>
      <c r="F308" s="55" t="s">
        <v>19</v>
      </c>
      <c r="G308" s="55">
        <v>1</v>
      </c>
      <c r="H308" s="55"/>
      <c r="I308" s="55"/>
      <c r="J308" s="55"/>
      <c r="K308" s="57"/>
      <c r="L308" s="55"/>
    </row>
    <row r="309" spans="1:12" s="24" customFormat="1">
      <c r="A309" s="53">
        <v>45939</v>
      </c>
      <c r="B309" s="54">
        <f>Table13[[#This Row],[Date]]</f>
        <v>45939</v>
      </c>
      <c r="C309" s="55" t="s">
        <v>26</v>
      </c>
      <c r="D309" s="61" t="s">
        <v>158</v>
      </c>
      <c r="E309" s="64" t="s">
        <v>21</v>
      </c>
      <c r="F309" s="55" t="s">
        <v>19</v>
      </c>
      <c r="G309" s="55">
        <v>1</v>
      </c>
      <c r="H309" s="55"/>
      <c r="I309" s="55"/>
      <c r="J309" s="55"/>
      <c r="K309" s="57"/>
      <c r="L309" s="55"/>
    </row>
    <row r="310" spans="1:12" s="24" customFormat="1">
      <c r="A310" s="53">
        <v>45939</v>
      </c>
      <c r="B310" s="54">
        <f>Table13[[#This Row],[Date]]</f>
        <v>45939</v>
      </c>
      <c r="C310" s="55" t="s">
        <v>26</v>
      </c>
      <c r="D310" s="61" t="s">
        <v>158</v>
      </c>
      <c r="E310" s="64" t="s">
        <v>49</v>
      </c>
      <c r="F310" s="55" t="s">
        <v>19</v>
      </c>
      <c r="G310" s="55">
        <v>1</v>
      </c>
      <c r="H310" s="55"/>
      <c r="I310" s="55"/>
      <c r="J310" s="55"/>
      <c r="K310" s="57"/>
      <c r="L310" s="55"/>
    </row>
    <row r="311" spans="1:12" s="24" customFormat="1">
      <c r="A311" s="53">
        <v>45939</v>
      </c>
      <c r="B311" s="54">
        <f>Table13[[#This Row],[Date]]</f>
        <v>45939</v>
      </c>
      <c r="C311" s="55" t="s">
        <v>26</v>
      </c>
      <c r="D311" s="61" t="s">
        <v>158</v>
      </c>
      <c r="E311" s="64" t="s">
        <v>41</v>
      </c>
      <c r="F311" s="55" t="s">
        <v>19</v>
      </c>
      <c r="G311" s="55">
        <v>1</v>
      </c>
      <c r="H311" s="55"/>
      <c r="I311" s="55"/>
      <c r="J311" s="55"/>
      <c r="K311" s="57"/>
      <c r="L311" s="55"/>
    </row>
    <row r="312" spans="1:12" s="24" customFormat="1">
      <c r="A312" s="53">
        <v>45940</v>
      </c>
      <c r="B312" s="54">
        <f>Table13[[#This Row],[Date]]</f>
        <v>45940</v>
      </c>
      <c r="C312" s="55" t="s">
        <v>14</v>
      </c>
      <c r="D312" s="59" t="s">
        <v>96</v>
      </c>
      <c r="E312" s="55" t="s">
        <v>18</v>
      </c>
      <c r="F312" s="55" t="s">
        <v>19</v>
      </c>
      <c r="G312" s="55">
        <v>1</v>
      </c>
      <c r="H312" s="55"/>
      <c r="I312" s="55"/>
      <c r="J312" s="55"/>
      <c r="K312" s="57"/>
      <c r="L312" s="55"/>
    </row>
    <row r="313" spans="1:12" s="24" customFormat="1">
      <c r="A313" s="53">
        <v>45940</v>
      </c>
      <c r="B313" s="54">
        <f>Table13[[#This Row],[Date]]</f>
        <v>45940</v>
      </c>
      <c r="C313" s="55" t="s">
        <v>14</v>
      </c>
      <c r="D313" s="59" t="s">
        <v>97</v>
      </c>
      <c r="E313" s="55" t="s">
        <v>18</v>
      </c>
      <c r="F313" s="55" t="s">
        <v>19</v>
      </c>
      <c r="G313" s="55">
        <v>1</v>
      </c>
      <c r="H313" s="55"/>
      <c r="I313" s="55"/>
      <c r="J313" s="55"/>
      <c r="K313" s="57"/>
      <c r="L313" s="55"/>
    </row>
    <row r="314" spans="1:12" s="24" customFormat="1">
      <c r="A314" s="53">
        <v>45940</v>
      </c>
      <c r="B314" s="54">
        <f>Table13[[#This Row],[Date]]</f>
        <v>45940</v>
      </c>
      <c r="C314" s="55" t="s">
        <v>14</v>
      </c>
      <c r="D314" s="122" t="s">
        <v>100</v>
      </c>
      <c r="E314" s="55" t="s">
        <v>18</v>
      </c>
      <c r="F314" s="55" t="s">
        <v>19</v>
      </c>
      <c r="G314" s="55">
        <v>1</v>
      </c>
      <c r="H314" s="55"/>
      <c r="I314" s="55"/>
      <c r="J314" s="55"/>
      <c r="K314" s="57"/>
      <c r="L314" s="55"/>
    </row>
    <row r="315" spans="1:12" s="24" customFormat="1">
      <c r="A315" s="53">
        <v>45940</v>
      </c>
      <c r="B315" s="54">
        <f>Table13[[#This Row],[Date]]</f>
        <v>45940</v>
      </c>
      <c r="C315" s="55" t="s">
        <v>16</v>
      </c>
      <c r="D315" s="59" t="s">
        <v>74</v>
      </c>
      <c r="E315" s="55" t="s">
        <v>42</v>
      </c>
      <c r="F315" s="55" t="s">
        <v>19</v>
      </c>
      <c r="G315" s="55">
        <v>1</v>
      </c>
      <c r="H315" s="55"/>
      <c r="I315" s="55"/>
      <c r="J315" s="55"/>
      <c r="K315" s="57"/>
      <c r="L315" s="55"/>
    </row>
    <row r="316" spans="1:12" s="24" customFormat="1">
      <c r="A316" s="53">
        <v>45940</v>
      </c>
      <c r="B316" s="54">
        <f>Table13[[#This Row],[Date]]</f>
        <v>45940</v>
      </c>
      <c r="C316" s="55" t="s">
        <v>16</v>
      </c>
      <c r="D316" s="59" t="s">
        <v>74</v>
      </c>
      <c r="E316" s="55" t="s">
        <v>47</v>
      </c>
      <c r="F316" s="55" t="s">
        <v>19</v>
      </c>
      <c r="G316" s="55">
        <v>1</v>
      </c>
      <c r="H316" s="55"/>
      <c r="I316" s="55"/>
      <c r="J316" s="55"/>
      <c r="K316" s="57"/>
      <c r="L316" s="55"/>
    </row>
    <row r="317" spans="1:12" s="24" customFormat="1">
      <c r="A317" s="53">
        <v>45940</v>
      </c>
      <c r="B317" s="54">
        <f>Table13[[#This Row],[Date]]</f>
        <v>45940</v>
      </c>
      <c r="C317" s="55" t="s">
        <v>16</v>
      </c>
      <c r="D317" s="59" t="s">
        <v>74</v>
      </c>
      <c r="E317" s="55" t="s">
        <v>53</v>
      </c>
      <c r="F317" s="55" t="s">
        <v>19</v>
      </c>
      <c r="G317" s="55">
        <v>1</v>
      </c>
      <c r="H317" s="55"/>
      <c r="I317" s="55"/>
      <c r="J317" s="55"/>
      <c r="K317" s="57"/>
      <c r="L317" s="55"/>
    </row>
    <row r="318" spans="1:12" s="24" customFormat="1">
      <c r="A318" s="53">
        <v>45940</v>
      </c>
      <c r="B318" s="54">
        <f>Table13[[#This Row],[Date]]</f>
        <v>45940</v>
      </c>
      <c r="C318" s="55" t="s">
        <v>23</v>
      </c>
      <c r="D318" s="59" t="s">
        <v>81</v>
      </c>
      <c r="E318" s="55" t="s">
        <v>18</v>
      </c>
      <c r="F318" s="55" t="s">
        <v>19</v>
      </c>
      <c r="G318" s="55">
        <v>1</v>
      </c>
      <c r="H318" s="55"/>
      <c r="I318" s="55"/>
      <c r="J318" s="55"/>
      <c r="K318" s="57"/>
      <c r="L318" s="55"/>
    </row>
    <row r="319" spans="1:12" s="24" customFormat="1">
      <c r="A319" s="53">
        <v>45940</v>
      </c>
      <c r="B319" s="54">
        <f>Table13[[#This Row],[Date]]</f>
        <v>45940</v>
      </c>
      <c r="C319" s="55" t="s">
        <v>23</v>
      </c>
      <c r="D319" s="59" t="s">
        <v>82</v>
      </c>
      <c r="E319" s="55" t="s">
        <v>21</v>
      </c>
      <c r="F319" s="55" t="s">
        <v>19</v>
      </c>
      <c r="G319" s="55">
        <v>1</v>
      </c>
      <c r="H319" s="55"/>
      <c r="I319" s="55"/>
      <c r="J319" s="55"/>
      <c r="K319" s="57"/>
      <c r="L319" s="55"/>
    </row>
    <row r="320" spans="1:12" s="24" customFormat="1">
      <c r="A320" s="53">
        <v>45940</v>
      </c>
      <c r="B320" s="54">
        <f>Table13[[#This Row],[Date]]</f>
        <v>45940</v>
      </c>
      <c r="C320" s="55" t="s">
        <v>23</v>
      </c>
      <c r="D320" s="59" t="s">
        <v>83</v>
      </c>
      <c r="E320" s="55" t="s">
        <v>18</v>
      </c>
      <c r="F320" s="55" t="s">
        <v>19</v>
      </c>
      <c r="G320" s="55">
        <v>1</v>
      </c>
      <c r="H320" s="55"/>
      <c r="I320" s="55"/>
      <c r="J320" s="55"/>
      <c r="K320" s="57"/>
      <c r="L320" s="55"/>
    </row>
    <row r="321" spans="1:12" s="24" customFormat="1">
      <c r="A321" s="19">
        <v>45940</v>
      </c>
      <c r="B321" s="20">
        <f>Table13[[#This Row],[Date]]</f>
        <v>45940</v>
      </c>
      <c r="C321" s="21" t="s">
        <v>23</v>
      </c>
      <c r="D321" s="25" t="s">
        <v>68</v>
      </c>
      <c r="E321" s="21" t="s">
        <v>47</v>
      </c>
      <c r="F321" s="21" t="s">
        <v>19</v>
      </c>
      <c r="G321" s="21">
        <v>1</v>
      </c>
      <c r="H321" s="21"/>
      <c r="I321" s="21"/>
      <c r="J321" s="21"/>
      <c r="K321" s="23"/>
      <c r="L321" s="21"/>
    </row>
    <row r="322" spans="1:12" s="24" customFormat="1">
      <c r="A322" s="53">
        <v>45940</v>
      </c>
      <c r="B322" s="54">
        <f>Table13[[#This Row],[Date]]</f>
        <v>45940</v>
      </c>
      <c r="C322" s="55" t="s">
        <v>26</v>
      </c>
      <c r="D322" s="61" t="s">
        <v>159</v>
      </c>
      <c r="E322" s="64" t="s">
        <v>18</v>
      </c>
      <c r="F322" s="55" t="s">
        <v>19</v>
      </c>
      <c r="G322" s="55">
        <v>1</v>
      </c>
      <c r="H322" s="55"/>
      <c r="I322" s="55"/>
      <c r="J322" s="55"/>
      <c r="K322" s="57"/>
      <c r="L322" s="55"/>
    </row>
    <row r="323" spans="1:12" s="24" customFormat="1">
      <c r="A323" s="53">
        <v>45940</v>
      </c>
      <c r="B323" s="54">
        <f>Table13[[#This Row],[Date]]</f>
        <v>45940</v>
      </c>
      <c r="C323" s="55" t="s">
        <v>26</v>
      </c>
      <c r="D323" s="61" t="s">
        <v>159</v>
      </c>
      <c r="E323" s="64" t="s">
        <v>21</v>
      </c>
      <c r="F323" s="55" t="s">
        <v>19</v>
      </c>
      <c r="G323" s="55">
        <v>1</v>
      </c>
      <c r="H323" s="55"/>
      <c r="I323" s="55"/>
      <c r="J323" s="55"/>
      <c r="K323" s="57"/>
      <c r="L323" s="55"/>
    </row>
    <row r="324" spans="1:12" s="24" customFormat="1">
      <c r="A324" s="53">
        <v>45940</v>
      </c>
      <c r="B324" s="54">
        <f>Table13[[#This Row],[Date]]</f>
        <v>45940</v>
      </c>
      <c r="C324" s="55" t="s">
        <v>26</v>
      </c>
      <c r="D324" s="61" t="s">
        <v>160</v>
      </c>
      <c r="E324" s="55" t="s">
        <v>18</v>
      </c>
      <c r="F324" s="55" t="s">
        <v>19</v>
      </c>
      <c r="G324" s="55">
        <v>1</v>
      </c>
      <c r="H324" s="55"/>
      <c r="I324" s="55"/>
      <c r="J324" s="55"/>
      <c r="K324" s="57"/>
      <c r="L324" s="55"/>
    </row>
    <row r="325" spans="1:12" s="24" customFormat="1">
      <c r="A325" s="53">
        <v>45940</v>
      </c>
      <c r="B325" s="54">
        <f>Table13[[#This Row],[Date]]</f>
        <v>45940</v>
      </c>
      <c r="C325" s="55" t="s">
        <v>26</v>
      </c>
      <c r="D325" s="61" t="s">
        <v>160</v>
      </c>
      <c r="E325" s="55" t="s">
        <v>21</v>
      </c>
      <c r="F325" s="55" t="s">
        <v>19</v>
      </c>
      <c r="G325" s="55">
        <v>1</v>
      </c>
      <c r="H325" s="55"/>
      <c r="I325" s="55"/>
      <c r="J325" s="55"/>
      <c r="K325" s="57"/>
      <c r="L325" s="55"/>
    </row>
    <row r="326" spans="1:12" s="24" customFormat="1">
      <c r="A326" s="16">
        <v>45941</v>
      </c>
      <c r="B326" s="18">
        <f>Table13[[#This Row],[Date]]</f>
        <v>45941</v>
      </c>
      <c r="C326" s="10" t="s">
        <v>14</v>
      </c>
      <c r="D326" s="9" t="s">
        <v>56</v>
      </c>
      <c r="E326" s="10" t="s">
        <v>18</v>
      </c>
      <c r="F326" s="10" t="s">
        <v>19</v>
      </c>
      <c r="G326" s="10">
        <v>1</v>
      </c>
      <c r="H326" s="10"/>
      <c r="I326" s="10"/>
      <c r="J326" s="10"/>
      <c r="K326" s="13"/>
      <c r="L326" s="10"/>
    </row>
    <row r="327" spans="1:12" s="24" customFormat="1">
      <c r="A327" s="16">
        <v>45941</v>
      </c>
      <c r="B327" s="18">
        <f>Table13[[#This Row],[Date]]</f>
        <v>45941</v>
      </c>
      <c r="C327" s="10" t="s">
        <v>14</v>
      </c>
      <c r="D327" s="9" t="s">
        <v>57</v>
      </c>
      <c r="E327" s="10" t="s">
        <v>18</v>
      </c>
      <c r="F327" s="10" t="s">
        <v>19</v>
      </c>
      <c r="G327" s="10">
        <v>1</v>
      </c>
      <c r="H327" s="10"/>
      <c r="I327" s="10"/>
      <c r="J327" s="10"/>
      <c r="K327" s="13"/>
      <c r="L327" s="10"/>
    </row>
    <row r="328" spans="1:12" s="24" customFormat="1">
      <c r="A328" s="16">
        <v>45941</v>
      </c>
      <c r="B328" s="18">
        <f>Table13[[#This Row],[Date]]</f>
        <v>45941</v>
      </c>
      <c r="C328" s="10" t="s">
        <v>23</v>
      </c>
      <c r="D328" s="9" t="s">
        <v>86</v>
      </c>
      <c r="E328" s="10" t="s">
        <v>18</v>
      </c>
      <c r="F328" s="10" t="s">
        <v>19</v>
      </c>
      <c r="G328" s="10">
        <v>1</v>
      </c>
      <c r="H328" s="10"/>
      <c r="I328" s="10"/>
      <c r="J328" s="10"/>
      <c r="K328" s="13"/>
      <c r="L328" s="10"/>
    </row>
    <row r="329" spans="1:12" s="24" customFormat="1">
      <c r="A329" s="16">
        <v>45941</v>
      </c>
      <c r="B329" s="18">
        <f>Table13[[#This Row],[Date]]</f>
        <v>45941</v>
      </c>
      <c r="C329" s="10" t="s">
        <v>23</v>
      </c>
      <c r="D329" s="9" t="s">
        <v>86</v>
      </c>
      <c r="E329" s="10" t="s">
        <v>21</v>
      </c>
      <c r="F329" s="10" t="s">
        <v>19</v>
      </c>
      <c r="G329" s="10">
        <v>1</v>
      </c>
      <c r="H329" s="10"/>
      <c r="I329" s="10"/>
      <c r="J329" s="10"/>
      <c r="K329" s="13"/>
      <c r="L329" s="10"/>
    </row>
    <row r="330" spans="1:12" s="24" customFormat="1">
      <c r="A330" s="16">
        <v>45941</v>
      </c>
      <c r="B330" s="18">
        <f>Table13[[#This Row],[Date]]</f>
        <v>45941</v>
      </c>
      <c r="C330" s="10" t="s">
        <v>23</v>
      </c>
      <c r="D330" s="9" t="s">
        <v>86</v>
      </c>
      <c r="E330" s="10" t="s">
        <v>49</v>
      </c>
      <c r="F330" s="10" t="s">
        <v>19</v>
      </c>
      <c r="G330" s="10">
        <v>1</v>
      </c>
      <c r="H330" s="10"/>
      <c r="I330" s="10"/>
      <c r="J330" s="10"/>
      <c r="K330" s="13"/>
      <c r="L330" s="10"/>
    </row>
    <row r="331" spans="1:12" s="24" customFormat="1">
      <c r="A331" s="16">
        <v>45941</v>
      </c>
      <c r="B331" s="18">
        <f>Table13[[#This Row],[Date]]</f>
        <v>45941</v>
      </c>
      <c r="C331" s="10" t="s">
        <v>4</v>
      </c>
      <c r="D331" s="9" t="s">
        <v>58</v>
      </c>
      <c r="E331" s="10" t="s">
        <v>59</v>
      </c>
      <c r="F331" s="10" t="s">
        <v>60</v>
      </c>
      <c r="G331" s="10">
        <v>1</v>
      </c>
      <c r="H331" s="10"/>
      <c r="I331" s="10"/>
      <c r="J331" s="10"/>
      <c r="K331" s="13"/>
      <c r="L331" s="10"/>
    </row>
    <row r="332" spans="1:12" s="24" customFormat="1">
      <c r="A332" s="16">
        <v>45941</v>
      </c>
      <c r="B332" s="18">
        <f>Table13[[#This Row],[Date]]</f>
        <v>45941</v>
      </c>
      <c r="C332" s="10" t="s">
        <v>4</v>
      </c>
      <c r="D332" s="9" t="s">
        <v>58</v>
      </c>
      <c r="E332" s="10" t="s">
        <v>61</v>
      </c>
      <c r="F332" s="10" t="s">
        <v>60</v>
      </c>
      <c r="G332" s="10">
        <v>1</v>
      </c>
      <c r="H332" s="10"/>
      <c r="I332" s="10"/>
      <c r="J332" s="10"/>
      <c r="K332" s="13"/>
      <c r="L332" s="10"/>
    </row>
    <row r="333" spans="1:12" s="24" customFormat="1">
      <c r="A333" s="16">
        <v>45941</v>
      </c>
      <c r="B333" s="18">
        <f>Table13[[#This Row],[Date]]</f>
        <v>45941</v>
      </c>
      <c r="C333" s="10" t="s">
        <v>4</v>
      </c>
      <c r="D333" s="11" t="s">
        <v>87</v>
      </c>
      <c r="E333" s="10" t="s">
        <v>88</v>
      </c>
      <c r="F333" s="10" t="s">
        <v>19</v>
      </c>
      <c r="G333" s="10">
        <v>1</v>
      </c>
      <c r="H333" s="10"/>
      <c r="I333" s="10"/>
      <c r="J333" s="10"/>
      <c r="K333" s="13"/>
      <c r="L333" s="10"/>
    </row>
    <row r="334" spans="1:12" s="24" customFormat="1">
      <c r="A334" s="16">
        <v>45941</v>
      </c>
      <c r="B334" s="18">
        <f>Table13[[#This Row],[Date]]</f>
        <v>45941</v>
      </c>
      <c r="C334" s="10" t="s">
        <v>4</v>
      </c>
      <c r="D334" s="11" t="s">
        <v>87</v>
      </c>
      <c r="E334" s="10" t="s">
        <v>89</v>
      </c>
      <c r="F334" s="10" t="s">
        <v>19</v>
      </c>
      <c r="G334" s="10">
        <v>1</v>
      </c>
      <c r="H334" s="10"/>
      <c r="I334" s="10"/>
      <c r="J334" s="10"/>
      <c r="K334" s="13"/>
      <c r="L334" s="10"/>
    </row>
    <row r="335" spans="1:12" s="24" customFormat="1">
      <c r="A335" s="16">
        <v>45941</v>
      </c>
      <c r="B335" s="18">
        <f>Table13[[#This Row],[Date]]</f>
        <v>45941</v>
      </c>
      <c r="C335" s="10" t="s">
        <v>4</v>
      </c>
      <c r="D335" s="11" t="s">
        <v>87</v>
      </c>
      <c r="E335" s="10" t="s">
        <v>90</v>
      </c>
      <c r="F335" s="10" t="s">
        <v>19</v>
      </c>
      <c r="G335" s="10">
        <v>1</v>
      </c>
      <c r="H335" s="10"/>
      <c r="I335" s="10"/>
      <c r="J335" s="10"/>
      <c r="K335" s="13"/>
      <c r="L335" s="10"/>
    </row>
    <row r="336" spans="1:12" s="24" customFormat="1">
      <c r="A336" s="16">
        <v>45941</v>
      </c>
      <c r="B336" s="18">
        <f>Table13[[#This Row],[Date]]</f>
        <v>45941</v>
      </c>
      <c r="C336" s="10" t="s">
        <v>4</v>
      </c>
      <c r="D336" s="11" t="s">
        <v>87</v>
      </c>
      <c r="E336" s="10" t="s">
        <v>91</v>
      </c>
      <c r="F336" s="10" t="s">
        <v>19</v>
      </c>
      <c r="G336" s="10">
        <v>1</v>
      </c>
      <c r="H336" s="10"/>
      <c r="I336" s="10"/>
      <c r="J336" s="10"/>
      <c r="K336" s="13"/>
      <c r="L336" s="10"/>
    </row>
    <row r="337" spans="1:12" s="24" customFormat="1" ht="28.9">
      <c r="A337" s="16">
        <v>45942</v>
      </c>
      <c r="B337" s="18">
        <f>Table13[[#This Row],[Date]]</f>
        <v>45942</v>
      </c>
      <c r="C337" s="10" t="s">
        <v>16</v>
      </c>
      <c r="D337" s="9" t="s">
        <v>62</v>
      </c>
      <c r="E337" s="10" t="s">
        <v>18</v>
      </c>
      <c r="F337" s="10" t="s">
        <v>19</v>
      </c>
      <c r="G337" s="10">
        <v>1</v>
      </c>
      <c r="H337" s="10"/>
      <c r="I337" s="10"/>
      <c r="J337" s="10"/>
      <c r="K337" s="13"/>
      <c r="L337" s="10"/>
    </row>
    <row r="338" spans="1:12" s="24" customFormat="1">
      <c r="A338" s="16">
        <v>45942</v>
      </c>
      <c r="B338" s="18">
        <f>Table13[[#This Row],[Date]]</f>
        <v>45942</v>
      </c>
      <c r="C338" s="10" t="s">
        <v>16</v>
      </c>
      <c r="D338" s="9" t="s">
        <v>63</v>
      </c>
      <c r="E338" s="10" t="s">
        <v>18</v>
      </c>
      <c r="F338" s="10" t="s">
        <v>19</v>
      </c>
      <c r="G338" s="10">
        <v>1</v>
      </c>
      <c r="H338" s="10"/>
      <c r="I338" s="10"/>
      <c r="J338" s="10"/>
      <c r="K338" s="13"/>
      <c r="L338" s="10"/>
    </row>
    <row r="339" spans="1:12" s="24" customFormat="1">
      <c r="A339" s="16">
        <v>45942</v>
      </c>
      <c r="B339" s="18">
        <f>Table13[[#This Row],[Date]]</f>
        <v>45942</v>
      </c>
      <c r="C339" s="10" t="s">
        <v>23</v>
      </c>
      <c r="D339" s="9" t="s">
        <v>68</v>
      </c>
      <c r="E339" s="8" t="s">
        <v>18</v>
      </c>
      <c r="F339" s="10" t="s">
        <v>19</v>
      </c>
      <c r="G339" s="10">
        <v>1</v>
      </c>
      <c r="H339" s="10"/>
      <c r="I339" s="10"/>
      <c r="J339" s="10"/>
      <c r="K339" s="13"/>
      <c r="L339" s="10"/>
    </row>
    <row r="340" spans="1:12" s="24" customFormat="1">
      <c r="A340" s="16">
        <v>45942</v>
      </c>
      <c r="B340" s="18">
        <f>Table13[[#This Row],[Date]]</f>
        <v>45942</v>
      </c>
      <c r="C340" s="10" t="s">
        <v>23</v>
      </c>
      <c r="D340" s="9" t="s">
        <v>68</v>
      </c>
      <c r="E340" s="8" t="s">
        <v>21</v>
      </c>
      <c r="F340" s="10" t="s">
        <v>19</v>
      </c>
      <c r="G340" s="10">
        <v>1</v>
      </c>
      <c r="H340" s="10"/>
      <c r="I340" s="10"/>
      <c r="J340" s="10"/>
      <c r="K340" s="13"/>
      <c r="L340" s="10"/>
    </row>
    <row r="341" spans="1:12" s="24" customFormat="1">
      <c r="A341" s="16">
        <v>45942</v>
      </c>
      <c r="B341" s="18">
        <f>Table13[[#This Row],[Date]]</f>
        <v>45942</v>
      </c>
      <c r="C341" s="10" t="s">
        <v>23</v>
      </c>
      <c r="D341" s="9" t="s">
        <v>68</v>
      </c>
      <c r="E341" s="8" t="s">
        <v>49</v>
      </c>
      <c r="F341" s="10" t="s">
        <v>19</v>
      </c>
      <c r="G341" s="10">
        <v>1</v>
      </c>
      <c r="H341" s="10"/>
      <c r="I341" s="10"/>
      <c r="J341" s="10"/>
      <c r="K341" s="13"/>
      <c r="L341" s="10"/>
    </row>
    <row r="342" spans="1:12" s="24" customFormat="1">
      <c r="A342" s="16">
        <v>45942</v>
      </c>
      <c r="B342" s="18">
        <f>Table13[[#This Row],[Date]]</f>
        <v>45942</v>
      </c>
      <c r="C342" s="10" t="s">
        <v>23</v>
      </c>
      <c r="D342" s="9" t="s">
        <v>68</v>
      </c>
      <c r="E342" s="8" t="s">
        <v>41</v>
      </c>
      <c r="F342" s="10" t="s">
        <v>19</v>
      </c>
      <c r="G342" s="10">
        <v>1</v>
      </c>
      <c r="H342" s="10"/>
      <c r="I342" s="10"/>
      <c r="J342" s="10"/>
      <c r="K342" s="13"/>
      <c r="L342" s="10"/>
    </row>
    <row r="343" spans="1:12" s="24" customFormat="1">
      <c r="A343" s="16">
        <v>45942</v>
      </c>
      <c r="B343" s="18">
        <f>Table13[[#This Row],[Date]]</f>
        <v>45942</v>
      </c>
      <c r="C343" s="10" t="s">
        <v>4</v>
      </c>
      <c r="D343" s="9" t="s">
        <v>92</v>
      </c>
      <c r="E343" s="10" t="s">
        <v>93</v>
      </c>
      <c r="F343" s="10" t="s">
        <v>19</v>
      </c>
      <c r="G343" s="10">
        <v>1</v>
      </c>
      <c r="H343" s="10"/>
      <c r="I343" s="10"/>
      <c r="J343" s="10"/>
      <c r="K343" s="13"/>
      <c r="L343" s="10"/>
    </row>
    <row r="344" spans="1:12" s="24" customFormat="1">
      <c r="A344" s="16">
        <v>45942</v>
      </c>
      <c r="B344" s="18">
        <f>Table13[[#This Row],[Date]]</f>
        <v>45942</v>
      </c>
      <c r="C344" s="10" t="s">
        <v>4</v>
      </c>
      <c r="D344" s="9" t="s">
        <v>92</v>
      </c>
      <c r="E344" s="10" t="s">
        <v>94</v>
      </c>
      <c r="F344" s="10" t="s">
        <v>19</v>
      </c>
      <c r="G344" s="10">
        <v>1</v>
      </c>
      <c r="H344" s="10"/>
      <c r="I344" s="10"/>
      <c r="J344" s="10"/>
      <c r="K344" s="13"/>
      <c r="L344" s="10"/>
    </row>
    <row r="345" spans="1:12" s="24" customFormat="1">
      <c r="A345" s="16">
        <v>45942</v>
      </c>
      <c r="B345" s="18">
        <f>Table13[[#This Row],[Date]]</f>
        <v>45942</v>
      </c>
      <c r="C345" s="10" t="s">
        <v>4</v>
      </c>
      <c r="D345" s="9" t="s">
        <v>92</v>
      </c>
      <c r="E345" s="10" t="s">
        <v>95</v>
      </c>
      <c r="F345" s="10" t="s">
        <v>19</v>
      </c>
      <c r="G345" s="10">
        <v>1</v>
      </c>
      <c r="H345" s="10"/>
      <c r="I345" s="10"/>
      <c r="J345" s="10"/>
      <c r="K345" s="13"/>
      <c r="L345" s="10"/>
    </row>
    <row r="346" spans="1:12" s="24" customFormat="1">
      <c r="A346" s="53">
        <v>45943</v>
      </c>
      <c r="B346" s="54">
        <f>Table13[[#This Row],[Date]]</f>
        <v>45943</v>
      </c>
      <c r="C346" s="55" t="s">
        <v>14</v>
      </c>
      <c r="D346" s="61" t="s">
        <v>161</v>
      </c>
      <c r="E346" s="55" t="s">
        <v>18</v>
      </c>
      <c r="F346" s="55" t="s">
        <v>19</v>
      </c>
      <c r="G346" s="55">
        <v>1</v>
      </c>
      <c r="H346" s="55"/>
      <c r="I346" s="55"/>
      <c r="J346" s="55"/>
      <c r="K346" s="57"/>
      <c r="L346" s="55"/>
    </row>
    <row r="347" spans="1:12" s="24" customFormat="1">
      <c r="A347" s="53">
        <v>45943</v>
      </c>
      <c r="B347" s="54">
        <f>Table13[[#This Row],[Date]]</f>
        <v>45943</v>
      </c>
      <c r="C347" s="55" t="s">
        <v>14</v>
      </c>
      <c r="D347" s="61" t="s">
        <v>162</v>
      </c>
      <c r="E347" s="55" t="s">
        <v>18</v>
      </c>
      <c r="F347" s="55" t="s">
        <v>99</v>
      </c>
      <c r="G347" s="55">
        <v>1</v>
      </c>
      <c r="H347" s="55"/>
      <c r="I347" s="55"/>
      <c r="J347" s="55"/>
      <c r="K347" s="57"/>
      <c r="L347" s="55"/>
    </row>
    <row r="348" spans="1:12" s="24" customFormat="1">
      <c r="A348" s="53">
        <v>45943</v>
      </c>
      <c r="B348" s="54">
        <f>Table13[[#This Row],[Date]]</f>
        <v>45943</v>
      </c>
      <c r="C348" s="55" t="s">
        <v>16</v>
      </c>
      <c r="D348" s="59" t="s">
        <v>101</v>
      </c>
      <c r="E348" s="64" t="s">
        <v>18</v>
      </c>
      <c r="F348" s="55" t="s">
        <v>19</v>
      </c>
      <c r="G348" s="55">
        <v>1</v>
      </c>
      <c r="H348" s="55"/>
      <c r="I348" s="55"/>
      <c r="J348" s="55"/>
      <c r="K348" s="57"/>
      <c r="L348" s="55"/>
    </row>
    <row r="349" spans="1:12" s="24" customFormat="1">
      <c r="A349" s="53">
        <v>45943</v>
      </c>
      <c r="B349" s="54">
        <f>Table13[[#This Row],[Date]]</f>
        <v>45943</v>
      </c>
      <c r="C349" s="55" t="s">
        <v>16</v>
      </c>
      <c r="D349" s="59" t="s">
        <v>101</v>
      </c>
      <c r="E349" s="64" t="s">
        <v>21</v>
      </c>
      <c r="F349" s="55" t="s">
        <v>19</v>
      </c>
      <c r="G349" s="55">
        <v>1</v>
      </c>
      <c r="H349" s="55"/>
      <c r="I349" s="55"/>
      <c r="J349" s="55"/>
      <c r="K349" s="57"/>
      <c r="L349" s="55"/>
    </row>
    <row r="350" spans="1:12" s="24" customFormat="1">
      <c r="A350" s="53">
        <v>45943</v>
      </c>
      <c r="B350" s="54">
        <f>Table13[[#This Row],[Date]]</f>
        <v>45943</v>
      </c>
      <c r="C350" s="55" t="s">
        <v>16</v>
      </c>
      <c r="D350" s="59" t="s">
        <v>101</v>
      </c>
      <c r="E350" s="55" t="s">
        <v>47</v>
      </c>
      <c r="F350" s="55" t="s">
        <v>19</v>
      </c>
      <c r="G350" s="55">
        <v>1</v>
      </c>
      <c r="H350" s="55"/>
      <c r="I350" s="55"/>
      <c r="J350" s="55"/>
      <c r="K350" s="57"/>
      <c r="L350" s="55"/>
    </row>
    <row r="351" spans="1:12" s="24" customFormat="1">
      <c r="A351" s="53">
        <v>45943</v>
      </c>
      <c r="B351" s="54">
        <f>Table13[[#This Row],[Date]]</f>
        <v>45943</v>
      </c>
      <c r="C351" s="55" t="s">
        <v>23</v>
      </c>
      <c r="D351" s="61" t="s">
        <v>163</v>
      </c>
      <c r="E351" s="55" t="s">
        <v>18</v>
      </c>
      <c r="F351" s="55" t="s">
        <v>99</v>
      </c>
      <c r="G351" s="55">
        <v>1</v>
      </c>
      <c r="H351" s="55"/>
      <c r="I351" s="55"/>
      <c r="J351" s="55"/>
      <c r="K351" s="57"/>
      <c r="L351" s="55"/>
    </row>
    <row r="352" spans="1:12" s="24" customFormat="1">
      <c r="A352" s="53">
        <v>45943</v>
      </c>
      <c r="B352" s="54">
        <f>Table13[[#This Row],[Date]]</f>
        <v>45943</v>
      </c>
      <c r="C352" s="55" t="s">
        <v>23</v>
      </c>
      <c r="D352" s="61" t="s">
        <v>164</v>
      </c>
      <c r="E352" s="55" t="s">
        <v>18</v>
      </c>
      <c r="F352" s="55" t="s">
        <v>99</v>
      </c>
      <c r="G352" s="55">
        <v>1</v>
      </c>
      <c r="H352" s="55"/>
      <c r="I352" s="55"/>
      <c r="J352" s="55"/>
      <c r="K352" s="57"/>
      <c r="L352" s="55"/>
    </row>
    <row r="353" spans="1:12" s="24" customFormat="1">
      <c r="A353" s="53">
        <v>45943</v>
      </c>
      <c r="B353" s="54">
        <f>Table13[[#This Row],[Date]]</f>
        <v>45943</v>
      </c>
      <c r="C353" s="55" t="s">
        <v>26</v>
      </c>
      <c r="D353" s="61" t="s">
        <v>165</v>
      </c>
      <c r="E353" s="55" t="s">
        <v>18</v>
      </c>
      <c r="F353" s="55" t="s">
        <v>19</v>
      </c>
      <c r="G353" s="55">
        <v>1</v>
      </c>
      <c r="H353" s="55"/>
      <c r="I353" s="55"/>
      <c r="J353" s="55"/>
      <c r="K353" s="57"/>
      <c r="L353" s="55"/>
    </row>
    <row r="354" spans="1:12" s="24" customFormat="1">
      <c r="A354" s="53">
        <v>45943</v>
      </c>
      <c r="B354" s="54">
        <f>Table13[[#This Row],[Date]]</f>
        <v>45943</v>
      </c>
      <c r="C354" s="55" t="s">
        <v>26</v>
      </c>
      <c r="D354" s="61" t="s">
        <v>165</v>
      </c>
      <c r="E354" s="55" t="s">
        <v>21</v>
      </c>
      <c r="F354" s="55" t="s">
        <v>19</v>
      </c>
      <c r="G354" s="55">
        <v>1</v>
      </c>
      <c r="H354" s="55"/>
      <c r="I354" s="55"/>
      <c r="J354" s="55"/>
      <c r="K354" s="57"/>
      <c r="L354" s="55"/>
    </row>
    <row r="355" spans="1:12" s="24" customFormat="1">
      <c r="A355" s="53">
        <v>45943</v>
      </c>
      <c r="B355" s="54">
        <f>Table13[[#This Row],[Date]]</f>
        <v>45943</v>
      </c>
      <c r="C355" s="55" t="s">
        <v>26</v>
      </c>
      <c r="D355" s="61" t="s">
        <v>166</v>
      </c>
      <c r="E355" s="55" t="s">
        <v>18</v>
      </c>
      <c r="F355" s="55" t="s">
        <v>19</v>
      </c>
      <c r="G355" s="55">
        <v>1</v>
      </c>
      <c r="H355" s="55"/>
      <c r="I355" s="55"/>
      <c r="J355" s="55"/>
      <c r="K355" s="57"/>
      <c r="L355" s="55"/>
    </row>
    <row r="356" spans="1:12" s="24" customFormat="1">
      <c r="A356" s="53">
        <v>45943</v>
      </c>
      <c r="B356" s="54">
        <f>Table13[[#This Row],[Date]]</f>
        <v>45943</v>
      </c>
      <c r="C356" s="55" t="s">
        <v>26</v>
      </c>
      <c r="D356" s="61" t="s">
        <v>166</v>
      </c>
      <c r="E356" s="55" t="s">
        <v>21</v>
      </c>
      <c r="F356" s="55" t="s">
        <v>19</v>
      </c>
      <c r="G356" s="55">
        <v>1</v>
      </c>
      <c r="H356" s="55"/>
      <c r="I356" s="55"/>
      <c r="J356" s="55"/>
      <c r="K356" s="57"/>
      <c r="L356" s="55"/>
    </row>
    <row r="357" spans="1:12" s="24" customFormat="1">
      <c r="A357" s="53">
        <v>45944</v>
      </c>
      <c r="B357" s="54">
        <f>Table13[[#This Row],[Date]]</f>
        <v>45944</v>
      </c>
      <c r="C357" s="55" t="s">
        <v>14</v>
      </c>
      <c r="D357" s="59" t="s">
        <v>104</v>
      </c>
      <c r="E357" s="55" t="s">
        <v>59</v>
      </c>
      <c r="F357" s="55" t="s">
        <v>60</v>
      </c>
      <c r="G357" s="55">
        <v>1</v>
      </c>
      <c r="H357" s="55"/>
      <c r="I357" s="55"/>
      <c r="J357" s="55"/>
      <c r="K357" s="57"/>
      <c r="L357" s="55"/>
    </row>
    <row r="358" spans="1:12" s="24" customFormat="1">
      <c r="A358" s="53">
        <v>45944</v>
      </c>
      <c r="B358" s="54">
        <f>Table13[[#This Row],[Date]]</f>
        <v>45944</v>
      </c>
      <c r="C358" s="55" t="s">
        <v>14</v>
      </c>
      <c r="D358" s="59" t="s">
        <v>104</v>
      </c>
      <c r="E358" s="55" t="s">
        <v>61</v>
      </c>
      <c r="F358" s="55" t="s">
        <v>60</v>
      </c>
      <c r="G358" s="55">
        <v>1</v>
      </c>
      <c r="H358" s="55"/>
      <c r="I358" s="55"/>
      <c r="J358" s="55"/>
      <c r="K358" s="57"/>
      <c r="L358" s="55"/>
    </row>
    <row r="359" spans="1:12" s="24" customFormat="1">
      <c r="A359" s="129">
        <v>45944</v>
      </c>
      <c r="B359" s="93">
        <f>Table13[[#This Row],[Date]]</f>
        <v>45944</v>
      </c>
      <c r="C359" s="94" t="s">
        <v>14</v>
      </c>
      <c r="D359" s="130" t="s">
        <v>159</v>
      </c>
      <c r="E359" s="94" t="s">
        <v>18</v>
      </c>
      <c r="F359" s="94" t="s">
        <v>19</v>
      </c>
      <c r="G359" s="94">
        <v>1</v>
      </c>
      <c r="H359" s="94"/>
      <c r="I359" s="94"/>
      <c r="J359" s="94"/>
      <c r="K359" s="95" t="s">
        <v>167</v>
      </c>
      <c r="L359" s="94"/>
    </row>
    <row r="360" spans="1:12" s="24" customFormat="1">
      <c r="A360" s="48">
        <v>45944</v>
      </c>
      <c r="B360" s="49">
        <f>Table13[[#This Row],[Date]]</f>
        <v>45944</v>
      </c>
      <c r="C360" s="50" t="s">
        <v>4</v>
      </c>
      <c r="D360" s="51" t="s">
        <v>32</v>
      </c>
      <c r="E360" s="50"/>
      <c r="F360" s="50"/>
      <c r="G360" s="50"/>
      <c r="H360" s="50"/>
      <c r="I360" s="50"/>
      <c r="J360" s="50"/>
      <c r="K360" s="52"/>
      <c r="L360" s="50"/>
    </row>
    <row r="361" spans="1:12" s="24" customFormat="1">
      <c r="A361" s="129">
        <v>45945</v>
      </c>
      <c r="B361" s="93">
        <f>Table13[[#This Row],[Date]]</f>
        <v>45945</v>
      </c>
      <c r="C361" s="94" t="s">
        <v>14</v>
      </c>
      <c r="D361" s="130" t="s">
        <v>55</v>
      </c>
      <c r="E361" s="94" t="s">
        <v>18</v>
      </c>
      <c r="F361" s="94" t="s">
        <v>19</v>
      </c>
      <c r="G361" s="94">
        <v>1</v>
      </c>
      <c r="H361" s="94"/>
      <c r="I361" s="94"/>
      <c r="J361" s="94"/>
      <c r="K361" s="95" t="s">
        <v>167</v>
      </c>
      <c r="L361" s="94"/>
    </row>
    <row r="362" spans="1:12" s="24" customFormat="1">
      <c r="A362" s="129">
        <v>45945</v>
      </c>
      <c r="B362" s="93">
        <f>Table13[[#This Row],[Date]]</f>
        <v>45945</v>
      </c>
      <c r="C362" s="94" t="s">
        <v>14</v>
      </c>
      <c r="D362" s="130" t="s">
        <v>55</v>
      </c>
      <c r="E362" s="94" t="s">
        <v>21</v>
      </c>
      <c r="F362" s="94" t="s">
        <v>19</v>
      </c>
      <c r="G362" s="94">
        <v>1</v>
      </c>
      <c r="H362" s="94"/>
      <c r="I362" s="94"/>
      <c r="J362" s="94"/>
      <c r="K362" s="95" t="s">
        <v>167</v>
      </c>
      <c r="L362" s="94"/>
    </row>
    <row r="363" spans="1:12" s="24" customFormat="1">
      <c r="A363" s="53">
        <v>45945</v>
      </c>
      <c r="B363" s="54">
        <f>Table13[[#This Row],[Date]]</f>
        <v>45945</v>
      </c>
      <c r="C363" s="55" t="s">
        <v>16</v>
      </c>
      <c r="D363" s="59" t="s">
        <v>105</v>
      </c>
      <c r="E363" s="77" t="s">
        <v>18</v>
      </c>
      <c r="F363" s="55" t="s">
        <v>19</v>
      </c>
      <c r="G363" s="55">
        <v>1</v>
      </c>
      <c r="H363" s="55"/>
      <c r="I363" s="55"/>
      <c r="J363" s="55"/>
      <c r="K363" s="57"/>
      <c r="L363" s="55"/>
    </row>
    <row r="364" spans="1:12" s="24" customFormat="1">
      <c r="A364" s="53">
        <v>45945</v>
      </c>
      <c r="B364" s="54">
        <f>Table13[[#This Row],[Date]]</f>
        <v>45945</v>
      </c>
      <c r="C364" s="55" t="s">
        <v>16</v>
      </c>
      <c r="D364" s="59" t="s">
        <v>105</v>
      </c>
      <c r="E364" s="77" t="s">
        <v>21</v>
      </c>
      <c r="F364" s="55" t="s">
        <v>19</v>
      </c>
      <c r="G364" s="55">
        <v>1</v>
      </c>
      <c r="H364" s="55"/>
      <c r="I364" s="55"/>
      <c r="J364" s="55"/>
      <c r="K364" s="57"/>
      <c r="L364" s="55"/>
    </row>
    <row r="365" spans="1:12" s="24" customFormat="1">
      <c r="A365" s="53">
        <v>45945</v>
      </c>
      <c r="B365" s="54">
        <f>Table13[[#This Row],[Date]]</f>
        <v>45945</v>
      </c>
      <c r="C365" s="55" t="s">
        <v>16</v>
      </c>
      <c r="D365" s="59" t="s">
        <v>105</v>
      </c>
      <c r="E365" s="77" t="s">
        <v>49</v>
      </c>
      <c r="F365" s="55" t="s">
        <v>19</v>
      </c>
      <c r="G365" s="55">
        <v>1</v>
      </c>
      <c r="H365" s="55"/>
      <c r="I365" s="55"/>
      <c r="J365" s="55"/>
      <c r="K365" s="57"/>
      <c r="L365" s="55"/>
    </row>
    <row r="366" spans="1:12" s="24" customFormat="1">
      <c r="A366" s="53">
        <v>45945</v>
      </c>
      <c r="B366" s="54">
        <f>Table13[[#This Row],[Date]]</f>
        <v>45945</v>
      </c>
      <c r="C366" s="55" t="s">
        <v>23</v>
      </c>
      <c r="D366" s="61" t="s">
        <v>106</v>
      </c>
      <c r="E366" s="64" t="s">
        <v>28</v>
      </c>
      <c r="F366" s="55" t="s">
        <v>19</v>
      </c>
      <c r="G366" s="55">
        <v>1</v>
      </c>
      <c r="H366" s="55"/>
      <c r="I366" s="55"/>
      <c r="J366" s="55"/>
      <c r="K366" s="57"/>
      <c r="L366" s="55"/>
    </row>
    <row r="367" spans="1:12" s="24" customFormat="1">
      <c r="A367" s="53">
        <v>45945</v>
      </c>
      <c r="B367" s="54">
        <f>Table13[[#This Row],[Date]]</f>
        <v>45945</v>
      </c>
      <c r="C367" s="55" t="s">
        <v>23</v>
      </c>
      <c r="D367" s="61" t="s">
        <v>106</v>
      </c>
      <c r="E367" s="55" t="s">
        <v>107</v>
      </c>
      <c r="F367" s="55" t="s">
        <v>19</v>
      </c>
      <c r="G367" s="55">
        <v>1</v>
      </c>
      <c r="H367" s="55"/>
      <c r="I367" s="55"/>
      <c r="J367" s="55"/>
      <c r="K367" s="57"/>
      <c r="L367" s="55"/>
    </row>
    <row r="368" spans="1:12" s="24" customFormat="1">
      <c r="A368" s="53">
        <v>45945</v>
      </c>
      <c r="B368" s="54">
        <f>Table13[[#This Row],[Date]]</f>
        <v>45945</v>
      </c>
      <c r="C368" s="55" t="s">
        <v>23</v>
      </c>
      <c r="D368" s="61" t="s">
        <v>106</v>
      </c>
      <c r="E368" s="64" t="s">
        <v>41</v>
      </c>
      <c r="F368" s="55" t="s">
        <v>19</v>
      </c>
      <c r="G368" s="55">
        <v>1</v>
      </c>
      <c r="H368" s="55"/>
      <c r="I368" s="55"/>
      <c r="J368" s="55"/>
      <c r="K368" s="57"/>
      <c r="L368" s="55"/>
    </row>
    <row r="369" spans="1:12" s="24" customFormat="1">
      <c r="A369" s="53">
        <v>45945</v>
      </c>
      <c r="B369" s="54">
        <f>Table13[[#This Row],[Date]]</f>
        <v>45945</v>
      </c>
      <c r="C369" s="55" t="s">
        <v>26</v>
      </c>
      <c r="D369" s="61" t="s">
        <v>75</v>
      </c>
      <c r="E369" s="55" t="s">
        <v>18</v>
      </c>
      <c r="F369" s="55" t="s">
        <v>19</v>
      </c>
      <c r="G369" s="55">
        <v>1</v>
      </c>
      <c r="H369" s="55"/>
      <c r="I369" s="55"/>
      <c r="J369" s="55"/>
      <c r="K369" s="57"/>
      <c r="L369" s="55"/>
    </row>
    <row r="370" spans="1:12" s="24" customFormat="1">
      <c r="A370" s="53">
        <v>45945</v>
      </c>
      <c r="B370" s="54">
        <f>Table13[[#This Row],[Date]]</f>
        <v>45945</v>
      </c>
      <c r="C370" s="55" t="s">
        <v>26</v>
      </c>
      <c r="D370" s="61" t="s">
        <v>75</v>
      </c>
      <c r="E370" s="55" t="s">
        <v>21</v>
      </c>
      <c r="F370" s="55" t="s">
        <v>19</v>
      </c>
      <c r="G370" s="55">
        <v>1</v>
      </c>
      <c r="H370" s="55"/>
      <c r="I370" s="55"/>
      <c r="J370" s="55"/>
      <c r="K370" s="57"/>
      <c r="L370" s="55"/>
    </row>
    <row r="371" spans="1:12" s="24" customFormat="1">
      <c r="A371" s="53">
        <v>45945</v>
      </c>
      <c r="B371" s="54">
        <f>Table13[[#This Row],[Date]]</f>
        <v>45945</v>
      </c>
      <c r="C371" s="55" t="s">
        <v>26</v>
      </c>
      <c r="D371" s="61" t="s">
        <v>75</v>
      </c>
      <c r="E371" s="55" t="s">
        <v>28</v>
      </c>
      <c r="F371" s="55" t="s">
        <v>19</v>
      </c>
      <c r="G371" s="55">
        <v>1</v>
      </c>
      <c r="H371" s="55"/>
      <c r="I371" s="55"/>
      <c r="J371" s="55"/>
      <c r="K371" s="57"/>
      <c r="L371" s="55"/>
    </row>
    <row r="372" spans="1:12" s="24" customFormat="1">
      <c r="A372" s="129">
        <v>45946</v>
      </c>
      <c r="B372" s="93">
        <f>Table13[[#This Row],[Date]]</f>
        <v>45946</v>
      </c>
      <c r="C372" s="94" t="s">
        <v>14</v>
      </c>
      <c r="D372" s="130" t="s">
        <v>166</v>
      </c>
      <c r="E372" s="94" t="s">
        <v>18</v>
      </c>
      <c r="F372" s="94" t="s">
        <v>19</v>
      </c>
      <c r="G372" s="94">
        <v>1</v>
      </c>
      <c r="H372" s="94"/>
      <c r="I372" s="94"/>
      <c r="J372" s="94"/>
      <c r="K372" s="95" t="s">
        <v>167</v>
      </c>
      <c r="L372" s="94"/>
    </row>
    <row r="373" spans="1:12" s="24" customFormat="1">
      <c r="A373" s="129">
        <v>45946</v>
      </c>
      <c r="B373" s="93">
        <f>Table13[[#This Row],[Date]]</f>
        <v>45946</v>
      </c>
      <c r="C373" s="94" t="s">
        <v>14</v>
      </c>
      <c r="D373" s="130" t="s">
        <v>166</v>
      </c>
      <c r="E373" s="94" t="s">
        <v>21</v>
      </c>
      <c r="F373" s="94" t="s">
        <v>19</v>
      </c>
      <c r="G373" s="94">
        <v>1</v>
      </c>
      <c r="H373" s="94"/>
      <c r="I373" s="94"/>
      <c r="J373" s="94"/>
      <c r="K373" s="95" t="s">
        <v>167</v>
      </c>
      <c r="L373" s="94"/>
    </row>
    <row r="374" spans="1:12" s="24" customFormat="1">
      <c r="A374" s="53">
        <v>45946</v>
      </c>
      <c r="B374" s="54">
        <f>Table13[[#This Row],[Date]]</f>
        <v>45946</v>
      </c>
      <c r="C374" s="55" t="s">
        <v>16</v>
      </c>
      <c r="D374" s="59" t="s">
        <v>105</v>
      </c>
      <c r="E374" s="77" t="s">
        <v>47</v>
      </c>
      <c r="F374" s="55" t="s">
        <v>19</v>
      </c>
      <c r="G374" s="55">
        <v>1</v>
      </c>
      <c r="H374" s="55"/>
      <c r="I374" s="55"/>
      <c r="J374" s="55"/>
      <c r="K374" s="57"/>
      <c r="L374" s="55"/>
    </row>
    <row r="375" spans="1:12" s="24" customFormat="1">
      <c r="A375" s="53">
        <v>45946</v>
      </c>
      <c r="B375" s="54">
        <f>Table13[[#This Row],[Date]]</f>
        <v>45946</v>
      </c>
      <c r="C375" s="55" t="s">
        <v>16</v>
      </c>
      <c r="D375" s="59" t="s">
        <v>105</v>
      </c>
      <c r="E375" s="77" t="s">
        <v>53</v>
      </c>
      <c r="F375" s="55" t="s">
        <v>19</v>
      </c>
      <c r="G375" s="55">
        <v>1</v>
      </c>
      <c r="H375" s="55"/>
      <c r="I375" s="55"/>
      <c r="J375" s="55"/>
      <c r="K375" s="57"/>
      <c r="L375" s="55"/>
    </row>
    <row r="376" spans="1:12" s="24" customFormat="1">
      <c r="A376" s="53">
        <v>45946</v>
      </c>
      <c r="B376" s="54">
        <f>Table13[[#This Row],[Date]]</f>
        <v>45946</v>
      </c>
      <c r="C376" s="55" t="s">
        <v>16</v>
      </c>
      <c r="D376" s="59" t="s">
        <v>105</v>
      </c>
      <c r="E376" s="77" t="s">
        <v>41</v>
      </c>
      <c r="F376" s="55" t="s">
        <v>19</v>
      </c>
      <c r="G376" s="55">
        <v>1</v>
      </c>
      <c r="H376" s="55"/>
      <c r="I376" s="55"/>
      <c r="J376" s="55"/>
      <c r="K376" s="57"/>
      <c r="L376" s="55"/>
    </row>
    <row r="377" spans="1:12" s="24" customFormat="1">
      <c r="A377" s="53">
        <v>45946</v>
      </c>
      <c r="B377" s="54">
        <f>Table13[[#This Row],[Date]]</f>
        <v>45946</v>
      </c>
      <c r="C377" s="55" t="s">
        <v>23</v>
      </c>
      <c r="D377" s="59" t="s">
        <v>106</v>
      </c>
      <c r="E377" s="64" t="s">
        <v>18</v>
      </c>
      <c r="F377" s="55" t="s">
        <v>19</v>
      </c>
      <c r="G377" s="55">
        <v>1</v>
      </c>
      <c r="H377" s="55"/>
      <c r="I377" s="55"/>
      <c r="J377" s="55"/>
      <c r="K377" s="57"/>
      <c r="L377" s="55"/>
    </row>
    <row r="378" spans="1:12" s="24" customFormat="1">
      <c r="A378" s="53">
        <v>45946</v>
      </c>
      <c r="B378" s="54">
        <f>Table13[[#This Row],[Date]]</f>
        <v>45946</v>
      </c>
      <c r="C378" s="55" t="s">
        <v>23</v>
      </c>
      <c r="D378" s="59" t="s">
        <v>106</v>
      </c>
      <c r="E378" s="64" t="s">
        <v>21</v>
      </c>
      <c r="F378" s="55" t="s">
        <v>19</v>
      </c>
      <c r="G378" s="55">
        <v>1</v>
      </c>
      <c r="H378" s="55"/>
      <c r="I378" s="55"/>
      <c r="J378" s="55"/>
      <c r="K378" s="57"/>
      <c r="L378" s="55"/>
    </row>
    <row r="379" spans="1:12" s="24" customFormat="1">
      <c r="A379" s="53">
        <v>45946</v>
      </c>
      <c r="B379" s="54">
        <f>Table13[[#This Row],[Date]]</f>
        <v>45946</v>
      </c>
      <c r="C379" s="55" t="s">
        <v>23</v>
      </c>
      <c r="D379" s="59" t="s">
        <v>106</v>
      </c>
      <c r="E379" s="64" t="s">
        <v>49</v>
      </c>
      <c r="F379" s="55" t="s">
        <v>19</v>
      </c>
      <c r="G379" s="55">
        <v>1</v>
      </c>
      <c r="H379" s="55"/>
      <c r="I379" s="55"/>
      <c r="J379" s="55"/>
      <c r="K379" s="57"/>
      <c r="L379" s="55"/>
    </row>
    <row r="380" spans="1:12" s="24" customFormat="1">
      <c r="A380" s="53">
        <v>45946</v>
      </c>
      <c r="B380" s="54">
        <f>Table13[[#This Row],[Date]]</f>
        <v>45946</v>
      </c>
      <c r="C380" s="55" t="s">
        <v>26</v>
      </c>
      <c r="D380" s="61" t="s">
        <v>78</v>
      </c>
      <c r="E380" s="55" t="s">
        <v>18</v>
      </c>
      <c r="F380" s="55" t="s">
        <v>19</v>
      </c>
      <c r="G380" s="55">
        <v>1</v>
      </c>
      <c r="H380" s="55"/>
      <c r="I380" s="55"/>
      <c r="J380" s="55"/>
      <c r="K380" s="57"/>
      <c r="L380" s="55"/>
    </row>
    <row r="381" spans="1:12" s="24" customFormat="1">
      <c r="A381" s="53">
        <v>45946</v>
      </c>
      <c r="B381" s="54">
        <f>Table13[[#This Row],[Date]]</f>
        <v>45946</v>
      </c>
      <c r="C381" s="55" t="s">
        <v>26</v>
      </c>
      <c r="D381" s="61" t="s">
        <v>78</v>
      </c>
      <c r="E381" s="55" t="s">
        <v>21</v>
      </c>
      <c r="F381" s="55" t="s">
        <v>19</v>
      </c>
      <c r="G381" s="55">
        <v>1</v>
      </c>
      <c r="H381" s="55"/>
      <c r="I381" s="55"/>
      <c r="J381" s="55"/>
      <c r="K381" s="57"/>
      <c r="L381" s="55"/>
    </row>
    <row r="382" spans="1:12" s="24" customFormat="1">
      <c r="A382" s="53">
        <v>45946</v>
      </c>
      <c r="B382" s="54">
        <f>Table13[[#This Row],[Date]]</f>
        <v>45946</v>
      </c>
      <c r="C382" s="55" t="s">
        <v>26</v>
      </c>
      <c r="D382" s="61" t="s">
        <v>78</v>
      </c>
      <c r="E382" s="55" t="s">
        <v>28</v>
      </c>
      <c r="F382" s="55" t="s">
        <v>19</v>
      </c>
      <c r="G382" s="55">
        <v>1</v>
      </c>
      <c r="H382" s="55"/>
      <c r="I382" s="55"/>
      <c r="J382" s="55"/>
      <c r="K382" s="57"/>
      <c r="L382" s="55"/>
    </row>
    <row r="383" spans="1:12" s="24" customFormat="1">
      <c r="A383" s="53">
        <v>45947</v>
      </c>
      <c r="B383" s="54">
        <f>Table13[[#This Row],[Date]]</f>
        <v>45947</v>
      </c>
      <c r="C383" s="55" t="s">
        <v>14</v>
      </c>
      <c r="D383" s="61" t="s">
        <v>125</v>
      </c>
      <c r="E383" s="55" t="s">
        <v>18</v>
      </c>
      <c r="F383" s="55" t="s">
        <v>19</v>
      </c>
      <c r="G383" s="55">
        <v>1</v>
      </c>
      <c r="H383" s="55"/>
      <c r="I383" s="55"/>
      <c r="J383" s="55"/>
      <c r="K383" s="57" t="s">
        <v>168</v>
      </c>
      <c r="L383" s="55"/>
    </row>
    <row r="384" spans="1:12" s="24" customFormat="1">
      <c r="A384" s="53">
        <v>45947</v>
      </c>
      <c r="B384" s="54">
        <f>Table13[[#This Row],[Date]]</f>
        <v>45947</v>
      </c>
      <c r="C384" s="55" t="s">
        <v>14</v>
      </c>
      <c r="D384" s="59" t="s">
        <v>111</v>
      </c>
      <c r="E384" s="55" t="s">
        <v>18</v>
      </c>
      <c r="F384" s="55" t="s">
        <v>99</v>
      </c>
      <c r="G384" s="55">
        <v>1</v>
      </c>
      <c r="H384" s="55"/>
      <c r="I384" s="55"/>
      <c r="J384" s="55"/>
      <c r="K384" s="57"/>
      <c r="L384" s="55"/>
    </row>
    <row r="385" spans="1:12" s="24" customFormat="1">
      <c r="A385" s="103">
        <v>45947</v>
      </c>
      <c r="B385" s="104">
        <f>Table13[[#This Row],[Date]]</f>
        <v>45947</v>
      </c>
      <c r="C385" s="105" t="s">
        <v>14</v>
      </c>
      <c r="D385" s="109" t="s">
        <v>113</v>
      </c>
      <c r="E385" s="105" t="s">
        <v>18</v>
      </c>
      <c r="F385" s="105" t="s">
        <v>19</v>
      </c>
      <c r="G385" s="105">
        <v>1</v>
      </c>
      <c r="H385" s="105"/>
      <c r="I385" s="105"/>
      <c r="J385" s="105"/>
      <c r="K385" s="108"/>
      <c r="L385" s="105"/>
    </row>
    <row r="386" spans="1:12" s="24" customFormat="1">
      <c r="A386" s="129">
        <v>45947</v>
      </c>
      <c r="B386" s="93">
        <f>Table13[[#This Row],[Date]]</f>
        <v>45947</v>
      </c>
      <c r="C386" s="94" t="s">
        <v>16</v>
      </c>
      <c r="D386" s="130" t="s">
        <v>160</v>
      </c>
      <c r="E386" s="94" t="s">
        <v>18</v>
      </c>
      <c r="F386" s="94" t="s">
        <v>19</v>
      </c>
      <c r="G386" s="94">
        <v>1</v>
      </c>
      <c r="H386" s="94"/>
      <c r="I386" s="94"/>
      <c r="J386" s="94"/>
      <c r="K386" s="95" t="s">
        <v>167</v>
      </c>
      <c r="L386" s="94"/>
    </row>
    <row r="387" spans="1:12" s="24" customFormat="1">
      <c r="A387" s="53">
        <v>45947</v>
      </c>
      <c r="B387" s="54">
        <f>Table13[[#This Row],[Date]]</f>
        <v>45947</v>
      </c>
      <c r="C387" s="55" t="s">
        <v>23</v>
      </c>
      <c r="D387" s="59" t="s">
        <v>114</v>
      </c>
      <c r="E387" s="55" t="s">
        <v>18</v>
      </c>
      <c r="F387" s="55" t="s">
        <v>19</v>
      </c>
      <c r="G387" s="55">
        <v>1</v>
      </c>
      <c r="H387" s="55"/>
      <c r="I387" s="55"/>
      <c r="J387" s="55"/>
      <c r="K387" s="57"/>
      <c r="L387" s="55"/>
    </row>
    <row r="388" spans="1:12" s="24" customFormat="1">
      <c r="A388" s="53">
        <v>45947</v>
      </c>
      <c r="B388" s="54">
        <f>Table13[[#This Row],[Date]]</f>
        <v>45947</v>
      </c>
      <c r="C388" s="55" t="s">
        <v>23</v>
      </c>
      <c r="D388" s="59" t="s">
        <v>114</v>
      </c>
      <c r="E388" s="55" t="s">
        <v>21</v>
      </c>
      <c r="F388" s="55" t="s">
        <v>19</v>
      </c>
      <c r="G388" s="55">
        <v>1</v>
      </c>
      <c r="H388" s="55"/>
      <c r="I388" s="55"/>
      <c r="J388" s="55"/>
      <c r="K388" s="57"/>
      <c r="L388" s="55"/>
    </row>
    <row r="389" spans="1:12" s="24" customFormat="1">
      <c r="A389" s="53">
        <v>45947</v>
      </c>
      <c r="B389" s="54">
        <f>Table13[[#This Row],[Date]]</f>
        <v>45947</v>
      </c>
      <c r="C389" s="55" t="s">
        <v>23</v>
      </c>
      <c r="D389" s="61" t="s">
        <v>115</v>
      </c>
      <c r="E389" s="64" t="s">
        <v>18</v>
      </c>
      <c r="F389" s="55" t="s">
        <v>19</v>
      </c>
      <c r="G389" s="55">
        <v>1</v>
      </c>
      <c r="H389" s="55"/>
      <c r="I389" s="55"/>
      <c r="J389" s="55"/>
      <c r="K389" s="57"/>
      <c r="L389" s="55"/>
    </row>
    <row r="390" spans="1:12" s="24" customFormat="1">
      <c r="A390" s="53">
        <v>45947</v>
      </c>
      <c r="B390" s="54">
        <f>Table13[[#This Row],[Date]]</f>
        <v>45947</v>
      </c>
      <c r="C390" s="55" t="s">
        <v>26</v>
      </c>
      <c r="D390" s="61" t="s">
        <v>85</v>
      </c>
      <c r="E390" s="77" t="s">
        <v>18</v>
      </c>
      <c r="F390" s="55" t="s">
        <v>19</v>
      </c>
      <c r="G390" s="55">
        <v>1</v>
      </c>
      <c r="H390" s="55"/>
      <c r="I390" s="55"/>
      <c r="J390" s="55"/>
      <c r="K390" s="57"/>
      <c r="L390" s="55"/>
    </row>
    <row r="391" spans="1:12" s="24" customFormat="1">
      <c r="A391" s="53">
        <v>45947</v>
      </c>
      <c r="B391" s="54">
        <f>Table13[[#This Row],[Date]]</f>
        <v>45947</v>
      </c>
      <c r="C391" s="55" t="s">
        <v>26</v>
      </c>
      <c r="D391" s="61" t="s">
        <v>85</v>
      </c>
      <c r="E391" s="77" t="s">
        <v>21</v>
      </c>
      <c r="F391" s="55" t="s">
        <v>19</v>
      </c>
      <c r="G391" s="55">
        <v>1</v>
      </c>
      <c r="H391" s="55"/>
      <c r="I391" s="55"/>
      <c r="J391" s="55"/>
      <c r="K391" s="57"/>
      <c r="L391" s="55"/>
    </row>
    <row r="392" spans="1:12" s="24" customFormat="1">
      <c r="A392" s="53">
        <v>45948</v>
      </c>
      <c r="B392" s="54">
        <f>Table13[[#This Row],[Date]]</f>
        <v>45948</v>
      </c>
      <c r="C392" s="55" t="s">
        <v>26</v>
      </c>
      <c r="D392" s="61" t="s">
        <v>102</v>
      </c>
      <c r="E392" s="64" t="s">
        <v>28</v>
      </c>
      <c r="F392" s="55" t="s">
        <v>19</v>
      </c>
      <c r="G392" s="55">
        <v>1</v>
      </c>
      <c r="H392" s="55"/>
      <c r="I392" s="55"/>
      <c r="J392" s="55"/>
      <c r="K392" s="57"/>
      <c r="L392" s="55"/>
    </row>
    <row r="393" spans="1:12" s="24" customFormat="1">
      <c r="A393" s="16">
        <v>45948</v>
      </c>
      <c r="B393" s="18">
        <f>Table13[[#This Row],[Date]]</f>
        <v>45948</v>
      </c>
      <c r="C393" s="10" t="s">
        <v>4</v>
      </c>
      <c r="D393" s="9" t="s">
        <v>87</v>
      </c>
      <c r="E393" s="8" t="s">
        <v>72</v>
      </c>
      <c r="F393" s="10" t="s">
        <v>60</v>
      </c>
      <c r="G393" s="10">
        <v>1</v>
      </c>
      <c r="H393" s="10"/>
      <c r="I393" s="10"/>
      <c r="J393" s="10"/>
      <c r="K393" s="13"/>
      <c r="L393" s="10"/>
    </row>
    <row r="394" spans="1:12" s="24" customFormat="1">
      <c r="A394" s="16">
        <v>45948</v>
      </c>
      <c r="B394" s="18">
        <f>Table13[[#This Row],[Date]]</f>
        <v>45948</v>
      </c>
      <c r="C394" s="10" t="s">
        <v>4</v>
      </c>
      <c r="D394" s="9" t="s">
        <v>87</v>
      </c>
      <c r="E394" s="8" t="s">
        <v>76</v>
      </c>
      <c r="F394" s="10" t="s">
        <v>60</v>
      </c>
      <c r="G394" s="10">
        <v>1</v>
      </c>
      <c r="H394" s="10"/>
      <c r="I394" s="10"/>
      <c r="J394" s="10"/>
      <c r="K394" s="13"/>
      <c r="L394" s="10"/>
    </row>
    <row r="395" spans="1:12" s="24" customFormat="1">
      <c r="A395" s="16">
        <v>45948</v>
      </c>
      <c r="B395" s="18">
        <f>Table13[[#This Row],[Date]]</f>
        <v>45948</v>
      </c>
      <c r="C395" s="10" t="s">
        <v>4</v>
      </c>
      <c r="D395" s="9" t="s">
        <v>87</v>
      </c>
      <c r="E395" s="8" t="s">
        <v>28</v>
      </c>
      <c r="F395" s="10" t="s">
        <v>19</v>
      </c>
      <c r="G395" s="10">
        <v>1</v>
      </c>
      <c r="H395" s="10"/>
      <c r="I395" s="10"/>
      <c r="J395" s="10"/>
      <c r="K395" s="13"/>
      <c r="L395" s="10"/>
    </row>
    <row r="396" spans="1:12" s="24" customFormat="1">
      <c r="A396" s="16">
        <v>45948</v>
      </c>
      <c r="B396" s="18">
        <f>Table13[[#This Row],[Date]]</f>
        <v>45948</v>
      </c>
      <c r="C396" s="10" t="s">
        <v>4</v>
      </c>
      <c r="D396" s="9" t="s">
        <v>87</v>
      </c>
      <c r="E396" s="8" t="s">
        <v>107</v>
      </c>
      <c r="F396" s="10" t="s">
        <v>19</v>
      </c>
      <c r="G396" s="10">
        <v>1</v>
      </c>
      <c r="H396" s="10"/>
      <c r="I396" s="10"/>
      <c r="J396" s="10"/>
      <c r="K396" s="13"/>
      <c r="L396" s="10"/>
    </row>
    <row r="397" spans="1:12" s="24" customFormat="1">
      <c r="A397" s="16">
        <v>45949</v>
      </c>
      <c r="B397" s="18">
        <f>Table13[[#This Row],[Date]]</f>
        <v>45949</v>
      </c>
      <c r="C397" s="10" t="s">
        <v>4</v>
      </c>
      <c r="D397" s="9" t="s">
        <v>92</v>
      </c>
      <c r="E397" s="10" t="s">
        <v>118</v>
      </c>
      <c r="F397" s="10" t="s">
        <v>19</v>
      </c>
      <c r="G397" s="10">
        <v>1</v>
      </c>
      <c r="H397" s="10"/>
      <c r="I397" s="10"/>
      <c r="J397" s="10"/>
      <c r="K397" s="13"/>
      <c r="L397" s="10"/>
    </row>
    <row r="398" spans="1:12" s="24" customFormat="1">
      <c r="A398" s="16">
        <v>45949</v>
      </c>
      <c r="B398" s="18">
        <f>Table13[[#This Row],[Date]]</f>
        <v>45949</v>
      </c>
      <c r="C398" s="10" t="s">
        <v>4</v>
      </c>
      <c r="D398" s="9" t="s">
        <v>92</v>
      </c>
      <c r="E398" s="10" t="s">
        <v>47</v>
      </c>
      <c r="F398" s="10" t="s">
        <v>19</v>
      </c>
      <c r="G398" s="10">
        <v>1</v>
      </c>
      <c r="H398" s="10"/>
      <c r="I398" s="10"/>
      <c r="J398" s="10"/>
      <c r="K398" s="13"/>
      <c r="L398" s="10"/>
    </row>
    <row r="399" spans="1:12" s="24" customFormat="1">
      <c r="A399" s="53">
        <v>45950</v>
      </c>
      <c r="B399" s="54">
        <f>Table13[[#This Row],[Date]]</f>
        <v>45950</v>
      </c>
      <c r="C399" s="55" t="s">
        <v>16</v>
      </c>
      <c r="D399" s="59" t="s">
        <v>119</v>
      </c>
      <c r="E399" s="55" t="s">
        <v>47</v>
      </c>
      <c r="F399" s="55" t="s">
        <v>19</v>
      </c>
      <c r="G399" s="55">
        <v>1</v>
      </c>
      <c r="H399" s="55"/>
      <c r="I399" s="55"/>
      <c r="J399" s="55"/>
      <c r="K399" s="57"/>
      <c r="L399" s="55"/>
    </row>
    <row r="400" spans="1:12" s="24" customFormat="1">
      <c r="A400" s="53">
        <v>45950</v>
      </c>
      <c r="B400" s="54">
        <f>Table13[[#This Row],[Date]]</f>
        <v>45950</v>
      </c>
      <c r="C400" s="55" t="s">
        <v>16</v>
      </c>
      <c r="D400" s="59" t="s">
        <v>119</v>
      </c>
      <c r="E400" s="55" t="s">
        <v>18</v>
      </c>
      <c r="F400" s="55" t="s">
        <v>19</v>
      </c>
      <c r="G400" s="55">
        <v>1</v>
      </c>
      <c r="H400" s="55"/>
      <c r="I400" s="55"/>
      <c r="J400" s="55"/>
      <c r="K400" s="57"/>
      <c r="L400" s="55"/>
    </row>
    <row r="401" spans="1:12" s="24" customFormat="1">
      <c r="A401" s="53">
        <v>45950</v>
      </c>
      <c r="B401" s="54">
        <f>Table13[[#This Row],[Date]]</f>
        <v>45950</v>
      </c>
      <c r="C401" s="55" t="s">
        <v>26</v>
      </c>
      <c r="D401" s="61" t="s">
        <v>169</v>
      </c>
      <c r="E401" s="55" t="s">
        <v>18</v>
      </c>
      <c r="F401" s="55" t="s">
        <v>19</v>
      </c>
      <c r="G401" s="55">
        <v>1</v>
      </c>
      <c r="H401" s="55"/>
      <c r="I401" s="55"/>
      <c r="J401" s="55"/>
      <c r="K401" s="57"/>
      <c r="L401" s="55"/>
    </row>
    <row r="402" spans="1:12" s="24" customFormat="1">
      <c r="A402" s="53">
        <v>45950</v>
      </c>
      <c r="B402" s="54">
        <f>Table13[[#This Row],[Date]]</f>
        <v>45950</v>
      </c>
      <c r="C402" s="55" t="s">
        <v>26</v>
      </c>
      <c r="D402" s="61" t="s">
        <v>103</v>
      </c>
      <c r="E402" s="55" t="s">
        <v>18</v>
      </c>
      <c r="F402" s="55" t="s">
        <v>19</v>
      </c>
      <c r="G402" s="55">
        <v>1</v>
      </c>
      <c r="H402" s="55"/>
      <c r="I402" s="55"/>
      <c r="J402" s="55"/>
      <c r="K402" s="57"/>
      <c r="L402" s="55"/>
    </row>
    <row r="403" spans="1:12" s="24" customFormat="1">
      <c r="A403" s="53">
        <v>45950</v>
      </c>
      <c r="B403" s="54">
        <f>Table13[[#This Row],[Date]]</f>
        <v>45950</v>
      </c>
      <c r="C403" s="55" t="s">
        <v>26</v>
      </c>
      <c r="D403" s="61" t="s">
        <v>103</v>
      </c>
      <c r="E403" s="55" t="s">
        <v>21</v>
      </c>
      <c r="F403" s="55" t="s">
        <v>19</v>
      </c>
      <c r="G403" s="55">
        <v>1</v>
      </c>
      <c r="H403" s="55"/>
      <c r="I403" s="55"/>
      <c r="J403" s="55"/>
      <c r="K403" s="57"/>
      <c r="L403" s="55"/>
    </row>
    <row r="404" spans="1:12" s="24" customFormat="1">
      <c r="A404" s="41">
        <v>45950</v>
      </c>
      <c r="B404" s="42">
        <f>Table13[[#This Row],[Date]]</f>
        <v>45950</v>
      </c>
      <c r="C404" s="43"/>
      <c r="D404" s="44" t="s">
        <v>170</v>
      </c>
      <c r="E404" s="43"/>
      <c r="F404" s="43"/>
      <c r="G404" s="43"/>
      <c r="H404" s="43"/>
      <c r="I404" s="43"/>
      <c r="J404" s="43"/>
      <c r="K404" s="45"/>
      <c r="L404" s="43"/>
    </row>
    <row r="405" spans="1:12" s="24" customFormat="1">
      <c r="A405" s="53">
        <v>45951</v>
      </c>
      <c r="B405" s="54">
        <f>Table13[[#This Row],[Date]]</f>
        <v>45951</v>
      </c>
      <c r="C405" s="55" t="s">
        <v>14</v>
      </c>
      <c r="D405" s="59" t="s">
        <v>104</v>
      </c>
      <c r="E405" s="55" t="s">
        <v>72</v>
      </c>
      <c r="F405" s="55" t="s">
        <v>60</v>
      </c>
      <c r="G405" s="55">
        <v>1</v>
      </c>
      <c r="H405" s="55"/>
      <c r="I405" s="55"/>
      <c r="J405" s="55"/>
      <c r="K405" s="57"/>
      <c r="L405" s="55"/>
    </row>
    <row r="406" spans="1:12" s="24" customFormat="1">
      <c r="A406" s="53">
        <v>45951</v>
      </c>
      <c r="B406" s="54">
        <f>Table13[[#This Row],[Date]]</f>
        <v>45951</v>
      </c>
      <c r="C406" s="55" t="s">
        <v>14</v>
      </c>
      <c r="D406" s="59" t="s">
        <v>104</v>
      </c>
      <c r="E406" s="55" t="s">
        <v>76</v>
      </c>
      <c r="F406" s="55" t="s">
        <v>60</v>
      </c>
      <c r="G406" s="55">
        <v>1</v>
      </c>
      <c r="H406" s="55"/>
      <c r="I406" s="55"/>
      <c r="J406" s="55"/>
      <c r="K406" s="57"/>
      <c r="L406" s="55"/>
    </row>
    <row r="407" spans="1:12" s="24" customFormat="1">
      <c r="A407" s="48">
        <v>45951</v>
      </c>
      <c r="B407" s="49">
        <f>Table13[[#This Row],[Date]]</f>
        <v>45951</v>
      </c>
      <c r="C407" s="50" t="s">
        <v>4</v>
      </c>
      <c r="D407" s="51" t="s">
        <v>32</v>
      </c>
      <c r="E407" s="50"/>
      <c r="F407" s="50"/>
      <c r="G407" s="50"/>
      <c r="H407" s="50"/>
      <c r="I407" s="50"/>
      <c r="J407" s="50"/>
      <c r="K407" s="52"/>
      <c r="L407" s="50"/>
    </row>
    <row r="408" spans="1:12" s="24" customFormat="1">
      <c r="A408" s="53">
        <v>45952</v>
      </c>
      <c r="B408" s="54">
        <f>Table13[[#This Row],[Date]]</f>
        <v>45952</v>
      </c>
      <c r="C408" s="55" t="s">
        <v>14</v>
      </c>
      <c r="D408" s="59" t="s">
        <v>124</v>
      </c>
      <c r="E408" s="55" t="s">
        <v>18</v>
      </c>
      <c r="F408" s="55" t="s">
        <v>19</v>
      </c>
      <c r="G408" s="55">
        <v>1</v>
      </c>
      <c r="H408" s="55"/>
      <c r="I408" s="55"/>
      <c r="J408" s="55"/>
      <c r="K408" s="57"/>
      <c r="L408" s="55"/>
    </row>
    <row r="409" spans="1:12" s="24" customFormat="1">
      <c r="A409" s="53">
        <v>45952</v>
      </c>
      <c r="B409" s="54">
        <f>Table13[[#This Row],[Date]]</f>
        <v>45952</v>
      </c>
      <c r="C409" s="55" t="s">
        <v>16</v>
      </c>
      <c r="D409" s="59" t="s">
        <v>119</v>
      </c>
      <c r="E409" s="55" t="s">
        <v>21</v>
      </c>
      <c r="F409" s="55" t="s">
        <v>19</v>
      </c>
      <c r="G409" s="55">
        <v>1</v>
      </c>
      <c r="H409" s="55"/>
      <c r="I409" s="55"/>
      <c r="J409" s="55"/>
      <c r="K409" s="57"/>
      <c r="L409" s="55"/>
    </row>
    <row r="410" spans="1:12" s="24" customFormat="1">
      <c r="A410" s="53">
        <v>45952</v>
      </c>
      <c r="B410" s="54">
        <f>Table13[[#This Row],[Date]]</f>
        <v>45952</v>
      </c>
      <c r="C410" s="55" t="s">
        <v>26</v>
      </c>
      <c r="D410" s="61" t="s">
        <v>108</v>
      </c>
      <c r="E410" s="55" t="s">
        <v>28</v>
      </c>
      <c r="F410" s="55" t="s">
        <v>19</v>
      </c>
      <c r="G410" s="55">
        <v>1</v>
      </c>
      <c r="H410" s="55"/>
      <c r="I410" s="55"/>
      <c r="J410" s="55"/>
      <c r="K410" s="57"/>
      <c r="L410" s="55"/>
    </row>
    <row r="411" spans="1:12" s="24" customFormat="1">
      <c r="A411" s="53">
        <v>45952</v>
      </c>
      <c r="B411" s="54">
        <f>Table13[[#This Row],[Date]]</f>
        <v>45952</v>
      </c>
      <c r="C411" s="55" t="s">
        <v>26</v>
      </c>
      <c r="D411" s="61" t="s">
        <v>108</v>
      </c>
      <c r="E411" s="55" t="s">
        <v>107</v>
      </c>
      <c r="F411" s="55" t="s">
        <v>19</v>
      </c>
      <c r="G411" s="55">
        <v>1</v>
      </c>
      <c r="H411" s="55"/>
      <c r="I411" s="55"/>
      <c r="J411" s="55"/>
      <c r="K411" s="57"/>
      <c r="L411" s="55"/>
    </row>
    <row r="412" spans="1:12" s="24" customFormat="1">
      <c r="A412" s="53">
        <v>45952</v>
      </c>
      <c r="B412" s="54">
        <f>Table13[[#This Row],[Date]]</f>
        <v>45952</v>
      </c>
      <c r="C412" s="55" t="s">
        <v>26</v>
      </c>
      <c r="D412" s="61" t="s">
        <v>108</v>
      </c>
      <c r="E412" s="55" t="s">
        <v>35</v>
      </c>
      <c r="F412" s="55" t="s">
        <v>19</v>
      </c>
      <c r="G412" s="55">
        <v>1</v>
      </c>
      <c r="H412" s="55"/>
      <c r="I412" s="55"/>
      <c r="J412" s="55"/>
      <c r="K412" s="57"/>
      <c r="L412" s="55"/>
    </row>
    <row r="413" spans="1:12" s="24" customFormat="1">
      <c r="A413" s="53">
        <v>45952</v>
      </c>
      <c r="B413" s="54">
        <f>Table13[[#This Row],[Date]]</f>
        <v>45952</v>
      </c>
      <c r="C413" s="55" t="s">
        <v>26</v>
      </c>
      <c r="D413" s="61" t="s">
        <v>108</v>
      </c>
      <c r="E413" s="55" t="s">
        <v>109</v>
      </c>
      <c r="F413" s="55" t="s">
        <v>19</v>
      </c>
      <c r="G413" s="55">
        <v>1</v>
      </c>
      <c r="H413" s="55"/>
      <c r="I413" s="55"/>
      <c r="J413" s="55"/>
      <c r="K413" s="57"/>
      <c r="L413" s="55"/>
    </row>
    <row r="414" spans="1:12" s="24" customFormat="1">
      <c r="A414" s="53">
        <v>45952</v>
      </c>
      <c r="B414" s="54">
        <f>Table13[[#This Row],[Date]]</f>
        <v>45952</v>
      </c>
      <c r="C414" s="55"/>
      <c r="D414" s="61" t="s">
        <v>171</v>
      </c>
      <c r="E414" s="55" t="s">
        <v>18</v>
      </c>
      <c r="F414" s="55" t="s">
        <v>19</v>
      </c>
      <c r="G414" s="55"/>
      <c r="H414" s="55"/>
      <c r="I414" s="55"/>
      <c r="J414" s="55"/>
      <c r="K414" s="57"/>
      <c r="L414" s="55"/>
    </row>
    <row r="415" spans="1:12" s="24" customFormat="1">
      <c r="A415" s="85">
        <v>45953</v>
      </c>
      <c r="B415" s="86">
        <f>Table13[[#This Row],[Date]]</f>
        <v>45953</v>
      </c>
      <c r="C415" s="87" t="s">
        <v>14</v>
      </c>
      <c r="D415" s="89" t="s">
        <v>98</v>
      </c>
      <c r="E415" s="87" t="s">
        <v>18</v>
      </c>
      <c r="F415" s="87" t="s">
        <v>99</v>
      </c>
      <c r="G415" s="87">
        <v>1</v>
      </c>
      <c r="H415" s="87"/>
      <c r="I415" s="87"/>
      <c r="J415" s="87"/>
      <c r="K415" s="88"/>
      <c r="L415" s="87"/>
    </row>
    <row r="416" spans="1:12" s="24" customFormat="1">
      <c r="A416" s="53">
        <v>45953</v>
      </c>
      <c r="B416" s="54">
        <f>Table13[[#This Row],[Date]]</f>
        <v>45953</v>
      </c>
      <c r="C416" s="55" t="s">
        <v>16</v>
      </c>
      <c r="D416" s="59" t="s">
        <v>133</v>
      </c>
      <c r="E416" s="55" t="s">
        <v>21</v>
      </c>
      <c r="F416" s="55" t="s">
        <v>19</v>
      </c>
      <c r="G416" s="55">
        <v>1</v>
      </c>
      <c r="H416" s="55"/>
      <c r="I416" s="55"/>
      <c r="J416" s="55"/>
      <c r="K416" s="57"/>
      <c r="L416" s="55"/>
    </row>
    <row r="417" spans="1:12" s="24" customFormat="1">
      <c r="A417" s="53">
        <v>45953</v>
      </c>
      <c r="B417" s="54">
        <f>Table13[[#This Row],[Date]]</f>
        <v>45953</v>
      </c>
      <c r="C417" s="55" t="s">
        <v>16</v>
      </c>
      <c r="D417" s="59" t="s">
        <v>134</v>
      </c>
      <c r="E417" s="55" t="s">
        <v>18</v>
      </c>
      <c r="F417" s="55" t="s">
        <v>19</v>
      </c>
      <c r="G417" s="55">
        <v>1</v>
      </c>
      <c r="H417" s="55"/>
      <c r="I417" s="55"/>
      <c r="J417" s="55"/>
      <c r="K417" s="57"/>
      <c r="L417" s="55"/>
    </row>
    <row r="418" spans="1:12" s="24" customFormat="1">
      <c r="A418" s="53">
        <v>45953</v>
      </c>
      <c r="B418" s="54">
        <f>Table13[[#This Row],[Date]]</f>
        <v>45953</v>
      </c>
      <c r="C418" s="55" t="s">
        <v>16</v>
      </c>
      <c r="D418" s="59" t="s">
        <v>135</v>
      </c>
      <c r="E418" s="77" t="s">
        <v>47</v>
      </c>
      <c r="F418" s="55" t="s">
        <v>19</v>
      </c>
      <c r="G418" s="55">
        <v>1</v>
      </c>
      <c r="H418" s="55"/>
      <c r="I418" s="55"/>
      <c r="J418" s="55"/>
      <c r="K418" s="57"/>
      <c r="L418" s="55"/>
    </row>
    <row r="419" spans="1:12" s="24" customFormat="1">
      <c r="A419" s="53">
        <v>45953</v>
      </c>
      <c r="B419" s="54">
        <f>Table13[[#This Row],[Date]]</f>
        <v>45953</v>
      </c>
      <c r="C419" s="55" t="s">
        <v>16</v>
      </c>
      <c r="D419" s="59" t="s">
        <v>135</v>
      </c>
      <c r="E419" s="77" t="s">
        <v>53</v>
      </c>
      <c r="F419" s="55" t="s">
        <v>19</v>
      </c>
      <c r="G419" s="55">
        <v>1</v>
      </c>
      <c r="H419" s="55"/>
      <c r="I419" s="55"/>
      <c r="J419" s="55"/>
      <c r="K419" s="57"/>
      <c r="L419" s="55"/>
    </row>
    <row r="420" spans="1:12" s="24" customFormat="1">
      <c r="A420" s="53">
        <v>45953</v>
      </c>
      <c r="B420" s="54">
        <f>Table13[[#This Row],[Date]]</f>
        <v>45953</v>
      </c>
      <c r="C420" s="55" t="s">
        <v>26</v>
      </c>
      <c r="D420" s="59" t="s">
        <v>110</v>
      </c>
      <c r="E420" s="55" t="s">
        <v>18</v>
      </c>
      <c r="F420" s="55" t="s">
        <v>19</v>
      </c>
      <c r="G420" s="55">
        <v>1</v>
      </c>
      <c r="H420" s="55"/>
      <c r="I420" s="55"/>
      <c r="J420" s="55"/>
      <c r="K420" s="57"/>
      <c r="L420" s="55"/>
    </row>
    <row r="421" spans="1:12" s="24" customFormat="1">
      <c r="A421" s="53">
        <v>45953</v>
      </c>
      <c r="B421" s="54">
        <f>Table13[[#This Row],[Date]]</f>
        <v>45953</v>
      </c>
      <c r="C421" s="55" t="s">
        <v>26</v>
      </c>
      <c r="D421" s="59" t="s">
        <v>110</v>
      </c>
      <c r="E421" s="55" t="s">
        <v>21</v>
      </c>
      <c r="F421" s="55" t="s">
        <v>19</v>
      </c>
      <c r="G421" s="55">
        <v>1</v>
      </c>
      <c r="H421" s="55"/>
      <c r="I421" s="55"/>
      <c r="J421" s="55"/>
      <c r="K421" s="57"/>
      <c r="L421" s="55"/>
    </row>
    <row r="422" spans="1:12" s="24" customFormat="1">
      <c r="A422" s="53">
        <v>45954</v>
      </c>
      <c r="B422" s="54">
        <f>Table13[[#This Row],[Date]]</f>
        <v>45954</v>
      </c>
      <c r="C422" s="55" t="s">
        <v>16</v>
      </c>
      <c r="D422" s="59" t="s">
        <v>136</v>
      </c>
      <c r="E422" s="55" t="s">
        <v>18</v>
      </c>
      <c r="F422" s="55" t="s">
        <v>19</v>
      </c>
      <c r="G422" s="55">
        <v>1</v>
      </c>
      <c r="H422" s="55"/>
      <c r="I422" s="55"/>
      <c r="J422" s="55"/>
      <c r="K422" s="57"/>
      <c r="L422" s="55"/>
    </row>
    <row r="423" spans="1:12" s="24" customFormat="1">
      <c r="A423" s="53">
        <v>45954</v>
      </c>
      <c r="B423" s="54">
        <f>Table13[[#This Row],[Date]]</f>
        <v>45954</v>
      </c>
      <c r="C423" s="55" t="s">
        <v>16</v>
      </c>
      <c r="D423" s="59" t="s">
        <v>137</v>
      </c>
      <c r="E423" s="55" t="s">
        <v>18</v>
      </c>
      <c r="F423" s="55" t="s">
        <v>19</v>
      </c>
      <c r="G423" s="55">
        <v>1</v>
      </c>
      <c r="H423" s="55"/>
      <c r="I423" s="55"/>
      <c r="J423" s="55"/>
      <c r="K423" s="57"/>
      <c r="L423" s="55"/>
    </row>
    <row r="424" spans="1:12" s="24" customFormat="1">
      <c r="A424" s="53">
        <v>45954</v>
      </c>
      <c r="B424" s="54">
        <f>Table13[[#This Row],[Date]]</f>
        <v>45954</v>
      </c>
      <c r="C424" s="55" t="s">
        <v>16</v>
      </c>
      <c r="D424" s="59" t="s">
        <v>138</v>
      </c>
      <c r="E424" s="55" t="s">
        <v>18</v>
      </c>
      <c r="F424" s="55" t="s">
        <v>19</v>
      </c>
      <c r="G424" s="55">
        <v>1</v>
      </c>
      <c r="H424" s="55"/>
      <c r="I424" s="55"/>
      <c r="J424" s="55"/>
      <c r="K424" s="57"/>
      <c r="L424" s="55"/>
    </row>
    <row r="425" spans="1:12" s="24" customFormat="1">
      <c r="A425" s="53">
        <v>45954</v>
      </c>
      <c r="B425" s="54">
        <f>Table13[[#This Row],[Date]]</f>
        <v>45954</v>
      </c>
      <c r="C425" s="55" t="s">
        <v>23</v>
      </c>
      <c r="D425" s="59" t="s">
        <v>139</v>
      </c>
      <c r="E425" s="55" t="s">
        <v>28</v>
      </c>
      <c r="F425" s="55" t="s">
        <v>19</v>
      </c>
      <c r="G425" s="55">
        <v>1</v>
      </c>
      <c r="H425" s="55"/>
      <c r="I425" s="55"/>
      <c r="J425" s="55"/>
      <c r="K425" s="57"/>
      <c r="L425" s="55"/>
    </row>
    <row r="426" spans="1:12" s="24" customFormat="1">
      <c r="A426" s="53">
        <v>45954</v>
      </c>
      <c r="B426" s="54">
        <f>Table13[[#This Row],[Date]]</f>
        <v>45954</v>
      </c>
      <c r="C426" s="55" t="s">
        <v>23</v>
      </c>
      <c r="D426" s="59" t="s">
        <v>140</v>
      </c>
      <c r="E426" s="55" t="s">
        <v>28</v>
      </c>
      <c r="F426" s="55" t="s">
        <v>19</v>
      </c>
      <c r="G426" s="55">
        <v>1</v>
      </c>
      <c r="H426" s="55"/>
      <c r="I426" s="55"/>
      <c r="J426" s="55"/>
      <c r="K426" s="57"/>
      <c r="L426" s="55"/>
    </row>
    <row r="427" spans="1:12" s="24" customFormat="1">
      <c r="A427" s="53">
        <v>45954</v>
      </c>
      <c r="B427" s="54">
        <f>Table13[[#This Row],[Date]]</f>
        <v>45954</v>
      </c>
      <c r="C427" s="55" t="s">
        <v>23</v>
      </c>
      <c r="D427" s="59" t="s">
        <v>141</v>
      </c>
      <c r="E427" s="55" t="s">
        <v>18</v>
      </c>
      <c r="F427" s="55" t="s">
        <v>19</v>
      </c>
      <c r="G427" s="55">
        <v>1</v>
      </c>
      <c r="H427" s="55"/>
      <c r="I427" s="55"/>
      <c r="J427" s="55"/>
      <c r="K427" s="57"/>
      <c r="L427" s="55"/>
    </row>
    <row r="428" spans="1:12" s="24" customFormat="1">
      <c r="A428" s="53">
        <v>45954</v>
      </c>
      <c r="B428" s="54">
        <f>Table13[[#This Row],[Date]]</f>
        <v>45954</v>
      </c>
      <c r="C428" s="55" t="s">
        <v>23</v>
      </c>
      <c r="D428" s="59" t="s">
        <v>142</v>
      </c>
      <c r="E428" s="55" t="s">
        <v>18</v>
      </c>
      <c r="F428" s="55" t="s">
        <v>19</v>
      </c>
      <c r="G428" s="55">
        <v>1</v>
      </c>
      <c r="H428" s="55"/>
      <c r="I428" s="55"/>
      <c r="J428" s="55"/>
      <c r="K428" s="57"/>
      <c r="L428" s="55"/>
    </row>
    <row r="429" spans="1:12" s="24" customFormat="1">
      <c r="A429" s="53">
        <v>45954</v>
      </c>
      <c r="B429" s="54">
        <f>Table13[[#This Row],[Date]]</f>
        <v>45954</v>
      </c>
      <c r="C429" s="55" t="s">
        <v>26</v>
      </c>
      <c r="D429" s="61" t="s">
        <v>123</v>
      </c>
      <c r="E429" s="55" t="s">
        <v>18</v>
      </c>
      <c r="F429" s="55" t="s">
        <v>19</v>
      </c>
      <c r="G429" s="55">
        <v>1</v>
      </c>
      <c r="H429" s="55"/>
      <c r="I429" s="55"/>
      <c r="J429" s="55"/>
      <c r="K429" s="57"/>
      <c r="L429" s="55"/>
    </row>
    <row r="430" spans="1:12" s="24" customFormat="1">
      <c r="A430" s="53">
        <v>45954</v>
      </c>
      <c r="B430" s="54">
        <f>Table13[[#This Row],[Date]]</f>
        <v>45954</v>
      </c>
      <c r="C430" s="55" t="s">
        <v>26</v>
      </c>
      <c r="D430" s="61" t="s">
        <v>123</v>
      </c>
      <c r="E430" s="55" t="s">
        <v>21</v>
      </c>
      <c r="F430" s="55" t="s">
        <v>19</v>
      </c>
      <c r="G430" s="55">
        <v>1</v>
      </c>
      <c r="H430" s="55"/>
      <c r="I430" s="55"/>
      <c r="J430" s="55"/>
      <c r="K430" s="57"/>
      <c r="L430" s="55"/>
    </row>
    <row r="431" spans="1:12" s="24" customFormat="1">
      <c r="A431" s="53">
        <v>45954</v>
      </c>
      <c r="B431" s="54">
        <f>Table13[[#This Row],[Date]]</f>
        <v>45954</v>
      </c>
      <c r="C431" s="55" t="s">
        <v>26</v>
      </c>
      <c r="D431" s="61" t="s">
        <v>123</v>
      </c>
      <c r="E431" s="55" t="s">
        <v>47</v>
      </c>
      <c r="F431" s="55" t="s">
        <v>19</v>
      </c>
      <c r="G431" s="55">
        <v>1</v>
      </c>
      <c r="H431" s="55"/>
      <c r="I431" s="55"/>
      <c r="J431" s="55"/>
      <c r="K431" s="57"/>
      <c r="L431" s="55"/>
    </row>
    <row r="432" spans="1:12" s="24" customFormat="1">
      <c r="A432" s="53">
        <v>45954</v>
      </c>
      <c r="B432" s="54">
        <f>Table13[[#This Row],[Date]]</f>
        <v>45954</v>
      </c>
      <c r="C432" s="55" t="s">
        <v>26</v>
      </c>
      <c r="D432" s="61" t="s">
        <v>115</v>
      </c>
      <c r="E432" s="64" t="s">
        <v>18</v>
      </c>
      <c r="F432" s="55" t="s">
        <v>19</v>
      </c>
      <c r="G432" s="55">
        <v>1</v>
      </c>
      <c r="H432" s="55"/>
      <c r="I432" s="55"/>
      <c r="J432" s="55"/>
      <c r="K432" s="57"/>
      <c r="L432" s="55"/>
    </row>
    <row r="433" spans="1:12" s="24" customFormat="1">
      <c r="A433" s="16">
        <v>45955</v>
      </c>
      <c r="B433" s="18">
        <f>Table13[[#This Row],[Date]]</f>
        <v>45955</v>
      </c>
      <c r="C433" s="10" t="s">
        <v>23</v>
      </c>
      <c r="D433" s="9" t="s">
        <v>143</v>
      </c>
      <c r="E433" s="10" t="s">
        <v>41</v>
      </c>
      <c r="F433" s="10" t="s">
        <v>19</v>
      </c>
      <c r="G433" s="10">
        <v>1</v>
      </c>
      <c r="H433" s="10"/>
      <c r="I433" s="10"/>
      <c r="J433" s="10"/>
      <c r="K433" s="13"/>
      <c r="L433" s="10"/>
    </row>
    <row r="434" spans="1:12" s="24" customFormat="1">
      <c r="A434" s="16">
        <v>45955</v>
      </c>
      <c r="B434" s="18">
        <f>Table13[[#This Row],[Date]]</f>
        <v>45955</v>
      </c>
      <c r="C434" s="10" t="s">
        <v>23</v>
      </c>
      <c r="D434" s="9" t="s">
        <v>143</v>
      </c>
      <c r="E434" s="10" t="s">
        <v>42</v>
      </c>
      <c r="F434" s="10" t="s">
        <v>19</v>
      </c>
      <c r="G434" s="10">
        <v>1</v>
      </c>
      <c r="H434" s="10"/>
      <c r="I434" s="10"/>
      <c r="J434" s="10"/>
      <c r="K434" s="13"/>
      <c r="L434" s="10"/>
    </row>
    <row r="435" spans="1:12" s="24" customFormat="1">
      <c r="A435" s="16">
        <v>45956</v>
      </c>
      <c r="B435" s="18">
        <f>Table13[[#This Row],[Date]]</f>
        <v>45956</v>
      </c>
      <c r="C435" s="10" t="s">
        <v>14</v>
      </c>
      <c r="D435" s="9" t="s">
        <v>144</v>
      </c>
      <c r="E435" s="10" t="s">
        <v>18</v>
      </c>
      <c r="F435" s="10" t="s">
        <v>19</v>
      </c>
      <c r="G435" s="10">
        <v>1</v>
      </c>
      <c r="H435" s="10"/>
      <c r="I435" s="10"/>
      <c r="J435" s="10"/>
      <c r="K435" s="13"/>
      <c r="L435" s="10"/>
    </row>
    <row r="436" spans="1:12" s="24" customFormat="1">
      <c r="A436" s="16">
        <v>45956</v>
      </c>
      <c r="B436" s="18">
        <f>Table13[[#This Row],[Date]]</f>
        <v>45956</v>
      </c>
      <c r="C436" s="10" t="s">
        <v>14</v>
      </c>
      <c r="D436" s="9" t="s">
        <v>144</v>
      </c>
      <c r="E436" s="10" t="s">
        <v>21</v>
      </c>
      <c r="F436" s="10" t="s">
        <v>19</v>
      </c>
      <c r="G436" s="10">
        <v>1</v>
      </c>
      <c r="H436" s="10"/>
      <c r="I436" s="10"/>
      <c r="J436" s="10"/>
      <c r="K436" s="13"/>
      <c r="L436" s="10"/>
    </row>
    <row r="437" spans="1:12" s="24" customFormat="1">
      <c r="A437" s="53">
        <v>45957</v>
      </c>
      <c r="B437" s="54">
        <f>Table13[[#This Row],[Date]]</f>
        <v>45957</v>
      </c>
      <c r="C437" s="55" t="s">
        <v>14</v>
      </c>
      <c r="D437" s="59" t="s">
        <v>130</v>
      </c>
      <c r="E437" s="55" t="s">
        <v>18</v>
      </c>
      <c r="F437" s="55" t="s">
        <v>19</v>
      </c>
      <c r="G437" s="55">
        <v>1</v>
      </c>
      <c r="H437" s="55"/>
      <c r="I437" s="55"/>
      <c r="J437" s="55"/>
      <c r="K437" s="57"/>
      <c r="L437" s="55"/>
    </row>
    <row r="438" spans="1:12" s="24" customFormat="1">
      <c r="A438" s="53">
        <v>45957</v>
      </c>
      <c r="B438" s="54">
        <f>Table13[[#This Row],[Date]]</f>
        <v>45957</v>
      </c>
      <c r="C438" s="55" t="s">
        <v>14</v>
      </c>
      <c r="D438" s="59" t="s">
        <v>131</v>
      </c>
      <c r="E438" s="64" t="s">
        <v>18</v>
      </c>
      <c r="F438" s="55" t="s">
        <v>19</v>
      </c>
      <c r="G438" s="55">
        <v>1</v>
      </c>
      <c r="H438" s="55"/>
      <c r="I438" s="55"/>
      <c r="J438" s="55"/>
      <c r="K438" s="57"/>
      <c r="L438" s="55"/>
    </row>
    <row r="439" spans="1:12" s="24" customFormat="1">
      <c r="A439" s="53">
        <v>45957</v>
      </c>
      <c r="B439" s="54">
        <f>Table13[[#This Row],[Date]]</f>
        <v>45957</v>
      </c>
      <c r="C439" s="55" t="s">
        <v>16</v>
      </c>
      <c r="D439" s="59" t="s">
        <v>172</v>
      </c>
      <c r="E439" s="55" t="s">
        <v>18</v>
      </c>
      <c r="F439" s="55" t="s">
        <v>19</v>
      </c>
      <c r="G439" s="55">
        <v>1</v>
      </c>
      <c r="H439" s="55"/>
      <c r="I439" s="55"/>
      <c r="J439" s="55"/>
      <c r="K439" s="57"/>
      <c r="L439" s="55"/>
    </row>
    <row r="440" spans="1:12" s="24" customFormat="1">
      <c r="A440" s="53">
        <v>45957</v>
      </c>
      <c r="B440" s="54">
        <f>Table13[[#This Row],[Date]]</f>
        <v>45957</v>
      </c>
      <c r="C440" s="55" t="s">
        <v>16</v>
      </c>
      <c r="D440" s="132" t="s">
        <v>122</v>
      </c>
      <c r="E440" s="55" t="s">
        <v>18</v>
      </c>
      <c r="F440" s="55" t="s">
        <v>19</v>
      </c>
      <c r="G440" s="55">
        <v>1</v>
      </c>
      <c r="H440" s="55"/>
      <c r="I440" s="55"/>
      <c r="J440" s="55"/>
      <c r="K440" s="57"/>
      <c r="L440" s="55"/>
    </row>
    <row r="441" spans="1:12" s="24" customFormat="1">
      <c r="A441" s="53">
        <v>45957</v>
      </c>
      <c r="B441" s="54">
        <f>Table13[[#This Row],[Date]]</f>
        <v>45957</v>
      </c>
      <c r="C441" s="55" t="s">
        <v>23</v>
      </c>
      <c r="D441" s="59" t="s">
        <v>146</v>
      </c>
      <c r="E441" s="55" t="s">
        <v>18</v>
      </c>
      <c r="F441" s="55" t="s">
        <v>19</v>
      </c>
      <c r="G441" s="55">
        <v>1</v>
      </c>
      <c r="H441" s="55"/>
      <c r="I441" s="55"/>
      <c r="J441" s="55"/>
      <c r="K441" s="57"/>
      <c r="L441" s="55"/>
    </row>
    <row r="442" spans="1:12" s="24" customFormat="1">
      <c r="A442" s="53">
        <v>45957</v>
      </c>
      <c r="B442" s="54">
        <f>Table13[[#This Row],[Date]]</f>
        <v>45957</v>
      </c>
      <c r="C442" s="55" t="s">
        <v>23</v>
      </c>
      <c r="D442" s="59" t="s">
        <v>146</v>
      </c>
      <c r="E442" s="55" t="s">
        <v>21</v>
      </c>
      <c r="F442" s="55" t="s">
        <v>19</v>
      </c>
      <c r="G442" s="55">
        <v>1</v>
      </c>
      <c r="H442" s="55"/>
      <c r="I442" s="55"/>
      <c r="J442" s="55"/>
      <c r="K442" s="57"/>
      <c r="L442" s="55"/>
    </row>
    <row r="443" spans="1:12" s="24" customFormat="1">
      <c r="A443" s="53">
        <v>45957</v>
      </c>
      <c r="B443" s="54">
        <f>Table13[[#This Row],[Date]]</f>
        <v>45957</v>
      </c>
      <c r="C443" s="55" t="s">
        <v>23</v>
      </c>
      <c r="D443" s="59" t="s">
        <v>146</v>
      </c>
      <c r="E443" s="55" t="s">
        <v>147</v>
      </c>
      <c r="F443" s="55" t="s">
        <v>19</v>
      </c>
      <c r="G443" s="55">
        <v>1</v>
      </c>
      <c r="H443" s="55"/>
      <c r="I443" s="55"/>
      <c r="J443" s="55"/>
      <c r="K443" s="57"/>
      <c r="L443" s="55"/>
    </row>
    <row r="444" spans="1:12" s="24" customFormat="1">
      <c r="A444" s="53">
        <v>45957</v>
      </c>
      <c r="B444" s="54">
        <f>Table13[[#This Row],[Date]]</f>
        <v>45957</v>
      </c>
      <c r="C444" s="55" t="s">
        <v>23</v>
      </c>
      <c r="D444" s="59" t="s">
        <v>146</v>
      </c>
      <c r="E444" s="55" t="s">
        <v>148</v>
      </c>
      <c r="F444" s="55" t="s">
        <v>19</v>
      </c>
      <c r="G444" s="55">
        <v>1</v>
      </c>
      <c r="H444" s="55"/>
      <c r="I444" s="55"/>
      <c r="J444" s="55"/>
      <c r="K444" s="57"/>
      <c r="L444" s="55"/>
    </row>
    <row r="445" spans="1:12" s="24" customFormat="1">
      <c r="A445" s="53">
        <v>45957</v>
      </c>
      <c r="B445" s="54">
        <f>Table13[[#This Row],[Date]]</f>
        <v>45957</v>
      </c>
      <c r="C445" s="55" t="s">
        <v>26</v>
      </c>
      <c r="D445" s="59" t="s">
        <v>128</v>
      </c>
      <c r="E445" s="55" t="s">
        <v>18</v>
      </c>
      <c r="F445" s="55" t="s">
        <v>19</v>
      </c>
      <c r="G445" s="55">
        <v>1</v>
      </c>
      <c r="H445" s="55"/>
      <c r="I445" s="55"/>
      <c r="J445" s="55"/>
      <c r="K445" s="57"/>
      <c r="L445" s="55"/>
    </row>
    <row r="446" spans="1:12" s="24" customFormat="1">
      <c r="A446" s="53">
        <v>45957</v>
      </c>
      <c r="B446" s="54">
        <f>Table13[[#This Row],[Date]]</f>
        <v>45957</v>
      </c>
      <c r="C446" s="55" t="s">
        <v>26</v>
      </c>
      <c r="D446" s="59" t="s">
        <v>129</v>
      </c>
      <c r="E446" s="55" t="s">
        <v>21</v>
      </c>
      <c r="F446" s="55" t="s">
        <v>19</v>
      </c>
      <c r="G446" s="55">
        <v>1</v>
      </c>
      <c r="H446" s="55"/>
      <c r="I446" s="55"/>
      <c r="J446" s="55"/>
      <c r="K446" s="57"/>
      <c r="L446" s="55"/>
    </row>
    <row r="447" spans="1:12" s="24" customFormat="1">
      <c r="A447" s="53">
        <v>45958</v>
      </c>
      <c r="B447" s="54">
        <f>Table13[[#This Row],[Date]]</f>
        <v>45958</v>
      </c>
      <c r="C447" s="55" t="s">
        <v>14</v>
      </c>
      <c r="D447" s="59" t="s">
        <v>104</v>
      </c>
      <c r="E447" s="55" t="s">
        <v>18</v>
      </c>
      <c r="F447" s="55" t="s">
        <v>19</v>
      </c>
      <c r="G447" s="55">
        <v>1</v>
      </c>
      <c r="H447" s="55"/>
      <c r="I447" s="55"/>
      <c r="J447" s="55"/>
      <c r="K447" s="57"/>
      <c r="L447" s="55"/>
    </row>
    <row r="448" spans="1:12" s="24" customFormat="1">
      <c r="A448" s="53">
        <v>45958</v>
      </c>
      <c r="B448" s="54">
        <f>Table13[[#This Row],[Date]]</f>
        <v>45958</v>
      </c>
      <c r="C448" s="55" t="s">
        <v>14</v>
      </c>
      <c r="D448" s="59" t="s">
        <v>104</v>
      </c>
      <c r="E448" s="55" t="s">
        <v>21</v>
      </c>
      <c r="F448" s="55" t="s">
        <v>19</v>
      </c>
      <c r="G448" s="55">
        <v>1</v>
      </c>
      <c r="H448" s="55"/>
      <c r="I448" s="55"/>
      <c r="J448" s="55"/>
      <c r="K448" s="57"/>
      <c r="L448" s="55"/>
    </row>
    <row r="449" spans="1:12" s="24" customFormat="1">
      <c r="A449" s="48">
        <v>45958</v>
      </c>
      <c r="B449" s="49">
        <f>Table13[[#This Row],[Date]]</f>
        <v>45958</v>
      </c>
      <c r="C449" s="50" t="s">
        <v>149</v>
      </c>
      <c r="D449" s="51" t="s">
        <v>150</v>
      </c>
      <c r="E449" s="50"/>
      <c r="F449" s="50"/>
      <c r="G449" s="50"/>
      <c r="H449" s="50"/>
      <c r="I449" s="50"/>
      <c r="J449" s="50"/>
      <c r="K449" s="52"/>
      <c r="L449" s="50"/>
    </row>
    <row r="450" spans="1:12" s="24" customFormat="1">
      <c r="A450" s="53">
        <v>45959</v>
      </c>
      <c r="B450" s="54">
        <f>Table13[[#This Row],[Date]]</f>
        <v>45959</v>
      </c>
      <c r="C450" s="55" t="s">
        <v>4</v>
      </c>
      <c r="D450" s="59" t="s">
        <v>79</v>
      </c>
      <c r="E450" s="64" t="s">
        <v>18</v>
      </c>
      <c r="F450" s="55" t="s">
        <v>19</v>
      </c>
      <c r="G450" s="55">
        <v>1</v>
      </c>
      <c r="H450" s="55"/>
      <c r="I450" s="55"/>
      <c r="J450" s="55"/>
      <c r="K450" s="57"/>
      <c r="L450" s="55"/>
    </row>
    <row r="451" spans="1:12" s="24" customFormat="1">
      <c r="A451" s="53">
        <v>45959</v>
      </c>
      <c r="B451" s="54">
        <f>Table13[[#This Row],[Date]]</f>
        <v>45959</v>
      </c>
      <c r="C451" s="55" t="s">
        <v>4</v>
      </c>
      <c r="D451" s="59" t="s">
        <v>79</v>
      </c>
      <c r="E451" s="55" t="s">
        <v>21</v>
      </c>
      <c r="F451" s="55" t="s">
        <v>19</v>
      </c>
      <c r="G451" s="55">
        <v>1</v>
      </c>
      <c r="H451" s="55"/>
      <c r="I451" s="55"/>
      <c r="J451" s="55"/>
      <c r="K451" s="57"/>
      <c r="L451" s="55"/>
    </row>
    <row r="452" spans="1:12" s="24" customFormat="1">
      <c r="A452" s="53">
        <v>45959</v>
      </c>
      <c r="B452" s="54">
        <f>Table13[[#This Row],[Date]]</f>
        <v>45959</v>
      </c>
      <c r="C452" s="55" t="s">
        <v>4</v>
      </c>
      <c r="D452" s="59" t="s">
        <v>80</v>
      </c>
      <c r="E452" s="64" t="s">
        <v>18</v>
      </c>
      <c r="F452" s="55" t="s">
        <v>19</v>
      </c>
      <c r="G452" s="55">
        <v>1</v>
      </c>
      <c r="H452" s="55"/>
      <c r="I452" s="55"/>
      <c r="J452" s="55"/>
      <c r="K452" s="57"/>
      <c r="L452" s="55"/>
    </row>
    <row r="453" spans="1:12" s="24" customFormat="1">
      <c r="A453" s="53">
        <v>45959</v>
      </c>
      <c r="B453" s="54">
        <f>Table13[[#This Row],[Date]]</f>
        <v>45959</v>
      </c>
      <c r="C453" s="55" t="s">
        <v>4</v>
      </c>
      <c r="D453" s="59" t="s">
        <v>80</v>
      </c>
      <c r="E453" s="55" t="s">
        <v>21</v>
      </c>
      <c r="F453" s="55" t="s">
        <v>19</v>
      </c>
      <c r="G453" s="55">
        <v>1</v>
      </c>
      <c r="H453" s="55"/>
      <c r="I453" s="55"/>
      <c r="J453" s="55"/>
      <c r="K453" s="57"/>
      <c r="L453" s="55"/>
    </row>
    <row r="454" spans="1:12" s="24" customFormat="1">
      <c r="A454" s="53">
        <v>45960</v>
      </c>
      <c r="B454" s="54">
        <f>Table13[[#This Row],[Date]]</f>
        <v>45960</v>
      </c>
      <c r="C454" s="55" t="s">
        <v>4</v>
      </c>
      <c r="D454" s="59" t="s">
        <v>71</v>
      </c>
      <c r="E454" s="55" t="s">
        <v>59</v>
      </c>
      <c r="F454" s="55" t="s">
        <v>60</v>
      </c>
      <c r="G454" s="55">
        <v>1</v>
      </c>
      <c r="H454" s="55"/>
      <c r="I454" s="55"/>
      <c r="J454" s="55"/>
      <c r="K454" s="57"/>
      <c r="L454" s="55"/>
    </row>
    <row r="455" spans="1:12" s="24" customFormat="1">
      <c r="A455" s="53">
        <v>45960</v>
      </c>
      <c r="B455" s="54">
        <f>Table13[[#This Row],[Date]]</f>
        <v>45960</v>
      </c>
      <c r="C455" s="55" t="s">
        <v>4</v>
      </c>
      <c r="D455" s="59" t="s">
        <v>71</v>
      </c>
      <c r="E455" s="55" t="s">
        <v>72</v>
      </c>
      <c r="F455" s="55" t="s">
        <v>60</v>
      </c>
      <c r="G455" s="55">
        <v>1</v>
      </c>
      <c r="H455" s="55"/>
      <c r="I455" s="55"/>
      <c r="J455" s="55"/>
      <c r="K455" s="57"/>
      <c r="L455" s="55"/>
    </row>
    <row r="456" spans="1:12" s="24" customFormat="1">
      <c r="A456" s="53">
        <v>45960</v>
      </c>
      <c r="B456" s="54">
        <f>Table13[[#This Row],[Date]]</f>
        <v>45960</v>
      </c>
      <c r="C456" s="55" t="s">
        <v>4</v>
      </c>
      <c r="D456" s="59" t="s">
        <v>71</v>
      </c>
      <c r="E456" s="55" t="s">
        <v>73</v>
      </c>
      <c r="F456" s="55" t="s">
        <v>60</v>
      </c>
      <c r="G456" s="55">
        <v>1</v>
      </c>
      <c r="H456" s="55"/>
      <c r="I456" s="55"/>
      <c r="J456" s="55"/>
      <c r="K456" s="57"/>
      <c r="L456" s="55"/>
    </row>
    <row r="457" spans="1:12" s="24" customFormat="1">
      <c r="A457" s="53">
        <v>45961</v>
      </c>
      <c r="B457" s="54">
        <f>Table13[[#This Row],[Date]]</f>
        <v>45961</v>
      </c>
      <c r="C457" s="55" t="s">
        <v>14</v>
      </c>
      <c r="D457" s="59" t="s">
        <v>145</v>
      </c>
      <c r="E457" s="55" t="s">
        <v>18</v>
      </c>
      <c r="F457" s="55" t="s">
        <v>19</v>
      </c>
      <c r="G457" s="55">
        <v>1</v>
      </c>
      <c r="H457" s="55"/>
      <c r="I457" s="55"/>
      <c r="J457" s="55"/>
      <c r="K457" s="57"/>
      <c r="L457" s="55"/>
    </row>
    <row r="458" spans="1:12" s="24" customFormat="1">
      <c r="A458" s="53">
        <v>45961</v>
      </c>
      <c r="B458" s="54">
        <f>Table13[[#This Row],[Date]]</f>
        <v>45961</v>
      </c>
      <c r="C458" s="55" t="s">
        <v>4</v>
      </c>
      <c r="D458" s="59" t="s">
        <v>71</v>
      </c>
      <c r="E458" s="55" t="s">
        <v>61</v>
      </c>
      <c r="F458" s="55" t="s">
        <v>60</v>
      </c>
      <c r="G458" s="55">
        <v>1</v>
      </c>
      <c r="H458" s="55"/>
      <c r="I458" s="55"/>
      <c r="J458" s="55"/>
      <c r="K458" s="57"/>
      <c r="L458" s="55"/>
    </row>
    <row r="459" spans="1:12" s="24" customFormat="1">
      <c r="A459" s="53">
        <v>45961</v>
      </c>
      <c r="B459" s="54">
        <f>Table13[[#This Row],[Date]]</f>
        <v>45961</v>
      </c>
      <c r="C459" s="55" t="s">
        <v>4</v>
      </c>
      <c r="D459" s="59" t="s">
        <v>71</v>
      </c>
      <c r="E459" s="55" t="s">
        <v>76</v>
      </c>
      <c r="F459" s="55" t="s">
        <v>60</v>
      </c>
      <c r="G459" s="55">
        <v>1</v>
      </c>
      <c r="H459" s="55"/>
      <c r="I459" s="55"/>
      <c r="J459" s="55"/>
      <c r="K459" s="57"/>
      <c r="L459" s="55"/>
    </row>
    <row r="460" spans="1:12" s="24" customFormat="1">
      <c r="A460" s="53">
        <v>45961</v>
      </c>
      <c r="B460" s="54">
        <f>Table13[[#This Row],[Date]]</f>
        <v>45961</v>
      </c>
      <c r="C460" s="55" t="s">
        <v>4</v>
      </c>
      <c r="D460" s="59" t="s">
        <v>71</v>
      </c>
      <c r="E460" s="55" t="s">
        <v>77</v>
      </c>
      <c r="F460" s="55" t="s">
        <v>60</v>
      </c>
      <c r="G460" s="55">
        <v>1</v>
      </c>
      <c r="H460" s="55"/>
      <c r="I460" s="55"/>
      <c r="J460" s="55"/>
      <c r="K460" s="57"/>
      <c r="L460" s="55"/>
    </row>
    <row r="461" spans="1:12" s="24" customFormat="1">
      <c r="A461" s="16">
        <v>45962</v>
      </c>
      <c r="B461" s="18">
        <f>Table13[[#This Row],[Date]]</f>
        <v>45962</v>
      </c>
      <c r="C461" s="10" t="s">
        <v>14</v>
      </c>
      <c r="D461" s="9" t="s">
        <v>56</v>
      </c>
      <c r="E461" s="10" t="s">
        <v>18</v>
      </c>
      <c r="F461" s="10" t="s">
        <v>19</v>
      </c>
      <c r="G461" s="10">
        <v>1</v>
      </c>
      <c r="H461" s="10"/>
      <c r="I461" s="10"/>
      <c r="J461" s="10"/>
      <c r="K461" s="13"/>
      <c r="L461" s="10"/>
    </row>
    <row r="462" spans="1:12" s="24" customFormat="1">
      <c r="A462" s="16">
        <v>45962</v>
      </c>
      <c r="B462" s="18">
        <f>Table13[[#This Row],[Date]]</f>
        <v>45962</v>
      </c>
      <c r="C462" s="10" t="s">
        <v>14</v>
      </c>
      <c r="D462" s="9" t="s">
        <v>57</v>
      </c>
      <c r="E462" s="10" t="s">
        <v>18</v>
      </c>
      <c r="F462" s="10" t="s">
        <v>19</v>
      </c>
      <c r="G462" s="10">
        <v>1</v>
      </c>
      <c r="H462" s="10"/>
      <c r="I462" s="10"/>
      <c r="J462" s="10"/>
      <c r="K462" s="13"/>
      <c r="L462" s="10"/>
    </row>
    <row r="463" spans="1:12" s="24" customFormat="1">
      <c r="A463" s="16">
        <v>45962</v>
      </c>
      <c r="B463" s="18">
        <f>Table13[[#This Row],[Date]]</f>
        <v>45962</v>
      </c>
      <c r="C463" s="10" t="s">
        <v>14</v>
      </c>
      <c r="D463" s="9" t="s">
        <v>57</v>
      </c>
      <c r="E463" s="55" t="s">
        <v>18</v>
      </c>
      <c r="F463" s="55" t="s">
        <v>19</v>
      </c>
      <c r="G463" s="55">
        <v>1</v>
      </c>
      <c r="H463" s="1"/>
      <c r="I463" s="1"/>
      <c r="J463" s="1"/>
      <c r="K463" s="3"/>
      <c r="L463" s="1"/>
    </row>
    <row r="464" spans="1:12" s="24" customFormat="1">
      <c r="A464" s="16">
        <v>45962</v>
      </c>
      <c r="B464" s="18">
        <f>Table13[[#This Row],[Date]]</f>
        <v>45962</v>
      </c>
      <c r="C464" s="10" t="s">
        <v>4</v>
      </c>
      <c r="D464" s="9" t="s">
        <v>58</v>
      </c>
      <c r="E464" s="10" t="s">
        <v>59</v>
      </c>
      <c r="F464" s="10" t="s">
        <v>60</v>
      </c>
      <c r="G464" s="10">
        <v>1</v>
      </c>
      <c r="H464" s="10"/>
      <c r="I464" s="10"/>
      <c r="J464" s="10"/>
      <c r="K464" s="13"/>
      <c r="L464" s="10"/>
    </row>
    <row r="465" spans="1:12" s="24" customFormat="1">
      <c r="A465" s="16">
        <v>45962</v>
      </c>
      <c r="B465" s="18">
        <f>Table13[[#This Row],[Date]]</f>
        <v>45962</v>
      </c>
      <c r="C465" s="10" t="s">
        <v>4</v>
      </c>
      <c r="D465" s="9" t="s">
        <v>58</v>
      </c>
      <c r="E465" s="10" t="s">
        <v>61</v>
      </c>
      <c r="F465" s="10" t="s">
        <v>60</v>
      </c>
      <c r="G465" s="10">
        <v>1</v>
      </c>
      <c r="H465" s="10"/>
      <c r="I465" s="10"/>
      <c r="J465" s="10"/>
      <c r="K465" s="13"/>
      <c r="L465" s="10"/>
    </row>
    <row r="466" spans="1:12" s="24" customFormat="1">
      <c r="A466" s="16">
        <v>45962</v>
      </c>
      <c r="B466" s="18">
        <f>Table13[[#This Row],[Date]]</f>
        <v>45962</v>
      </c>
      <c r="C466" s="10" t="s">
        <v>4</v>
      </c>
      <c r="D466" s="9" t="s">
        <v>58</v>
      </c>
      <c r="E466" s="8" t="s">
        <v>18</v>
      </c>
      <c r="F466" s="10" t="s">
        <v>19</v>
      </c>
      <c r="G466" s="10">
        <v>1</v>
      </c>
      <c r="H466" s="10"/>
      <c r="I466" s="10"/>
      <c r="J466" s="10"/>
      <c r="K466" s="13"/>
      <c r="L466" s="10"/>
    </row>
    <row r="467" spans="1:12" s="24" customFormat="1">
      <c r="A467" s="16">
        <v>45962</v>
      </c>
      <c r="B467" s="18">
        <f>Table13[[#This Row],[Date]]</f>
        <v>45962</v>
      </c>
      <c r="C467" s="10" t="s">
        <v>4</v>
      </c>
      <c r="D467" s="9" t="s">
        <v>58</v>
      </c>
      <c r="E467" s="8" t="s">
        <v>21</v>
      </c>
      <c r="F467" s="10" t="s">
        <v>19</v>
      </c>
      <c r="G467" s="10">
        <v>1</v>
      </c>
      <c r="H467" s="10"/>
      <c r="I467" s="10"/>
      <c r="J467" s="10"/>
      <c r="K467" s="13"/>
      <c r="L467" s="10"/>
    </row>
    <row r="468" spans="1:12" s="24" customFormat="1">
      <c r="A468" s="16">
        <v>45962</v>
      </c>
      <c r="B468" s="18">
        <f>Table13[[#This Row],[Date]]</f>
        <v>45962</v>
      </c>
      <c r="C468" s="10" t="s">
        <v>4</v>
      </c>
      <c r="D468" s="9" t="s">
        <v>58</v>
      </c>
      <c r="E468" s="8" t="s">
        <v>49</v>
      </c>
      <c r="F468" s="10" t="s">
        <v>19</v>
      </c>
      <c r="G468" s="10">
        <v>1</v>
      </c>
      <c r="H468" s="10"/>
      <c r="I468" s="10"/>
      <c r="J468" s="10"/>
      <c r="K468" s="13"/>
      <c r="L468" s="10"/>
    </row>
    <row r="469" spans="1:12" s="24" customFormat="1">
      <c r="A469" s="16">
        <v>45962</v>
      </c>
      <c r="B469" s="18">
        <f>Table13[[#This Row],[Date]]</f>
        <v>45962</v>
      </c>
      <c r="C469" s="10" t="s">
        <v>4</v>
      </c>
      <c r="D469" s="9" t="s">
        <v>58</v>
      </c>
      <c r="E469" s="8" t="s">
        <v>41</v>
      </c>
      <c r="F469" s="10" t="s">
        <v>19</v>
      </c>
      <c r="G469" s="10">
        <v>1</v>
      </c>
      <c r="H469" s="10"/>
      <c r="I469" s="10"/>
      <c r="J469" s="10"/>
      <c r="K469" s="13"/>
      <c r="L469" s="10"/>
    </row>
    <row r="470" spans="1:12" s="24" customFormat="1" ht="28.9">
      <c r="A470" s="16">
        <v>45963</v>
      </c>
      <c r="B470" s="18">
        <f>Table13[[#This Row],[Date]]</f>
        <v>45963</v>
      </c>
      <c r="C470" s="10" t="s">
        <v>16</v>
      </c>
      <c r="D470" s="9" t="s">
        <v>62</v>
      </c>
      <c r="E470" s="10" t="s">
        <v>18</v>
      </c>
      <c r="F470" s="10" t="s">
        <v>19</v>
      </c>
      <c r="G470" s="10">
        <v>1</v>
      </c>
      <c r="H470" s="10"/>
      <c r="I470" s="10"/>
      <c r="J470" s="10"/>
      <c r="K470" s="13"/>
      <c r="L470" s="10"/>
    </row>
    <row r="471" spans="1:12" s="24" customFormat="1">
      <c r="A471" s="16">
        <v>45963</v>
      </c>
      <c r="B471" s="18">
        <f>Table13[[#This Row],[Date]]</f>
        <v>45963</v>
      </c>
      <c r="C471" s="10" t="s">
        <v>16</v>
      </c>
      <c r="D471" s="9" t="s">
        <v>63</v>
      </c>
      <c r="E471" s="10" t="s">
        <v>18</v>
      </c>
      <c r="F471" s="10" t="s">
        <v>19</v>
      </c>
      <c r="G471" s="10">
        <v>1</v>
      </c>
      <c r="H471" s="10"/>
      <c r="I471" s="10"/>
      <c r="J471" s="10"/>
      <c r="K471" s="13"/>
      <c r="L471" s="10"/>
    </row>
    <row r="472" spans="1:12" s="24" customFormat="1">
      <c r="A472" s="16">
        <v>45963</v>
      </c>
      <c r="B472" s="18">
        <f>Table13[[#This Row],[Date]]</f>
        <v>45963</v>
      </c>
      <c r="C472" s="10" t="s">
        <v>4</v>
      </c>
      <c r="D472" s="11" t="s">
        <v>58</v>
      </c>
      <c r="E472" s="8" t="s">
        <v>42</v>
      </c>
      <c r="F472" s="10" t="s">
        <v>19</v>
      </c>
      <c r="G472" s="10">
        <v>1</v>
      </c>
      <c r="H472" s="10"/>
      <c r="I472" s="10"/>
      <c r="J472" s="10"/>
      <c r="K472" s="13"/>
      <c r="L472" s="10"/>
    </row>
    <row r="473" spans="1:12" s="24" customFormat="1">
      <c r="A473" s="16">
        <v>45963</v>
      </c>
      <c r="B473" s="18">
        <f>Table13[[#This Row],[Date]]</f>
        <v>45963</v>
      </c>
      <c r="C473" s="10" t="s">
        <v>4</v>
      </c>
      <c r="D473" s="9" t="s">
        <v>58</v>
      </c>
      <c r="E473" s="10" t="s">
        <v>64</v>
      </c>
      <c r="F473" s="10" t="s">
        <v>19</v>
      </c>
      <c r="G473" s="10">
        <v>1</v>
      </c>
      <c r="H473" s="10"/>
      <c r="I473" s="10"/>
      <c r="J473" s="10"/>
      <c r="K473" s="13"/>
      <c r="L473" s="10"/>
    </row>
    <row r="474" spans="1:12" s="24" customFormat="1">
      <c r="A474" s="16">
        <v>45963</v>
      </c>
      <c r="B474" s="18">
        <f>Table13[[#This Row],[Date]]</f>
        <v>45963</v>
      </c>
      <c r="C474" s="10" t="s">
        <v>4</v>
      </c>
      <c r="D474" s="12" t="s">
        <v>58</v>
      </c>
      <c r="E474" s="10" t="s">
        <v>34</v>
      </c>
      <c r="F474" s="10" t="s">
        <v>19</v>
      </c>
      <c r="G474" s="10">
        <v>1</v>
      </c>
      <c r="H474" s="10"/>
      <c r="I474" s="10"/>
      <c r="J474" s="10"/>
      <c r="K474" s="13"/>
      <c r="L474" s="10"/>
    </row>
    <row r="475" spans="1:12" s="24" customFormat="1">
      <c r="A475" s="16">
        <v>45963</v>
      </c>
      <c r="B475" s="18">
        <f>Table13[[#This Row],[Date]]</f>
        <v>45963</v>
      </c>
      <c r="C475" s="10" t="s">
        <v>4</v>
      </c>
      <c r="D475" s="12" t="s">
        <v>58</v>
      </c>
      <c r="E475" s="10" t="s">
        <v>43</v>
      </c>
      <c r="F475" s="10" t="s">
        <v>19</v>
      </c>
      <c r="G475" s="10">
        <v>1</v>
      </c>
      <c r="H475" s="10"/>
      <c r="I475" s="10"/>
      <c r="J475" s="10"/>
      <c r="K475" s="13"/>
      <c r="L475" s="10"/>
    </row>
    <row r="476" spans="1:12" s="24" customFormat="1">
      <c r="A476" s="41">
        <v>45964</v>
      </c>
      <c r="B476" s="42">
        <f>Table13[[#This Row],[Date]]</f>
        <v>45964</v>
      </c>
      <c r="C476" s="43"/>
      <c r="D476" s="72" t="s">
        <v>173</v>
      </c>
      <c r="E476" s="43"/>
      <c r="F476" s="43"/>
      <c r="G476" s="43"/>
      <c r="H476" s="43"/>
      <c r="I476" s="43"/>
      <c r="J476" s="43"/>
      <c r="K476" s="45"/>
      <c r="L476" s="43"/>
    </row>
    <row r="477" spans="1:12" s="24" customFormat="1">
      <c r="A477" s="41">
        <v>45965</v>
      </c>
      <c r="B477" s="42">
        <f>Table13[[#This Row],[Date]]</f>
        <v>45965</v>
      </c>
      <c r="C477" s="43"/>
      <c r="D477" s="44" t="s">
        <v>174</v>
      </c>
      <c r="E477" s="43"/>
      <c r="F477" s="43"/>
      <c r="G477" s="43"/>
      <c r="H477" s="43"/>
      <c r="I477" s="43"/>
      <c r="J477" s="43"/>
      <c r="K477" s="45"/>
      <c r="L477" s="43"/>
    </row>
    <row r="478" spans="1:12" s="24" customFormat="1">
      <c r="A478" s="53">
        <v>45966</v>
      </c>
      <c r="B478" s="54">
        <f>Table13[[#This Row],[Date]]</f>
        <v>45966</v>
      </c>
      <c r="C478" s="55" t="s">
        <v>14</v>
      </c>
      <c r="D478" s="91" t="s">
        <v>33</v>
      </c>
      <c r="E478" s="77" t="s">
        <v>18</v>
      </c>
      <c r="F478" s="55" t="s">
        <v>19</v>
      </c>
      <c r="G478" s="55">
        <v>1</v>
      </c>
      <c r="H478" s="55"/>
      <c r="I478" s="55"/>
      <c r="J478" s="55"/>
      <c r="K478" s="57"/>
      <c r="L478" s="55"/>
    </row>
    <row r="479" spans="1:12" s="24" customFormat="1">
      <c r="A479" s="53">
        <v>45966</v>
      </c>
      <c r="B479" s="54">
        <f>Table13[[#This Row],[Date]]</f>
        <v>45966</v>
      </c>
      <c r="C479" s="55" t="s">
        <v>14</v>
      </c>
      <c r="D479" s="91" t="s">
        <v>33</v>
      </c>
      <c r="E479" s="55" t="s">
        <v>21</v>
      </c>
      <c r="F479" s="55" t="s">
        <v>19</v>
      </c>
      <c r="G479" s="55">
        <v>1</v>
      </c>
      <c r="H479" s="55"/>
      <c r="I479" s="55"/>
      <c r="J479" s="55"/>
      <c r="K479" s="57"/>
      <c r="L479" s="55"/>
    </row>
    <row r="480" spans="1:12" s="24" customFormat="1">
      <c r="A480" s="53">
        <v>45966</v>
      </c>
      <c r="B480" s="54">
        <f>Table13[[#This Row],[Date]]</f>
        <v>45966</v>
      </c>
      <c r="C480" s="55" t="s">
        <v>14</v>
      </c>
      <c r="D480" s="91" t="s">
        <v>33</v>
      </c>
      <c r="E480" s="77" t="s">
        <v>34</v>
      </c>
      <c r="F480" s="55" t="s">
        <v>19</v>
      </c>
      <c r="G480" s="55">
        <v>1</v>
      </c>
      <c r="H480" s="55"/>
      <c r="I480" s="55"/>
      <c r="J480" s="55"/>
      <c r="K480" s="57"/>
      <c r="L480" s="55"/>
    </row>
    <row r="481" spans="1:12" s="24" customFormat="1">
      <c r="A481" s="53">
        <v>45966</v>
      </c>
      <c r="B481" s="54">
        <f>Table13[[#This Row],[Date]]</f>
        <v>45966</v>
      </c>
      <c r="C481" s="55" t="s">
        <v>14</v>
      </c>
      <c r="D481" s="91" t="s">
        <v>33</v>
      </c>
      <c r="E481" s="77" t="s">
        <v>35</v>
      </c>
      <c r="F481" s="55" t="s">
        <v>19</v>
      </c>
      <c r="G481" s="55">
        <v>1</v>
      </c>
      <c r="H481" s="55"/>
      <c r="I481" s="55"/>
      <c r="J481" s="55"/>
      <c r="K481" s="57"/>
      <c r="L481" s="55"/>
    </row>
    <row r="482" spans="1:12" s="24" customFormat="1">
      <c r="A482" s="53">
        <v>45966</v>
      </c>
      <c r="B482" s="54">
        <f>Table13[[#This Row],[Date]]</f>
        <v>45966</v>
      </c>
      <c r="C482" s="55" t="s">
        <v>16</v>
      </c>
      <c r="D482" s="61" t="s">
        <v>17</v>
      </c>
      <c r="E482" s="55" t="s">
        <v>18</v>
      </c>
      <c r="F482" s="55" t="s">
        <v>19</v>
      </c>
      <c r="G482" s="55">
        <v>1</v>
      </c>
      <c r="H482" s="55"/>
      <c r="I482" s="55"/>
      <c r="J482" s="55"/>
      <c r="K482" s="57"/>
      <c r="L482" s="55"/>
    </row>
    <row r="483" spans="1:12" s="24" customFormat="1">
      <c r="A483" s="53">
        <v>45966</v>
      </c>
      <c r="B483" s="54">
        <f>Table13[[#This Row],[Date]]</f>
        <v>45966</v>
      </c>
      <c r="C483" s="55" t="s">
        <v>16</v>
      </c>
      <c r="D483" s="59" t="s">
        <v>20</v>
      </c>
      <c r="E483" s="55" t="s">
        <v>21</v>
      </c>
      <c r="F483" s="55" t="s">
        <v>19</v>
      </c>
      <c r="G483" s="55">
        <v>1</v>
      </c>
      <c r="H483" s="55"/>
      <c r="I483" s="55"/>
      <c r="J483" s="55"/>
      <c r="K483" s="57"/>
      <c r="L483" s="55"/>
    </row>
    <row r="484" spans="1:12" s="24" customFormat="1">
      <c r="A484" s="103">
        <v>45966</v>
      </c>
      <c r="B484" s="104">
        <f>Table13[[#This Row],[Date]]</f>
        <v>45966</v>
      </c>
      <c r="C484" s="105" t="s">
        <v>16</v>
      </c>
      <c r="D484" s="119" t="s">
        <v>22</v>
      </c>
      <c r="E484" s="107" t="s">
        <v>18</v>
      </c>
      <c r="F484" s="105" t="s">
        <v>19</v>
      </c>
      <c r="G484" s="105">
        <v>1</v>
      </c>
      <c r="H484" s="105"/>
      <c r="I484" s="105"/>
      <c r="J484" s="105"/>
      <c r="K484" s="108"/>
      <c r="L484" s="105"/>
    </row>
    <row r="485" spans="1:12" s="24" customFormat="1">
      <c r="A485" s="53">
        <v>45966</v>
      </c>
      <c r="B485" s="54">
        <f>Table13[[#This Row],[Date]]</f>
        <v>45966</v>
      </c>
      <c r="C485" s="55" t="s">
        <v>23</v>
      </c>
      <c r="D485" s="59" t="s">
        <v>36</v>
      </c>
      <c r="E485" s="55" t="s">
        <v>18</v>
      </c>
      <c r="F485" s="55" t="s">
        <v>19</v>
      </c>
      <c r="G485" s="55">
        <v>1</v>
      </c>
      <c r="H485" s="55"/>
      <c r="I485" s="55"/>
      <c r="J485" s="55"/>
      <c r="K485" s="57"/>
      <c r="L485" s="55"/>
    </row>
    <row r="486" spans="1:12" s="24" customFormat="1">
      <c r="A486" s="103">
        <v>45966</v>
      </c>
      <c r="B486" s="104">
        <f>Table13[[#This Row],[Date]]</f>
        <v>45966</v>
      </c>
      <c r="C486" s="105" t="s">
        <v>23</v>
      </c>
      <c r="D486" s="109" t="s">
        <v>37</v>
      </c>
      <c r="E486" s="105" t="s">
        <v>21</v>
      </c>
      <c r="F486" s="105" t="s">
        <v>19</v>
      </c>
      <c r="G486" s="105">
        <v>2</v>
      </c>
      <c r="H486" s="105"/>
      <c r="I486" s="105"/>
      <c r="J486" s="105"/>
      <c r="K486" s="108"/>
      <c r="L486" s="105"/>
    </row>
    <row r="487" spans="1:12" s="24" customFormat="1">
      <c r="A487" s="15">
        <v>45966</v>
      </c>
      <c r="B487" s="17">
        <f>Table13[[#This Row],[Date]]</f>
        <v>45966</v>
      </c>
      <c r="C487" s="1" t="s">
        <v>23</v>
      </c>
      <c r="D487" s="135" t="s">
        <v>38</v>
      </c>
      <c r="E487" s="1" t="s">
        <v>18</v>
      </c>
      <c r="F487" s="1" t="s">
        <v>19</v>
      </c>
      <c r="G487" s="1">
        <v>1</v>
      </c>
      <c r="H487" s="1"/>
      <c r="I487" s="1"/>
      <c r="J487" s="1"/>
      <c r="K487" s="3"/>
      <c r="L487" s="1"/>
    </row>
    <row r="488" spans="1:12" s="24" customFormat="1">
      <c r="A488" s="53">
        <v>45966</v>
      </c>
      <c r="B488" s="54">
        <f>Table13[[#This Row],[Date]]</f>
        <v>45966</v>
      </c>
      <c r="C488" s="55" t="s">
        <v>26</v>
      </c>
      <c r="D488" s="74" t="s">
        <v>27</v>
      </c>
      <c r="E488" s="55" t="s">
        <v>18</v>
      </c>
      <c r="F488" s="55" t="s">
        <v>19</v>
      </c>
      <c r="G488" s="55">
        <v>1</v>
      </c>
      <c r="H488" s="55"/>
      <c r="I488" s="55"/>
      <c r="J488" s="55"/>
      <c r="K488" s="57"/>
      <c r="L488" s="55"/>
    </row>
    <row r="489" spans="1:12" s="24" customFormat="1">
      <c r="A489" s="53">
        <v>45966</v>
      </c>
      <c r="B489" s="54">
        <f>Table13[[#This Row],[Date]]</f>
        <v>45966</v>
      </c>
      <c r="C489" s="55" t="s">
        <v>26</v>
      </c>
      <c r="D489" s="74" t="s">
        <v>27</v>
      </c>
      <c r="E489" s="55" t="s">
        <v>28</v>
      </c>
      <c r="F489" s="55" t="s">
        <v>19</v>
      </c>
      <c r="G489" s="55">
        <v>1</v>
      </c>
      <c r="H489" s="55"/>
      <c r="I489" s="55"/>
      <c r="J489" s="55"/>
      <c r="K489" s="57"/>
      <c r="L489" s="55"/>
    </row>
    <row r="490" spans="1:12" s="24" customFormat="1">
      <c r="A490" s="53">
        <v>45966</v>
      </c>
      <c r="B490" s="54">
        <f>Table13[[#This Row],[Date]]</f>
        <v>45966</v>
      </c>
      <c r="C490" s="55" t="s">
        <v>26</v>
      </c>
      <c r="D490" s="74" t="s">
        <v>29</v>
      </c>
      <c r="E490" s="55" t="s">
        <v>18</v>
      </c>
      <c r="F490" s="55" t="s">
        <v>19</v>
      </c>
      <c r="G490" s="55">
        <v>1</v>
      </c>
      <c r="H490" s="55"/>
      <c r="I490" s="55"/>
      <c r="J490" s="55"/>
      <c r="K490" s="57"/>
      <c r="L490" s="55"/>
    </row>
    <row r="491" spans="1:12" s="24" customFormat="1">
      <c r="A491" s="53">
        <v>45966</v>
      </c>
      <c r="B491" s="54">
        <f>Table13[[#This Row],[Date]]</f>
        <v>45966</v>
      </c>
      <c r="C491" s="55" t="s">
        <v>26</v>
      </c>
      <c r="D491" s="74" t="s">
        <v>29</v>
      </c>
      <c r="E491" s="55" t="s">
        <v>28</v>
      </c>
      <c r="F491" s="55" t="s">
        <v>19</v>
      </c>
      <c r="G491" s="55">
        <v>1</v>
      </c>
      <c r="H491" s="55"/>
      <c r="I491" s="55"/>
      <c r="J491" s="55"/>
      <c r="K491" s="57"/>
      <c r="L491" s="55"/>
    </row>
    <row r="492" spans="1:12" s="24" customFormat="1">
      <c r="A492" s="53">
        <v>45967</v>
      </c>
      <c r="B492" s="54">
        <f>Table13[[#This Row],[Date]]</f>
        <v>45967</v>
      </c>
      <c r="C492" s="55" t="s">
        <v>14</v>
      </c>
      <c r="D492" s="91" t="s">
        <v>33</v>
      </c>
      <c r="E492" s="64" t="s">
        <v>41</v>
      </c>
      <c r="F492" s="55" t="s">
        <v>19</v>
      </c>
      <c r="G492" s="55">
        <v>1</v>
      </c>
      <c r="H492" s="55"/>
      <c r="I492" s="55"/>
      <c r="J492" s="55"/>
      <c r="K492" s="57"/>
      <c r="L492" s="55"/>
    </row>
    <row r="493" spans="1:12" s="24" customFormat="1">
      <c r="A493" s="53">
        <v>45967</v>
      </c>
      <c r="B493" s="54">
        <f>Table13[[#This Row],[Date]]</f>
        <v>45967</v>
      </c>
      <c r="C493" s="55" t="s">
        <v>14</v>
      </c>
      <c r="D493" s="91" t="s">
        <v>33</v>
      </c>
      <c r="E493" s="55" t="s">
        <v>42</v>
      </c>
      <c r="F493" s="55" t="s">
        <v>19</v>
      </c>
      <c r="G493" s="55">
        <v>1</v>
      </c>
      <c r="H493" s="55"/>
      <c r="I493" s="55"/>
      <c r="J493" s="55"/>
      <c r="K493" s="57"/>
      <c r="L493" s="55"/>
    </row>
    <row r="494" spans="1:12" s="24" customFormat="1">
      <c r="A494" s="53">
        <v>45967</v>
      </c>
      <c r="B494" s="54">
        <f>Table13[[#This Row],[Date]]</f>
        <v>45967</v>
      </c>
      <c r="C494" s="55" t="s">
        <v>14</v>
      </c>
      <c r="D494" s="91" t="s">
        <v>33</v>
      </c>
      <c r="E494" s="55" t="s">
        <v>43</v>
      </c>
      <c r="F494" s="55" t="s">
        <v>19</v>
      </c>
      <c r="G494" s="55">
        <v>1</v>
      </c>
      <c r="H494" s="55"/>
      <c r="I494" s="55"/>
      <c r="J494" s="55"/>
      <c r="K494" s="57"/>
      <c r="L494" s="55"/>
    </row>
    <row r="495" spans="1:12" s="24" customFormat="1">
      <c r="A495" s="53">
        <v>45967</v>
      </c>
      <c r="B495" s="54">
        <f>Table13[[#This Row],[Date]]</f>
        <v>45967</v>
      </c>
      <c r="C495" s="55" t="s">
        <v>14</v>
      </c>
      <c r="D495" s="91" t="s">
        <v>33</v>
      </c>
      <c r="E495" s="64" t="s">
        <v>44</v>
      </c>
      <c r="F495" s="55" t="s">
        <v>19</v>
      </c>
      <c r="G495" s="55">
        <v>1</v>
      </c>
      <c r="H495" s="55"/>
      <c r="I495" s="55"/>
      <c r="J495" s="55"/>
      <c r="K495" s="57"/>
      <c r="L495" s="55"/>
    </row>
    <row r="496" spans="1:12" s="24" customFormat="1">
      <c r="A496" s="53">
        <v>45967</v>
      </c>
      <c r="B496" s="54">
        <f>Table13[[#This Row],[Date]]</f>
        <v>45967</v>
      </c>
      <c r="C496" s="55" t="s">
        <v>14</v>
      </c>
      <c r="D496" s="91" t="s">
        <v>33</v>
      </c>
      <c r="E496" s="64" t="s">
        <v>45</v>
      </c>
      <c r="F496" s="55" t="s">
        <v>19</v>
      </c>
      <c r="G496" s="55">
        <v>1</v>
      </c>
      <c r="H496" s="55"/>
      <c r="I496" s="55"/>
      <c r="J496" s="55"/>
      <c r="K496" s="57"/>
      <c r="L496" s="55"/>
    </row>
    <row r="497" spans="1:12" s="24" customFormat="1">
      <c r="A497" s="53">
        <v>45967</v>
      </c>
      <c r="B497" s="54">
        <f>Table13[[#This Row],[Date]]</f>
        <v>45967</v>
      </c>
      <c r="C497" s="55" t="s">
        <v>16</v>
      </c>
      <c r="D497" s="59" t="s">
        <v>46</v>
      </c>
      <c r="E497" s="64" t="s">
        <v>18</v>
      </c>
      <c r="F497" s="55" t="s">
        <v>19</v>
      </c>
      <c r="G497" s="55">
        <v>1</v>
      </c>
      <c r="H497" s="55"/>
      <c r="I497" s="55"/>
      <c r="J497" s="55"/>
      <c r="K497" s="57"/>
      <c r="L497" s="55"/>
    </row>
    <row r="498" spans="1:12" s="24" customFormat="1">
      <c r="A498" s="53">
        <v>45967</v>
      </c>
      <c r="B498" s="54">
        <f>Table13[[#This Row],[Date]]</f>
        <v>45967</v>
      </c>
      <c r="C498" s="55" t="s">
        <v>16</v>
      </c>
      <c r="D498" s="59" t="s">
        <v>46</v>
      </c>
      <c r="E498" s="64" t="s">
        <v>21</v>
      </c>
      <c r="F498" s="55" t="s">
        <v>19</v>
      </c>
      <c r="G498" s="55">
        <v>1</v>
      </c>
      <c r="H498" s="55"/>
      <c r="I498" s="55"/>
      <c r="J498" s="55"/>
      <c r="K498" s="57"/>
      <c r="L498" s="55"/>
    </row>
    <row r="499" spans="1:12" s="24" customFormat="1">
      <c r="A499" s="53">
        <v>45967</v>
      </c>
      <c r="B499" s="54">
        <f>Table13[[#This Row],[Date]]</f>
        <v>45967</v>
      </c>
      <c r="C499" s="55" t="s">
        <v>16</v>
      </c>
      <c r="D499" s="59" t="s">
        <v>46</v>
      </c>
      <c r="E499" s="64" t="s">
        <v>47</v>
      </c>
      <c r="F499" s="55" t="s">
        <v>19</v>
      </c>
      <c r="G499" s="55">
        <v>1</v>
      </c>
      <c r="H499" s="55"/>
      <c r="I499" s="55"/>
      <c r="J499" s="55"/>
      <c r="K499" s="57"/>
      <c r="L499" s="55"/>
    </row>
    <row r="500" spans="1:12" s="24" customFormat="1">
      <c r="A500" s="53">
        <v>45967</v>
      </c>
      <c r="B500" s="54">
        <f>Table13[[#This Row],[Date]]</f>
        <v>45967</v>
      </c>
      <c r="C500" s="55" t="s">
        <v>23</v>
      </c>
      <c r="D500" s="91" t="s">
        <v>24</v>
      </c>
      <c r="E500" s="64" t="s">
        <v>18</v>
      </c>
      <c r="F500" s="55" t="s">
        <v>19</v>
      </c>
      <c r="G500" s="55">
        <v>1</v>
      </c>
      <c r="H500" s="55"/>
      <c r="I500" s="55"/>
      <c r="J500" s="55"/>
      <c r="K500" s="57"/>
      <c r="L500" s="55"/>
    </row>
    <row r="501" spans="1:12" s="24" customFormat="1">
      <c r="A501" s="53">
        <v>45967</v>
      </c>
      <c r="B501" s="54">
        <f>Table13[[#This Row],[Date]]</f>
        <v>45967</v>
      </c>
      <c r="C501" s="55" t="s">
        <v>23</v>
      </c>
      <c r="D501" s="91" t="s">
        <v>25</v>
      </c>
      <c r="E501" s="64" t="s">
        <v>18</v>
      </c>
      <c r="F501" s="55" t="s">
        <v>19</v>
      </c>
      <c r="G501" s="55">
        <v>1</v>
      </c>
      <c r="H501" s="55"/>
      <c r="I501" s="55"/>
      <c r="J501" s="55"/>
      <c r="K501" s="57"/>
      <c r="L501" s="55"/>
    </row>
    <row r="502" spans="1:12" s="24" customFormat="1">
      <c r="A502" s="53">
        <v>45967</v>
      </c>
      <c r="B502" s="54">
        <f>Table13[[#This Row],[Date]]</f>
        <v>45967</v>
      </c>
      <c r="C502" s="55" t="s">
        <v>23</v>
      </c>
      <c r="D502" s="91" t="s">
        <v>25</v>
      </c>
      <c r="E502" s="64" t="s">
        <v>21</v>
      </c>
      <c r="F502" s="55" t="s">
        <v>19</v>
      </c>
      <c r="G502" s="55">
        <v>1</v>
      </c>
      <c r="H502" s="55"/>
      <c r="I502" s="55"/>
      <c r="J502" s="55"/>
      <c r="K502" s="57"/>
      <c r="L502" s="55"/>
    </row>
    <row r="503" spans="1:12" s="24" customFormat="1">
      <c r="A503" s="53">
        <v>45967</v>
      </c>
      <c r="B503" s="54">
        <f>Table13[[#This Row],[Date]]</f>
        <v>45967</v>
      </c>
      <c r="C503" s="55" t="s">
        <v>26</v>
      </c>
      <c r="D503" s="74" t="s">
        <v>30</v>
      </c>
      <c r="E503" s="55" t="s">
        <v>18</v>
      </c>
      <c r="F503" s="55" t="s">
        <v>19</v>
      </c>
      <c r="G503" s="55">
        <v>1</v>
      </c>
      <c r="H503" s="55"/>
      <c r="I503" s="55"/>
      <c r="J503" s="55"/>
      <c r="K503" s="57"/>
      <c r="L503" s="55"/>
    </row>
    <row r="504" spans="1:12" s="24" customFormat="1">
      <c r="A504" s="53">
        <v>45967</v>
      </c>
      <c r="B504" s="54">
        <f>Table13[[#This Row],[Date]]</f>
        <v>45967</v>
      </c>
      <c r="C504" s="55" t="s">
        <v>26</v>
      </c>
      <c r="D504" s="74" t="s">
        <v>30</v>
      </c>
      <c r="E504" s="55" t="s">
        <v>28</v>
      </c>
      <c r="F504" s="55" t="s">
        <v>19</v>
      </c>
      <c r="G504" s="55">
        <v>1</v>
      </c>
      <c r="H504" s="55"/>
      <c r="I504" s="55"/>
      <c r="J504" s="55"/>
      <c r="K504" s="57"/>
      <c r="L504" s="55"/>
    </row>
    <row r="505" spans="1:12" s="24" customFormat="1">
      <c r="A505" s="53">
        <v>45967</v>
      </c>
      <c r="B505" s="54">
        <f>Table13[[#This Row],[Date]]</f>
        <v>45967</v>
      </c>
      <c r="C505" s="55" t="s">
        <v>26</v>
      </c>
      <c r="D505" s="74" t="s">
        <v>31</v>
      </c>
      <c r="E505" s="55" t="s">
        <v>18</v>
      </c>
      <c r="F505" s="55" t="s">
        <v>19</v>
      </c>
      <c r="G505" s="55">
        <v>1</v>
      </c>
      <c r="H505" s="55"/>
      <c r="I505" s="55"/>
      <c r="J505" s="55"/>
      <c r="K505" s="57"/>
      <c r="L505" s="55"/>
    </row>
    <row r="506" spans="1:12" s="24" customFormat="1">
      <c r="A506" s="53">
        <v>45967</v>
      </c>
      <c r="B506" s="54">
        <f>Table13[[#This Row],[Date]]</f>
        <v>45967</v>
      </c>
      <c r="C506" s="55" t="s">
        <v>26</v>
      </c>
      <c r="D506" s="74" t="s">
        <v>31</v>
      </c>
      <c r="E506" s="55" t="s">
        <v>28</v>
      </c>
      <c r="F506" s="55" t="s">
        <v>19</v>
      </c>
      <c r="G506" s="55">
        <v>1</v>
      </c>
      <c r="H506" s="55"/>
      <c r="I506" s="55"/>
      <c r="J506" s="55"/>
      <c r="K506" s="57"/>
      <c r="L506" s="55"/>
    </row>
    <row r="507" spans="1:12" s="24" customFormat="1">
      <c r="A507" s="53">
        <v>45968</v>
      </c>
      <c r="B507" s="54">
        <f>Table13[[#This Row],[Date]]</f>
        <v>45968</v>
      </c>
      <c r="C507" s="55" t="s">
        <v>16</v>
      </c>
      <c r="D507" s="118" t="s">
        <v>50</v>
      </c>
      <c r="E507" s="64" t="s">
        <v>47</v>
      </c>
      <c r="F507" s="55" t="s">
        <v>19</v>
      </c>
      <c r="G507" s="55">
        <v>1</v>
      </c>
      <c r="H507" s="55"/>
      <c r="I507" s="55"/>
      <c r="J507" s="55"/>
      <c r="K507" s="57"/>
      <c r="L507" s="55"/>
    </row>
    <row r="508" spans="1:12" s="24" customFormat="1">
      <c r="A508" s="53">
        <v>45968</v>
      </c>
      <c r="B508" s="54">
        <f>Table13[[#This Row],[Date]]</f>
        <v>45968</v>
      </c>
      <c r="C508" s="55" t="s">
        <v>16</v>
      </c>
      <c r="D508" s="118" t="s">
        <v>50</v>
      </c>
      <c r="E508" s="64" t="s">
        <v>18</v>
      </c>
      <c r="F508" s="55" t="s">
        <v>19</v>
      </c>
      <c r="G508" s="55">
        <v>1</v>
      </c>
      <c r="H508" s="55"/>
      <c r="I508" s="55"/>
      <c r="J508" s="55"/>
      <c r="K508" s="57"/>
      <c r="L508" s="55"/>
    </row>
    <row r="509" spans="1:12" s="24" customFormat="1">
      <c r="A509" s="53">
        <v>45968</v>
      </c>
      <c r="B509" s="54">
        <f>Table13[[#This Row],[Date]]</f>
        <v>45968</v>
      </c>
      <c r="C509" s="55" t="s">
        <v>16</v>
      </c>
      <c r="D509" s="118" t="s">
        <v>50</v>
      </c>
      <c r="E509" s="64" t="s">
        <v>21</v>
      </c>
      <c r="F509" s="55" t="s">
        <v>19</v>
      </c>
      <c r="G509" s="55">
        <v>1</v>
      </c>
      <c r="H509" s="55"/>
      <c r="I509" s="55"/>
      <c r="J509" s="55"/>
      <c r="K509" s="57"/>
      <c r="L509" s="55"/>
    </row>
    <row r="510" spans="1:12" s="24" customFormat="1">
      <c r="A510" s="53">
        <v>45968</v>
      </c>
      <c r="B510" s="54">
        <f>Table13[[#This Row],[Date]]</f>
        <v>45968</v>
      </c>
      <c r="C510" s="55" t="s">
        <v>16</v>
      </c>
      <c r="D510" s="59" t="s">
        <v>51</v>
      </c>
      <c r="E510" s="55" t="s">
        <v>18</v>
      </c>
      <c r="F510" s="55" t="s">
        <v>19</v>
      </c>
      <c r="G510" s="55">
        <v>1</v>
      </c>
      <c r="H510" s="55"/>
      <c r="I510" s="55"/>
      <c r="J510" s="55"/>
      <c r="K510" s="57"/>
      <c r="L510" s="55"/>
    </row>
    <row r="511" spans="1:12" s="24" customFormat="1">
      <c r="A511" s="53">
        <v>45968</v>
      </c>
      <c r="B511" s="54">
        <f>Table13[[#This Row],[Date]]</f>
        <v>45968</v>
      </c>
      <c r="C511" s="55" t="s">
        <v>23</v>
      </c>
      <c r="D511" s="123" t="s">
        <v>52</v>
      </c>
      <c r="E511" s="64" t="s">
        <v>47</v>
      </c>
      <c r="F511" s="55" t="s">
        <v>19</v>
      </c>
      <c r="G511" s="55">
        <v>1</v>
      </c>
      <c r="H511" s="55"/>
      <c r="I511" s="55"/>
      <c r="J511" s="55"/>
      <c r="K511" s="57"/>
      <c r="L511" s="55"/>
    </row>
    <row r="512" spans="1:12" s="24" customFormat="1">
      <c r="A512" s="53">
        <v>45968</v>
      </c>
      <c r="B512" s="54">
        <f>Table13[[#This Row],[Date]]</f>
        <v>45968</v>
      </c>
      <c r="C512" s="55" t="s">
        <v>23</v>
      </c>
      <c r="D512" s="123" t="s">
        <v>52</v>
      </c>
      <c r="E512" s="64" t="s">
        <v>53</v>
      </c>
      <c r="F512" s="55" t="s">
        <v>19</v>
      </c>
      <c r="G512" s="55">
        <v>1</v>
      </c>
      <c r="H512" s="55"/>
      <c r="I512" s="55"/>
      <c r="J512" s="55"/>
      <c r="K512" s="57"/>
      <c r="L512" s="55"/>
    </row>
    <row r="513" spans="1:12" s="24" customFormat="1">
      <c r="A513" s="53">
        <v>45968</v>
      </c>
      <c r="B513" s="54">
        <f>Table13[[#This Row],[Date]]</f>
        <v>45968</v>
      </c>
      <c r="C513" s="55" t="s">
        <v>23</v>
      </c>
      <c r="D513" s="91" t="s">
        <v>54</v>
      </c>
      <c r="E513" s="64" t="s">
        <v>18</v>
      </c>
      <c r="F513" s="55" t="s">
        <v>19</v>
      </c>
      <c r="G513" s="55">
        <v>1</v>
      </c>
      <c r="H513" s="55"/>
      <c r="I513" s="55"/>
      <c r="J513" s="55"/>
      <c r="K513" s="57"/>
      <c r="L513" s="55"/>
    </row>
    <row r="514" spans="1:12" s="24" customFormat="1">
      <c r="A514" s="53">
        <v>45968</v>
      </c>
      <c r="B514" s="54">
        <f>Table13[[#This Row],[Date]]</f>
        <v>45968</v>
      </c>
      <c r="C514" s="55" t="s">
        <v>23</v>
      </c>
      <c r="D514" s="91" t="s">
        <v>54</v>
      </c>
      <c r="E514" s="64" t="s">
        <v>21</v>
      </c>
      <c r="F514" s="55" t="s">
        <v>19</v>
      </c>
      <c r="G514" s="55">
        <v>1</v>
      </c>
      <c r="H514" s="55"/>
      <c r="I514" s="55"/>
      <c r="J514" s="55"/>
      <c r="K514" s="57"/>
      <c r="L514" s="55"/>
    </row>
    <row r="515" spans="1:12" s="24" customFormat="1">
      <c r="A515" s="53">
        <v>45968</v>
      </c>
      <c r="B515" s="54">
        <f>Table13[[#This Row],[Date]]</f>
        <v>45968</v>
      </c>
      <c r="C515" s="55" t="s">
        <v>26</v>
      </c>
      <c r="D515" s="74" t="s">
        <v>39</v>
      </c>
      <c r="E515" s="55" t="s">
        <v>18</v>
      </c>
      <c r="F515" s="55" t="s">
        <v>19</v>
      </c>
      <c r="G515" s="55">
        <v>1</v>
      </c>
      <c r="H515" s="55"/>
      <c r="I515" s="55"/>
      <c r="J515" s="55"/>
      <c r="K515" s="57"/>
      <c r="L515" s="55"/>
    </row>
    <row r="516" spans="1:12" s="24" customFormat="1">
      <c r="A516" s="53">
        <v>45968</v>
      </c>
      <c r="B516" s="54">
        <f>Table13[[#This Row],[Date]]</f>
        <v>45968</v>
      </c>
      <c r="C516" s="55" t="s">
        <v>26</v>
      </c>
      <c r="D516" s="74" t="s">
        <v>39</v>
      </c>
      <c r="E516" s="55" t="s">
        <v>28</v>
      </c>
      <c r="F516" s="55" t="s">
        <v>19</v>
      </c>
      <c r="G516" s="55">
        <v>1</v>
      </c>
      <c r="H516" s="55"/>
      <c r="I516" s="55"/>
      <c r="J516" s="55"/>
      <c r="K516" s="57"/>
      <c r="L516" s="55"/>
    </row>
    <row r="517" spans="1:12" s="24" customFormat="1">
      <c r="A517" s="53">
        <v>45968</v>
      </c>
      <c r="B517" s="54">
        <f>Table13[[#This Row],[Date]]</f>
        <v>45968</v>
      </c>
      <c r="C517" s="55" t="s">
        <v>26</v>
      </c>
      <c r="D517" s="74" t="s">
        <v>40</v>
      </c>
      <c r="E517" s="55" t="s">
        <v>18</v>
      </c>
      <c r="F517" s="55" t="s">
        <v>19</v>
      </c>
      <c r="G517" s="55">
        <v>1</v>
      </c>
      <c r="H517" s="55"/>
      <c r="I517" s="55"/>
      <c r="J517" s="55"/>
      <c r="K517" s="57"/>
      <c r="L517" s="55"/>
    </row>
    <row r="518" spans="1:12" s="24" customFormat="1">
      <c r="A518" s="53">
        <v>45968</v>
      </c>
      <c r="B518" s="54">
        <f>Table13[[#This Row],[Date]]</f>
        <v>45968</v>
      </c>
      <c r="C518" s="55" t="s">
        <v>26</v>
      </c>
      <c r="D518" s="74" t="s">
        <v>40</v>
      </c>
      <c r="E518" s="55" t="s">
        <v>28</v>
      </c>
      <c r="F518" s="55" t="s">
        <v>19</v>
      </c>
      <c r="G518" s="55">
        <v>1</v>
      </c>
      <c r="H518" s="55"/>
      <c r="I518" s="55"/>
      <c r="J518" s="55"/>
      <c r="K518" s="57"/>
      <c r="L518" s="55"/>
    </row>
    <row r="519" spans="1:12" s="24" customFormat="1">
      <c r="A519" s="16">
        <v>45969</v>
      </c>
      <c r="B519" s="18">
        <f>Table13[[#This Row],[Date]]</f>
        <v>45969</v>
      </c>
      <c r="C519" s="10" t="s">
        <v>4</v>
      </c>
      <c r="D519" s="11" t="s">
        <v>87</v>
      </c>
      <c r="E519" s="10" t="s">
        <v>88</v>
      </c>
      <c r="F519" s="10" t="s">
        <v>19</v>
      </c>
      <c r="G519" s="10">
        <v>1</v>
      </c>
      <c r="H519" s="10"/>
      <c r="I519" s="10"/>
      <c r="J519" s="10"/>
      <c r="K519" s="13"/>
      <c r="L519" s="10"/>
    </row>
    <row r="520" spans="1:12" s="24" customFormat="1">
      <c r="A520" s="16">
        <v>45969</v>
      </c>
      <c r="B520" s="18">
        <f>Table13[[#This Row],[Date]]</f>
        <v>45969</v>
      </c>
      <c r="C520" s="10" t="s">
        <v>4</v>
      </c>
      <c r="D520" s="11" t="s">
        <v>87</v>
      </c>
      <c r="E520" s="10" t="s">
        <v>89</v>
      </c>
      <c r="F520" s="10" t="s">
        <v>19</v>
      </c>
      <c r="G520" s="10">
        <v>1</v>
      </c>
      <c r="H520" s="10"/>
      <c r="I520" s="10"/>
      <c r="J520" s="10"/>
      <c r="K520" s="13"/>
      <c r="L520" s="10"/>
    </row>
    <row r="521" spans="1:12" s="24" customFormat="1">
      <c r="A521" s="16">
        <v>45969</v>
      </c>
      <c r="B521" s="18">
        <f>Table13[[#This Row],[Date]]</f>
        <v>45969</v>
      </c>
      <c r="C521" s="10" t="s">
        <v>4</v>
      </c>
      <c r="D521" s="11" t="s">
        <v>87</v>
      </c>
      <c r="E521" s="10" t="s">
        <v>90</v>
      </c>
      <c r="F521" s="10" t="s">
        <v>19</v>
      </c>
      <c r="G521" s="10">
        <v>1</v>
      </c>
      <c r="H521" s="10"/>
      <c r="I521" s="10"/>
      <c r="J521" s="10"/>
      <c r="K521" s="13"/>
      <c r="L521" s="10"/>
    </row>
    <row r="522" spans="1:12" s="24" customFormat="1">
      <c r="A522" s="16">
        <v>45969</v>
      </c>
      <c r="B522" s="18">
        <f>Table13[[#This Row],[Date]]</f>
        <v>45969</v>
      </c>
      <c r="C522" s="10" t="s">
        <v>4</v>
      </c>
      <c r="D522" s="11" t="s">
        <v>87</v>
      </c>
      <c r="E522" s="10" t="s">
        <v>91</v>
      </c>
      <c r="F522" s="10" t="s">
        <v>19</v>
      </c>
      <c r="G522" s="10">
        <v>1</v>
      </c>
      <c r="H522" s="10"/>
      <c r="I522" s="10"/>
      <c r="J522" s="10"/>
      <c r="K522" s="13"/>
      <c r="L522" s="10"/>
    </row>
    <row r="523" spans="1:12" s="24" customFormat="1">
      <c r="A523" s="53">
        <v>45971</v>
      </c>
      <c r="B523" s="54">
        <f>Table13[[#This Row],[Date]]</f>
        <v>45971</v>
      </c>
      <c r="C523" s="55" t="s">
        <v>14</v>
      </c>
      <c r="D523" s="59" t="s">
        <v>65</v>
      </c>
      <c r="E523" s="55" t="s">
        <v>18</v>
      </c>
      <c r="F523" s="55" t="s">
        <v>19</v>
      </c>
      <c r="G523" s="55">
        <v>1</v>
      </c>
      <c r="H523" s="55"/>
      <c r="I523" s="55"/>
      <c r="J523" s="55"/>
      <c r="K523" s="57"/>
      <c r="L523" s="55"/>
    </row>
    <row r="524" spans="1:12" s="24" customFormat="1">
      <c r="A524" s="15">
        <v>45971</v>
      </c>
      <c r="B524" s="17">
        <f>Table13[[#This Row],[Date]]</f>
        <v>45971</v>
      </c>
      <c r="C524" s="1" t="s">
        <v>14</v>
      </c>
      <c r="D524" s="152" t="s">
        <v>66</v>
      </c>
      <c r="E524" s="1" t="s">
        <v>18</v>
      </c>
      <c r="F524" s="1" t="s">
        <v>19</v>
      </c>
      <c r="G524" s="1">
        <v>1</v>
      </c>
      <c r="H524" s="1"/>
      <c r="I524" s="1"/>
      <c r="J524" s="1"/>
      <c r="K524" s="3"/>
      <c r="L524" s="1"/>
    </row>
    <row r="525" spans="1:12" s="24" customFormat="1">
      <c r="A525" s="53">
        <v>45971</v>
      </c>
      <c r="B525" s="54">
        <f>Table13[[#This Row],[Date]]</f>
        <v>45971</v>
      </c>
      <c r="C525" s="55" t="s">
        <v>23</v>
      </c>
      <c r="D525" s="59" t="s">
        <v>68</v>
      </c>
      <c r="E525" s="64" t="s">
        <v>18</v>
      </c>
      <c r="F525" s="55" t="s">
        <v>19</v>
      </c>
      <c r="G525" s="55">
        <v>1</v>
      </c>
      <c r="H525" s="55"/>
      <c r="I525" s="55"/>
      <c r="J525" s="55"/>
      <c r="K525" s="57"/>
      <c r="L525" s="55"/>
    </row>
    <row r="526" spans="1:12" s="24" customFormat="1">
      <c r="A526" s="53">
        <v>45971</v>
      </c>
      <c r="B526" s="54">
        <f>Table13[[#This Row],[Date]]</f>
        <v>45971</v>
      </c>
      <c r="C526" s="55" t="s">
        <v>23</v>
      </c>
      <c r="D526" s="59" t="s">
        <v>68</v>
      </c>
      <c r="E526" s="64" t="s">
        <v>21</v>
      </c>
      <c r="F526" s="55" t="s">
        <v>19</v>
      </c>
      <c r="G526" s="55">
        <v>1</v>
      </c>
      <c r="H526" s="55"/>
      <c r="I526" s="55"/>
      <c r="J526" s="55"/>
      <c r="K526" s="57"/>
      <c r="L526" s="55"/>
    </row>
    <row r="527" spans="1:12" s="24" customFormat="1">
      <c r="A527" s="53">
        <v>45971</v>
      </c>
      <c r="B527" s="54">
        <f>Table13[[#This Row],[Date]]</f>
        <v>45971</v>
      </c>
      <c r="C527" s="55" t="s">
        <v>23</v>
      </c>
      <c r="D527" s="59" t="s">
        <v>68</v>
      </c>
      <c r="E527" s="64" t="s">
        <v>49</v>
      </c>
      <c r="F527" s="55" t="s">
        <v>19</v>
      </c>
      <c r="G527" s="55">
        <v>1</v>
      </c>
      <c r="H527" s="55"/>
      <c r="I527" s="55"/>
      <c r="J527" s="55"/>
      <c r="K527" s="57"/>
      <c r="L527" s="55"/>
    </row>
    <row r="528" spans="1:12" s="24" customFormat="1">
      <c r="A528" s="53">
        <v>45971</v>
      </c>
      <c r="B528" s="54">
        <f>Table13[[#This Row],[Date]]</f>
        <v>45971</v>
      </c>
      <c r="C528" s="55" t="s">
        <v>23</v>
      </c>
      <c r="D528" s="59" t="s">
        <v>68</v>
      </c>
      <c r="E528" s="64" t="s">
        <v>41</v>
      </c>
      <c r="F528" s="55" t="s">
        <v>19</v>
      </c>
      <c r="G528" s="55">
        <v>1</v>
      </c>
      <c r="H528" s="55"/>
      <c r="I528" s="55"/>
      <c r="J528" s="55"/>
      <c r="K528" s="57"/>
      <c r="L528" s="55"/>
    </row>
    <row r="529" spans="1:12" s="24" customFormat="1">
      <c r="A529" s="53">
        <v>45971</v>
      </c>
      <c r="B529" s="54">
        <f>Table13[[#This Row],[Date]]</f>
        <v>45971</v>
      </c>
      <c r="C529" s="55" t="s">
        <v>26</v>
      </c>
      <c r="D529" s="62" t="s">
        <v>48</v>
      </c>
      <c r="E529" s="64" t="s">
        <v>18</v>
      </c>
      <c r="F529" s="55" t="s">
        <v>19</v>
      </c>
      <c r="G529" s="55">
        <v>1</v>
      </c>
      <c r="H529" s="55"/>
      <c r="I529" s="55"/>
      <c r="J529" s="55"/>
      <c r="K529" s="57"/>
      <c r="L529" s="55"/>
    </row>
    <row r="530" spans="1:12" s="24" customFormat="1">
      <c r="A530" s="53">
        <v>45971</v>
      </c>
      <c r="B530" s="54">
        <f>Table13[[#This Row],[Date]]</f>
        <v>45971</v>
      </c>
      <c r="C530" s="55" t="s">
        <v>26</v>
      </c>
      <c r="D530" s="61" t="s">
        <v>48</v>
      </c>
      <c r="E530" s="64" t="s">
        <v>21</v>
      </c>
      <c r="F530" s="55" t="s">
        <v>19</v>
      </c>
      <c r="G530" s="55">
        <v>1</v>
      </c>
      <c r="H530" s="55"/>
      <c r="I530" s="55"/>
      <c r="J530" s="55"/>
      <c r="K530" s="57"/>
      <c r="L530" s="55"/>
    </row>
    <row r="531" spans="1:12" s="24" customFormat="1">
      <c r="A531" s="53">
        <v>45971</v>
      </c>
      <c r="B531" s="54">
        <f>Table13[[#This Row],[Date]]</f>
        <v>45971</v>
      </c>
      <c r="C531" s="55" t="s">
        <v>26</v>
      </c>
      <c r="D531" s="61" t="s">
        <v>48</v>
      </c>
      <c r="E531" s="64" t="s">
        <v>49</v>
      </c>
      <c r="F531" s="55" t="s">
        <v>19</v>
      </c>
      <c r="G531" s="55">
        <v>1</v>
      </c>
      <c r="H531" s="55"/>
      <c r="I531" s="55"/>
      <c r="J531" s="55"/>
      <c r="K531" s="57"/>
      <c r="L531" s="55"/>
    </row>
    <row r="532" spans="1:12" s="24" customFormat="1">
      <c r="A532" s="53">
        <v>45971</v>
      </c>
      <c r="B532" s="54">
        <f>Table13[[#This Row],[Date]]</f>
        <v>45971</v>
      </c>
      <c r="C532" s="55" t="s">
        <v>26</v>
      </c>
      <c r="D532" s="61" t="s">
        <v>48</v>
      </c>
      <c r="E532" s="64" t="s">
        <v>41</v>
      </c>
      <c r="F532" s="55" t="s">
        <v>19</v>
      </c>
      <c r="G532" s="55">
        <v>1</v>
      </c>
      <c r="H532" s="55"/>
      <c r="I532" s="55"/>
      <c r="J532" s="55"/>
      <c r="K532" s="57"/>
      <c r="L532" s="55"/>
    </row>
    <row r="533" spans="1:12" s="24" customFormat="1">
      <c r="A533" s="53">
        <v>45972</v>
      </c>
      <c r="B533" s="54">
        <f>Table13[[#This Row],[Date]]</f>
        <v>45972</v>
      </c>
      <c r="C533" s="55" t="s">
        <v>14</v>
      </c>
      <c r="D533" s="59" t="s">
        <v>104</v>
      </c>
      <c r="E533" s="55" t="s">
        <v>59</v>
      </c>
      <c r="F533" s="55" t="s">
        <v>60</v>
      </c>
      <c r="G533" s="55">
        <v>1</v>
      </c>
      <c r="H533" s="55"/>
      <c r="I533" s="55"/>
      <c r="J533" s="55"/>
      <c r="K533" s="57"/>
      <c r="L533" s="55"/>
    </row>
    <row r="534" spans="1:12" s="24" customFormat="1">
      <c r="A534" s="53">
        <v>45972</v>
      </c>
      <c r="B534" s="54">
        <f>Table13[[#This Row],[Date]]</f>
        <v>45972</v>
      </c>
      <c r="C534" s="55" t="s">
        <v>14</v>
      </c>
      <c r="D534" s="59" t="s">
        <v>104</v>
      </c>
      <c r="E534" s="55" t="s">
        <v>61</v>
      </c>
      <c r="F534" s="55" t="s">
        <v>60</v>
      </c>
      <c r="G534" s="55">
        <v>1</v>
      </c>
      <c r="H534" s="55"/>
      <c r="I534" s="55"/>
      <c r="J534" s="55"/>
      <c r="K534" s="57"/>
      <c r="L534" s="55"/>
    </row>
    <row r="535" spans="1:12" s="24" customFormat="1">
      <c r="A535" s="53">
        <v>45972</v>
      </c>
      <c r="B535" s="54">
        <f>Table13[[#This Row],[Date]]</f>
        <v>45972</v>
      </c>
      <c r="C535" s="55" t="s">
        <v>14</v>
      </c>
      <c r="D535" s="59" t="s">
        <v>67</v>
      </c>
      <c r="E535" s="55" t="s">
        <v>18</v>
      </c>
      <c r="F535" s="55" t="s">
        <v>19</v>
      </c>
      <c r="G535" s="55">
        <v>1</v>
      </c>
      <c r="H535" s="55"/>
      <c r="I535" s="55"/>
      <c r="J535" s="55"/>
      <c r="K535" s="57"/>
      <c r="L535" s="55"/>
    </row>
    <row r="536" spans="1:12" s="24" customFormat="1">
      <c r="A536" s="53">
        <v>45972</v>
      </c>
      <c r="B536" s="54">
        <f>Table13[[#This Row],[Date]]</f>
        <v>45972</v>
      </c>
      <c r="C536" s="55" t="s">
        <v>14</v>
      </c>
      <c r="D536" s="61" t="s">
        <v>112</v>
      </c>
      <c r="E536" s="55" t="s">
        <v>18</v>
      </c>
      <c r="F536" s="55" t="s">
        <v>99</v>
      </c>
      <c r="G536" s="55">
        <v>1</v>
      </c>
      <c r="H536" s="55"/>
      <c r="I536" s="55"/>
      <c r="J536" s="55"/>
      <c r="K536" s="57"/>
      <c r="L536" s="55"/>
    </row>
    <row r="537" spans="1:12" s="24" customFormat="1">
      <c r="A537" s="53">
        <v>45972</v>
      </c>
      <c r="B537" s="54">
        <f>Table13[[#This Row],[Date]]</f>
        <v>45972</v>
      </c>
      <c r="C537" s="55" t="s">
        <v>26</v>
      </c>
      <c r="D537" s="61" t="s">
        <v>55</v>
      </c>
      <c r="E537" s="64" t="s">
        <v>18</v>
      </c>
      <c r="F537" s="55" t="s">
        <v>19</v>
      </c>
      <c r="G537" s="55">
        <v>1</v>
      </c>
      <c r="H537" s="55"/>
      <c r="I537" s="55"/>
      <c r="J537" s="55"/>
      <c r="K537" s="57"/>
      <c r="L537" s="55"/>
    </row>
    <row r="538" spans="1:12" s="24" customFormat="1">
      <c r="A538" s="53">
        <v>45972</v>
      </c>
      <c r="B538" s="54">
        <f>Table13[[#This Row],[Date]]</f>
        <v>45972</v>
      </c>
      <c r="C538" s="55" t="s">
        <v>26</v>
      </c>
      <c r="D538" s="61" t="s">
        <v>55</v>
      </c>
      <c r="E538" s="64" t="s">
        <v>21</v>
      </c>
      <c r="F538" s="55" t="s">
        <v>19</v>
      </c>
      <c r="G538" s="55">
        <v>1</v>
      </c>
      <c r="H538" s="55"/>
      <c r="I538" s="55"/>
      <c r="J538" s="55"/>
      <c r="K538" s="57"/>
      <c r="L538" s="55"/>
    </row>
    <row r="539" spans="1:12" s="24" customFormat="1">
      <c r="A539" s="48">
        <v>45972</v>
      </c>
      <c r="B539" s="49">
        <f>Table13[[#This Row],[Date]]</f>
        <v>45972</v>
      </c>
      <c r="C539" s="50" t="s">
        <v>4</v>
      </c>
      <c r="D539" s="51" t="s">
        <v>32</v>
      </c>
      <c r="E539" s="50"/>
      <c r="F539" s="50"/>
      <c r="G539" s="50"/>
      <c r="H539" s="50"/>
      <c r="I539" s="50"/>
      <c r="J539" s="50"/>
      <c r="K539" s="52"/>
      <c r="L539" s="50"/>
    </row>
    <row r="540" spans="1:12" s="24" customFormat="1">
      <c r="A540" s="103">
        <v>45973</v>
      </c>
      <c r="B540" s="104">
        <f>Table13[[#This Row],[Date]]</f>
        <v>45973</v>
      </c>
      <c r="C540" s="105" t="s">
        <v>16</v>
      </c>
      <c r="D540" s="109" t="s">
        <v>74</v>
      </c>
      <c r="E540" s="105" t="s">
        <v>18</v>
      </c>
      <c r="F540" s="105" t="s">
        <v>19</v>
      </c>
      <c r="G540" s="105">
        <v>1</v>
      </c>
      <c r="H540" s="105"/>
      <c r="I540" s="105"/>
      <c r="J540" s="105"/>
      <c r="K540" s="108"/>
      <c r="L540" s="105"/>
    </row>
    <row r="541" spans="1:12" s="24" customFormat="1">
      <c r="A541" s="103">
        <v>45973</v>
      </c>
      <c r="B541" s="104">
        <f>Table13[[#This Row],[Date]]</f>
        <v>45973</v>
      </c>
      <c r="C541" s="105" t="s">
        <v>16</v>
      </c>
      <c r="D541" s="109" t="s">
        <v>74</v>
      </c>
      <c r="E541" s="116" t="s">
        <v>21</v>
      </c>
      <c r="F541" s="105" t="s">
        <v>19</v>
      </c>
      <c r="G541" s="105">
        <v>1</v>
      </c>
      <c r="H541" s="105"/>
      <c r="I541" s="105"/>
      <c r="J541" s="105"/>
      <c r="K541" s="108"/>
      <c r="L541" s="105"/>
    </row>
    <row r="542" spans="1:12" s="24" customFormat="1">
      <c r="A542" s="103">
        <v>45973</v>
      </c>
      <c r="B542" s="104">
        <f>Table13[[#This Row],[Date]]</f>
        <v>45973</v>
      </c>
      <c r="C542" s="105" t="s">
        <v>16</v>
      </c>
      <c r="D542" s="109" t="s">
        <v>74</v>
      </c>
      <c r="E542" s="105" t="s">
        <v>49</v>
      </c>
      <c r="F542" s="105" t="s">
        <v>19</v>
      </c>
      <c r="G542" s="105">
        <v>1</v>
      </c>
      <c r="H542" s="105"/>
      <c r="I542" s="105"/>
      <c r="J542" s="105"/>
      <c r="K542" s="108"/>
      <c r="L542" s="105"/>
    </row>
    <row r="543" spans="1:12" s="24" customFormat="1">
      <c r="A543" s="103">
        <v>45973</v>
      </c>
      <c r="B543" s="104">
        <f>Table13[[#This Row],[Date]]</f>
        <v>45973</v>
      </c>
      <c r="C543" s="105" t="s">
        <v>16</v>
      </c>
      <c r="D543" s="109" t="s">
        <v>74</v>
      </c>
      <c r="E543" s="116" t="s">
        <v>41</v>
      </c>
      <c r="F543" s="105" t="s">
        <v>19</v>
      </c>
      <c r="G543" s="105">
        <v>1</v>
      </c>
      <c r="H543" s="105"/>
      <c r="I543" s="105"/>
      <c r="J543" s="105"/>
      <c r="K543" s="108"/>
      <c r="L543" s="105"/>
    </row>
    <row r="544" spans="1:12" s="24" customFormat="1">
      <c r="A544" s="53">
        <v>45973</v>
      </c>
      <c r="B544" s="54">
        <f>Table13[[#This Row],[Date]]</f>
        <v>45973</v>
      </c>
      <c r="C544" s="55" t="s">
        <v>23</v>
      </c>
      <c r="D544" s="59" t="s">
        <v>68</v>
      </c>
      <c r="E544" s="55" t="s">
        <v>47</v>
      </c>
      <c r="F544" s="55" t="s">
        <v>19</v>
      </c>
      <c r="G544" s="55">
        <v>1</v>
      </c>
      <c r="H544" s="55"/>
      <c r="I544" s="55"/>
      <c r="J544" s="55"/>
      <c r="K544" s="57"/>
      <c r="L544" s="55"/>
    </row>
    <row r="545" spans="1:12" s="24" customFormat="1">
      <c r="A545" s="53">
        <v>45973</v>
      </c>
      <c r="B545" s="54">
        <f>Table13[[#This Row],[Date]]</f>
        <v>45973</v>
      </c>
      <c r="C545" s="55" t="s">
        <v>26</v>
      </c>
      <c r="D545" s="61" t="s">
        <v>69</v>
      </c>
      <c r="E545" s="65" t="s">
        <v>18</v>
      </c>
      <c r="F545" s="55" t="s">
        <v>19</v>
      </c>
      <c r="G545" s="55">
        <v>1</v>
      </c>
      <c r="H545" s="55"/>
      <c r="I545" s="55"/>
      <c r="J545" s="55"/>
      <c r="K545" s="57"/>
      <c r="L545" s="55"/>
    </row>
    <row r="546" spans="1:12" s="24" customFormat="1">
      <c r="A546" s="53">
        <v>45973</v>
      </c>
      <c r="B546" s="54">
        <f>Table13[[#This Row],[Date]]</f>
        <v>45973</v>
      </c>
      <c r="C546" s="55" t="s">
        <v>26</v>
      </c>
      <c r="D546" s="61" t="s">
        <v>69</v>
      </c>
      <c r="E546" s="64" t="s">
        <v>21</v>
      </c>
      <c r="F546" s="55" t="s">
        <v>19</v>
      </c>
      <c r="G546" s="55">
        <v>1</v>
      </c>
      <c r="H546" s="55"/>
      <c r="I546" s="55"/>
      <c r="J546" s="55"/>
      <c r="K546" s="57"/>
      <c r="L546" s="55"/>
    </row>
    <row r="547" spans="1:12" s="24" customFormat="1">
      <c r="A547" s="53">
        <v>45973</v>
      </c>
      <c r="B547" s="54">
        <f>Table13[[#This Row],[Date]]</f>
        <v>45973</v>
      </c>
      <c r="C547" s="55" t="s">
        <v>26</v>
      </c>
      <c r="D547" s="61" t="s">
        <v>69</v>
      </c>
      <c r="E547" s="64" t="s">
        <v>49</v>
      </c>
      <c r="F547" s="55" t="s">
        <v>19</v>
      </c>
      <c r="G547" s="55">
        <v>1</v>
      </c>
      <c r="H547" s="55"/>
      <c r="I547" s="55"/>
      <c r="J547" s="55"/>
      <c r="K547" s="57"/>
      <c r="L547" s="55"/>
    </row>
    <row r="548" spans="1:12" s="24" customFormat="1">
      <c r="A548" s="53">
        <v>45973</v>
      </c>
      <c r="B548" s="54">
        <f>Table13[[#This Row],[Date]]</f>
        <v>45973</v>
      </c>
      <c r="C548" s="55" t="s">
        <v>26</v>
      </c>
      <c r="D548" s="61" t="s">
        <v>69</v>
      </c>
      <c r="E548" s="64" t="s">
        <v>41</v>
      </c>
      <c r="F548" s="55" t="s">
        <v>19</v>
      </c>
      <c r="G548" s="55">
        <v>1</v>
      </c>
      <c r="H548" s="55"/>
      <c r="I548" s="55"/>
      <c r="J548" s="55"/>
      <c r="K548" s="57"/>
      <c r="L548" s="55"/>
    </row>
    <row r="549" spans="1:12" s="24" customFormat="1">
      <c r="A549" s="103">
        <v>45974</v>
      </c>
      <c r="B549" s="104">
        <f>Table13[[#This Row],[Date]]</f>
        <v>45974</v>
      </c>
      <c r="C549" s="105" t="s">
        <v>16</v>
      </c>
      <c r="D549" s="109" t="s">
        <v>74</v>
      </c>
      <c r="E549" s="105" t="s">
        <v>42</v>
      </c>
      <c r="F549" s="105" t="s">
        <v>19</v>
      </c>
      <c r="G549" s="105">
        <v>1</v>
      </c>
      <c r="H549" s="105"/>
      <c r="I549" s="105"/>
      <c r="J549" s="105"/>
      <c r="K549" s="108"/>
      <c r="L549" s="105"/>
    </row>
    <row r="550" spans="1:12" s="24" customFormat="1">
      <c r="A550" s="103">
        <v>45974</v>
      </c>
      <c r="B550" s="104">
        <f>Table13[[#This Row],[Date]]</f>
        <v>45974</v>
      </c>
      <c r="C550" s="105" t="s">
        <v>16</v>
      </c>
      <c r="D550" s="109" t="s">
        <v>74</v>
      </c>
      <c r="E550" s="105" t="s">
        <v>47</v>
      </c>
      <c r="F550" s="105" t="s">
        <v>19</v>
      </c>
      <c r="G550" s="105">
        <v>1</v>
      </c>
      <c r="H550" s="105"/>
      <c r="I550" s="105"/>
      <c r="J550" s="105"/>
      <c r="K550" s="108"/>
      <c r="L550" s="105"/>
    </row>
    <row r="551" spans="1:12" s="24" customFormat="1">
      <c r="A551" s="103">
        <v>45974</v>
      </c>
      <c r="B551" s="104">
        <f>Table13[[#This Row],[Date]]</f>
        <v>45974</v>
      </c>
      <c r="C551" s="105" t="s">
        <v>16</v>
      </c>
      <c r="D551" s="109" t="s">
        <v>74</v>
      </c>
      <c r="E551" s="116" t="s">
        <v>53</v>
      </c>
      <c r="F551" s="105" t="s">
        <v>19</v>
      </c>
      <c r="G551" s="105">
        <v>1</v>
      </c>
      <c r="H551" s="105"/>
      <c r="I551" s="105"/>
      <c r="J551" s="105"/>
      <c r="K551" s="108"/>
      <c r="L551" s="105"/>
    </row>
    <row r="552" spans="1:12" s="24" customFormat="1">
      <c r="A552" s="53">
        <v>45974</v>
      </c>
      <c r="B552" s="54">
        <f>Table13[[#This Row],[Date]]</f>
        <v>45974</v>
      </c>
      <c r="C552" s="55" t="s">
        <v>26</v>
      </c>
      <c r="D552" s="61" t="s">
        <v>70</v>
      </c>
      <c r="E552" s="64" t="s">
        <v>18</v>
      </c>
      <c r="F552" s="55" t="s">
        <v>19</v>
      </c>
      <c r="G552" s="55">
        <v>1</v>
      </c>
      <c r="H552" s="55"/>
      <c r="I552" s="55"/>
      <c r="J552" s="55"/>
      <c r="K552" s="57"/>
      <c r="L552" s="55"/>
    </row>
    <row r="553" spans="1:12" s="24" customFormat="1">
      <c r="A553" s="53">
        <v>45974</v>
      </c>
      <c r="B553" s="54">
        <f>Table13[[#This Row],[Date]]</f>
        <v>45974</v>
      </c>
      <c r="C553" s="55" t="s">
        <v>26</v>
      </c>
      <c r="D553" s="61" t="s">
        <v>70</v>
      </c>
      <c r="E553" s="64" t="s">
        <v>21</v>
      </c>
      <c r="F553" s="55" t="s">
        <v>19</v>
      </c>
      <c r="G553" s="55">
        <v>1</v>
      </c>
      <c r="H553" s="55"/>
      <c r="I553" s="55"/>
      <c r="J553" s="55"/>
      <c r="K553" s="57"/>
      <c r="L553" s="55"/>
    </row>
    <row r="554" spans="1:12" s="24" customFormat="1">
      <c r="A554" s="53">
        <v>45974</v>
      </c>
      <c r="B554" s="54">
        <f>Table13[[#This Row],[Date]]</f>
        <v>45974</v>
      </c>
      <c r="C554" s="55" t="s">
        <v>26</v>
      </c>
      <c r="D554" s="61" t="s">
        <v>70</v>
      </c>
      <c r="E554" s="64" t="s">
        <v>49</v>
      </c>
      <c r="F554" s="55" t="s">
        <v>19</v>
      </c>
      <c r="G554" s="55">
        <v>1</v>
      </c>
      <c r="H554" s="55"/>
      <c r="I554" s="55"/>
      <c r="J554" s="55"/>
      <c r="K554" s="57"/>
      <c r="L554" s="55"/>
    </row>
    <row r="555" spans="1:12" s="24" customFormat="1">
      <c r="A555" s="53">
        <v>45974</v>
      </c>
      <c r="B555" s="54">
        <f>Table13[[#This Row],[Date]]</f>
        <v>45974</v>
      </c>
      <c r="C555" s="55" t="s">
        <v>26</v>
      </c>
      <c r="D555" s="61" t="s">
        <v>70</v>
      </c>
      <c r="E555" s="64" t="s">
        <v>41</v>
      </c>
      <c r="F555" s="55" t="s">
        <v>19</v>
      </c>
      <c r="G555" s="55">
        <v>1</v>
      </c>
      <c r="H555" s="55"/>
      <c r="I555" s="55"/>
      <c r="J555" s="55"/>
      <c r="K555" s="57"/>
      <c r="L555" s="55"/>
    </row>
    <row r="556" spans="1:12" s="24" customFormat="1">
      <c r="A556" s="53">
        <v>45975</v>
      </c>
      <c r="B556" s="54">
        <f>Table13[[#This Row],[Date]]</f>
        <v>45975</v>
      </c>
      <c r="C556" s="55" t="s">
        <v>23</v>
      </c>
      <c r="D556" s="59" t="s">
        <v>81</v>
      </c>
      <c r="E556" s="55" t="s">
        <v>18</v>
      </c>
      <c r="F556" s="55" t="s">
        <v>19</v>
      </c>
      <c r="G556" s="55">
        <v>1</v>
      </c>
      <c r="H556" s="55"/>
      <c r="I556" s="55"/>
      <c r="J556" s="55"/>
      <c r="K556" s="57"/>
      <c r="L556" s="55"/>
    </row>
    <row r="557" spans="1:12" s="24" customFormat="1">
      <c r="A557" s="53">
        <v>45975</v>
      </c>
      <c r="B557" s="54">
        <f>Table13[[#This Row],[Date]]</f>
        <v>45975</v>
      </c>
      <c r="C557" s="55" t="s">
        <v>23</v>
      </c>
      <c r="D557" s="59" t="s">
        <v>82</v>
      </c>
      <c r="E557" s="55" t="s">
        <v>18</v>
      </c>
      <c r="F557" s="55" t="s">
        <v>19</v>
      </c>
      <c r="G557" s="55">
        <v>1</v>
      </c>
      <c r="H557" s="55"/>
      <c r="I557" s="55"/>
      <c r="J557" s="55"/>
      <c r="K557" s="57"/>
      <c r="L557" s="55"/>
    </row>
    <row r="558" spans="1:12" s="24" customFormat="1">
      <c r="A558" s="53">
        <v>45975</v>
      </c>
      <c r="B558" s="54">
        <f>Table13[[#This Row],[Date]]</f>
        <v>45975</v>
      </c>
      <c r="C558" s="55" t="s">
        <v>23</v>
      </c>
      <c r="D558" s="59" t="s">
        <v>83</v>
      </c>
      <c r="E558" s="55" t="s">
        <v>18</v>
      </c>
      <c r="F558" s="55" t="s">
        <v>19</v>
      </c>
      <c r="G558" s="55">
        <v>1</v>
      </c>
      <c r="H558" s="55"/>
      <c r="I558" s="55"/>
      <c r="J558" s="55"/>
      <c r="K558" s="57"/>
      <c r="L558" s="55"/>
    </row>
    <row r="559" spans="1:12" s="24" customFormat="1">
      <c r="A559" s="53">
        <v>45975</v>
      </c>
      <c r="B559" s="54">
        <f>Table13[[#This Row],[Date]]</f>
        <v>45975</v>
      </c>
      <c r="C559" s="55" t="s">
        <v>26</v>
      </c>
      <c r="D559" s="61" t="s">
        <v>75</v>
      </c>
      <c r="E559" s="55" t="s">
        <v>18</v>
      </c>
      <c r="F559" s="55" t="s">
        <v>19</v>
      </c>
      <c r="G559" s="55">
        <v>1</v>
      </c>
      <c r="H559" s="55"/>
      <c r="I559" s="55"/>
      <c r="J559" s="55"/>
      <c r="K559" s="57"/>
      <c r="L559" s="55"/>
    </row>
    <row r="560" spans="1:12" s="24" customFormat="1">
      <c r="A560" s="53">
        <v>45975</v>
      </c>
      <c r="B560" s="54">
        <f>Table13[[#This Row],[Date]]</f>
        <v>45975</v>
      </c>
      <c r="C560" s="55" t="s">
        <v>26</v>
      </c>
      <c r="D560" s="61" t="s">
        <v>75</v>
      </c>
      <c r="E560" s="55" t="s">
        <v>21</v>
      </c>
      <c r="F560" s="55" t="s">
        <v>19</v>
      </c>
      <c r="G560" s="55">
        <v>1</v>
      </c>
      <c r="H560" s="55"/>
      <c r="I560" s="55"/>
      <c r="J560" s="55"/>
      <c r="K560" s="57"/>
      <c r="L560" s="55"/>
    </row>
    <row r="561" spans="1:12" s="24" customFormat="1">
      <c r="A561" s="53">
        <v>45975</v>
      </c>
      <c r="B561" s="54">
        <f>Table13[[#This Row],[Date]]</f>
        <v>45975</v>
      </c>
      <c r="C561" s="55" t="s">
        <v>26</v>
      </c>
      <c r="D561" s="61" t="s">
        <v>75</v>
      </c>
      <c r="E561" s="55" t="s">
        <v>28</v>
      </c>
      <c r="F561" s="55" t="s">
        <v>19</v>
      </c>
      <c r="G561" s="55">
        <v>1</v>
      </c>
      <c r="H561" s="55"/>
      <c r="I561" s="55"/>
      <c r="J561" s="55"/>
      <c r="K561" s="57"/>
      <c r="L561" s="55"/>
    </row>
    <row r="562" spans="1:12" s="24" customFormat="1">
      <c r="A562" s="41">
        <v>45975</v>
      </c>
      <c r="B562" s="42">
        <f>Table13[[#This Row],[Date]]</f>
        <v>45975</v>
      </c>
      <c r="C562" s="43"/>
      <c r="D562" s="44" t="s">
        <v>175</v>
      </c>
      <c r="E562" s="43"/>
      <c r="F562" s="43"/>
      <c r="G562" s="43"/>
      <c r="H562" s="43"/>
      <c r="I562" s="43"/>
      <c r="J562" s="43"/>
      <c r="K562" s="45"/>
      <c r="L562" s="43"/>
    </row>
    <row r="563" spans="1:12" s="24" customFormat="1">
      <c r="A563" s="136">
        <v>45976</v>
      </c>
      <c r="B563" s="137">
        <f>Table13[[#This Row],[Date]]</f>
        <v>45976</v>
      </c>
      <c r="C563" s="138" t="s">
        <v>23</v>
      </c>
      <c r="D563" s="139" t="s">
        <v>86</v>
      </c>
      <c r="E563" s="138" t="s">
        <v>18</v>
      </c>
      <c r="F563" s="138" t="s">
        <v>19</v>
      </c>
      <c r="G563" s="138">
        <v>1</v>
      </c>
      <c r="H563" s="138"/>
      <c r="I563" s="138"/>
      <c r="J563" s="138"/>
      <c r="K563" s="140"/>
      <c r="L563" s="138"/>
    </row>
    <row r="564" spans="1:12" s="24" customFormat="1">
      <c r="A564" s="136">
        <v>45976</v>
      </c>
      <c r="B564" s="137">
        <f>Table13[[#This Row],[Date]]</f>
        <v>45976</v>
      </c>
      <c r="C564" s="138" t="s">
        <v>23</v>
      </c>
      <c r="D564" s="139" t="s">
        <v>86</v>
      </c>
      <c r="E564" s="138" t="s">
        <v>21</v>
      </c>
      <c r="F564" s="138" t="s">
        <v>19</v>
      </c>
      <c r="G564" s="138">
        <v>1</v>
      </c>
      <c r="H564" s="138"/>
      <c r="I564" s="138"/>
      <c r="J564" s="138"/>
      <c r="K564" s="140"/>
      <c r="L564" s="138"/>
    </row>
    <row r="565" spans="1:12" s="24" customFormat="1">
      <c r="A565" s="136">
        <v>45976</v>
      </c>
      <c r="B565" s="137">
        <f>Table13[[#This Row],[Date]]</f>
        <v>45976</v>
      </c>
      <c r="C565" s="138" t="s">
        <v>23</v>
      </c>
      <c r="D565" s="139" t="s">
        <v>86</v>
      </c>
      <c r="E565" s="138" t="s">
        <v>49</v>
      </c>
      <c r="F565" s="138" t="s">
        <v>19</v>
      </c>
      <c r="G565" s="138">
        <v>1</v>
      </c>
      <c r="H565" s="138"/>
      <c r="I565" s="138"/>
      <c r="J565" s="138"/>
      <c r="K565" s="140"/>
      <c r="L565" s="138"/>
    </row>
    <row r="566" spans="1:12" s="24" customFormat="1">
      <c r="A566" s="16">
        <v>45976</v>
      </c>
      <c r="B566" s="18">
        <f>Table13[[#This Row],[Date]]</f>
        <v>45976</v>
      </c>
      <c r="C566" s="10" t="s">
        <v>4</v>
      </c>
      <c r="D566" s="9" t="s">
        <v>87</v>
      </c>
      <c r="E566" s="8" t="s">
        <v>72</v>
      </c>
      <c r="F566" s="10" t="s">
        <v>60</v>
      </c>
      <c r="G566" s="10">
        <v>1</v>
      </c>
      <c r="H566" s="10"/>
      <c r="I566" s="10"/>
      <c r="J566" s="10"/>
      <c r="K566" s="13"/>
      <c r="L566" s="10"/>
    </row>
    <row r="567" spans="1:12" s="24" customFormat="1">
      <c r="A567" s="16">
        <v>45976</v>
      </c>
      <c r="B567" s="18">
        <f>Table13[[#This Row],[Date]]</f>
        <v>45976</v>
      </c>
      <c r="C567" s="10" t="s">
        <v>4</v>
      </c>
      <c r="D567" s="9" t="s">
        <v>87</v>
      </c>
      <c r="E567" s="8" t="s">
        <v>76</v>
      </c>
      <c r="F567" s="10" t="s">
        <v>60</v>
      </c>
      <c r="G567" s="10">
        <v>1</v>
      </c>
      <c r="H567" s="10"/>
      <c r="I567" s="10"/>
      <c r="J567" s="10"/>
      <c r="K567" s="13"/>
      <c r="L567" s="10"/>
    </row>
    <row r="568" spans="1:12" s="24" customFormat="1">
      <c r="A568" s="16">
        <v>45976</v>
      </c>
      <c r="B568" s="18">
        <f>Table13[[#This Row],[Date]]</f>
        <v>45976</v>
      </c>
      <c r="C568" s="10" t="s">
        <v>4</v>
      </c>
      <c r="D568" s="9" t="s">
        <v>87</v>
      </c>
      <c r="E568" s="8" t="s">
        <v>28</v>
      </c>
      <c r="F568" s="10" t="s">
        <v>19</v>
      </c>
      <c r="G568" s="10">
        <v>1</v>
      </c>
      <c r="H568" s="10"/>
      <c r="I568" s="10"/>
      <c r="J568" s="10"/>
      <c r="K568" s="13"/>
      <c r="L568" s="10"/>
    </row>
    <row r="569" spans="1:12" s="24" customFormat="1">
      <c r="A569" s="16">
        <v>45976</v>
      </c>
      <c r="B569" s="18">
        <f>Table13[[#This Row],[Date]]</f>
        <v>45976</v>
      </c>
      <c r="C569" s="10" t="s">
        <v>4</v>
      </c>
      <c r="D569" s="9" t="s">
        <v>87</v>
      </c>
      <c r="E569" s="8" t="s">
        <v>107</v>
      </c>
      <c r="F569" s="10" t="s">
        <v>19</v>
      </c>
      <c r="G569" s="10">
        <v>1</v>
      </c>
      <c r="H569" s="10"/>
      <c r="I569" s="10"/>
      <c r="J569" s="10"/>
      <c r="K569" s="13"/>
      <c r="L569" s="10"/>
    </row>
    <row r="570" spans="1:12" s="24" customFormat="1">
      <c r="A570" s="16">
        <v>45977</v>
      </c>
      <c r="B570" s="18">
        <f>Table13[[#This Row],[Date]]</f>
        <v>45977</v>
      </c>
      <c r="C570" s="14" t="s">
        <v>4</v>
      </c>
      <c r="D570" s="259" t="s">
        <v>92</v>
      </c>
      <c r="E570" s="10" t="s">
        <v>118</v>
      </c>
      <c r="F570" s="10" t="s">
        <v>19</v>
      </c>
      <c r="G570" s="10">
        <v>1</v>
      </c>
      <c r="H570" s="10"/>
      <c r="I570" s="10"/>
      <c r="J570" s="10"/>
      <c r="K570" s="13"/>
      <c r="L570" s="10"/>
    </row>
    <row r="571" spans="1:12" s="24" customFormat="1">
      <c r="A571" s="16">
        <v>45977</v>
      </c>
      <c r="B571" s="18">
        <f>Table13[[#This Row],[Date]]</f>
        <v>45977</v>
      </c>
      <c r="C571" s="10" t="s">
        <v>4</v>
      </c>
      <c r="D571" s="259" t="s">
        <v>92</v>
      </c>
      <c r="E571" s="10" t="s">
        <v>47</v>
      </c>
      <c r="F571" s="10" t="s">
        <v>19</v>
      </c>
      <c r="G571" s="10">
        <v>1</v>
      </c>
      <c r="H571" s="10"/>
      <c r="I571" s="10"/>
      <c r="J571" s="10"/>
      <c r="K571" s="13"/>
      <c r="L571" s="10"/>
    </row>
    <row r="572" spans="1:12" s="24" customFormat="1">
      <c r="A572" s="53">
        <v>45978</v>
      </c>
      <c r="B572" s="54">
        <f>Table13[[#This Row],[Date]]</f>
        <v>45978</v>
      </c>
      <c r="C572" s="55" t="s">
        <v>14</v>
      </c>
      <c r="D572" s="79" t="s">
        <v>96</v>
      </c>
      <c r="E572" s="55" t="s">
        <v>18</v>
      </c>
      <c r="F572" s="55" t="s">
        <v>19</v>
      </c>
      <c r="G572" s="55">
        <v>1</v>
      </c>
      <c r="H572" s="55"/>
      <c r="I572" s="55"/>
      <c r="J572" s="55"/>
      <c r="K572" s="57"/>
      <c r="L572" s="55"/>
    </row>
    <row r="573" spans="1:12" s="24" customFormat="1">
      <c r="A573" s="53">
        <v>45978</v>
      </c>
      <c r="B573" s="54">
        <f>Table13[[#This Row],[Date]]</f>
        <v>45978</v>
      </c>
      <c r="C573" s="55" t="s">
        <v>14</v>
      </c>
      <c r="D573" s="59" t="s">
        <v>97</v>
      </c>
      <c r="E573" s="55" t="s">
        <v>18</v>
      </c>
      <c r="F573" s="55" t="s">
        <v>19</v>
      </c>
      <c r="G573" s="55">
        <v>1</v>
      </c>
      <c r="H573" s="55"/>
      <c r="I573" s="55"/>
      <c r="J573" s="55"/>
      <c r="K573" s="57"/>
      <c r="L573" s="55"/>
    </row>
    <row r="574" spans="1:12" s="24" customFormat="1">
      <c r="A574" s="53">
        <v>45978</v>
      </c>
      <c r="B574" s="54">
        <f>Table13[[#This Row],[Date]]</f>
        <v>45978</v>
      </c>
      <c r="C574" s="55" t="s">
        <v>14</v>
      </c>
      <c r="D574" s="122" t="s">
        <v>100</v>
      </c>
      <c r="E574" s="55" t="s">
        <v>18</v>
      </c>
      <c r="F574" s="55" t="s">
        <v>19</v>
      </c>
      <c r="G574" s="55">
        <v>1</v>
      </c>
      <c r="H574" s="55"/>
      <c r="I574" s="55"/>
      <c r="J574" s="55"/>
      <c r="K574" s="57"/>
      <c r="L574" s="55"/>
    </row>
    <row r="575" spans="1:12" s="24" customFormat="1">
      <c r="A575" s="53">
        <v>45978</v>
      </c>
      <c r="B575" s="54">
        <f>Table13[[#This Row],[Date]]</f>
        <v>45978</v>
      </c>
      <c r="C575" s="55" t="s">
        <v>16</v>
      </c>
      <c r="D575" s="69" t="s">
        <v>101</v>
      </c>
      <c r="E575" s="64" t="s">
        <v>18</v>
      </c>
      <c r="F575" s="55" t="s">
        <v>19</v>
      </c>
      <c r="G575" s="55">
        <v>1</v>
      </c>
      <c r="H575" s="55"/>
      <c r="I575" s="55"/>
      <c r="J575" s="55"/>
      <c r="K575" s="57"/>
      <c r="L575" s="55"/>
    </row>
    <row r="576" spans="1:12" s="24" customFormat="1">
      <c r="A576" s="53">
        <v>45978</v>
      </c>
      <c r="B576" s="54">
        <f>Table13[[#This Row],[Date]]</f>
        <v>45978</v>
      </c>
      <c r="C576" s="55" t="s">
        <v>16</v>
      </c>
      <c r="D576" s="79" t="s">
        <v>101</v>
      </c>
      <c r="E576" s="65" t="s">
        <v>21</v>
      </c>
      <c r="F576" s="55" t="s">
        <v>19</v>
      </c>
      <c r="G576" s="55">
        <v>1</v>
      </c>
      <c r="H576" s="55"/>
      <c r="I576" s="55"/>
      <c r="J576" s="55"/>
      <c r="K576" s="57"/>
      <c r="L576" s="55"/>
    </row>
    <row r="577" spans="1:12" s="24" customFormat="1">
      <c r="A577" s="53">
        <v>45978</v>
      </c>
      <c r="B577" s="54">
        <f>Table13[[#This Row],[Date]]</f>
        <v>45978</v>
      </c>
      <c r="C577" s="55" t="s">
        <v>16</v>
      </c>
      <c r="D577" s="79" t="s">
        <v>101</v>
      </c>
      <c r="E577" s="55" t="s">
        <v>47</v>
      </c>
      <c r="F577" s="55" t="s">
        <v>19</v>
      </c>
      <c r="G577" s="55">
        <v>1</v>
      </c>
      <c r="H577" s="55"/>
      <c r="I577" s="55"/>
      <c r="J577" s="55"/>
      <c r="K577" s="57"/>
      <c r="L577" s="55"/>
    </row>
    <row r="578" spans="1:12" s="24" customFormat="1">
      <c r="A578" s="53">
        <v>45978</v>
      </c>
      <c r="B578" s="54">
        <f>Table13[[#This Row],[Date]]</f>
        <v>45978</v>
      </c>
      <c r="C578" s="55" t="s">
        <v>26</v>
      </c>
      <c r="D578" s="61" t="s">
        <v>78</v>
      </c>
      <c r="E578" s="63" t="s">
        <v>18</v>
      </c>
      <c r="F578" s="55" t="s">
        <v>19</v>
      </c>
      <c r="G578" s="55">
        <v>1</v>
      </c>
      <c r="H578" s="55"/>
      <c r="I578" s="55"/>
      <c r="J578" s="55"/>
      <c r="K578" s="57"/>
      <c r="L578" s="55"/>
    </row>
    <row r="579" spans="1:12" s="24" customFormat="1">
      <c r="A579" s="53">
        <v>45978</v>
      </c>
      <c r="B579" s="54">
        <f>Table13[[#This Row],[Date]]</f>
        <v>45978</v>
      </c>
      <c r="C579" s="55" t="s">
        <v>26</v>
      </c>
      <c r="D579" s="61" t="s">
        <v>78</v>
      </c>
      <c r="E579" s="55" t="s">
        <v>21</v>
      </c>
      <c r="F579" s="55" t="s">
        <v>19</v>
      </c>
      <c r="G579" s="55">
        <v>1</v>
      </c>
      <c r="H579" s="55"/>
      <c r="I579" s="55"/>
      <c r="J579" s="55"/>
      <c r="K579" s="57"/>
      <c r="L579" s="55"/>
    </row>
    <row r="580" spans="1:12" s="24" customFormat="1">
      <c r="A580" s="53">
        <v>45978</v>
      </c>
      <c r="B580" s="54">
        <f>Table13[[#This Row],[Date]]</f>
        <v>45978</v>
      </c>
      <c r="C580" s="55" t="s">
        <v>26</v>
      </c>
      <c r="D580" s="61" t="s">
        <v>78</v>
      </c>
      <c r="E580" s="63" t="s">
        <v>28</v>
      </c>
      <c r="F580" s="55" t="s">
        <v>19</v>
      </c>
      <c r="G580" s="55">
        <v>1</v>
      </c>
      <c r="H580" s="55"/>
      <c r="I580" s="55"/>
      <c r="J580" s="55"/>
      <c r="K580" s="57"/>
      <c r="L580" s="55"/>
    </row>
    <row r="581" spans="1:12" s="24" customFormat="1">
      <c r="A581" s="53">
        <v>45979</v>
      </c>
      <c r="B581" s="54">
        <f>Table13[[#This Row],[Date]]</f>
        <v>45979</v>
      </c>
      <c r="C581" s="55" t="s">
        <v>14</v>
      </c>
      <c r="D581" s="59" t="s">
        <v>104</v>
      </c>
      <c r="E581" s="55" t="s">
        <v>72</v>
      </c>
      <c r="F581" s="55" t="s">
        <v>60</v>
      </c>
      <c r="G581" s="55">
        <v>1</v>
      </c>
      <c r="H581" s="55"/>
      <c r="I581" s="55"/>
      <c r="J581" s="55"/>
      <c r="K581" s="57"/>
      <c r="L581" s="55"/>
    </row>
    <row r="582" spans="1:12" s="24" customFormat="1">
      <c r="A582" s="53">
        <v>45979</v>
      </c>
      <c r="B582" s="54">
        <f>Table13[[#This Row],[Date]]</f>
        <v>45979</v>
      </c>
      <c r="C582" s="55" t="s">
        <v>14</v>
      </c>
      <c r="D582" s="59" t="s">
        <v>104</v>
      </c>
      <c r="E582" s="63" t="s">
        <v>76</v>
      </c>
      <c r="F582" s="55" t="s">
        <v>60</v>
      </c>
      <c r="G582" s="55">
        <v>1</v>
      </c>
      <c r="H582" s="55"/>
      <c r="I582" s="55"/>
      <c r="J582" s="55"/>
      <c r="K582" s="57"/>
      <c r="L582" s="55"/>
    </row>
    <row r="583" spans="1:12" s="24" customFormat="1">
      <c r="A583" s="103">
        <v>45979</v>
      </c>
      <c r="B583" s="104">
        <f>Table13[[#This Row],[Date]]</f>
        <v>45979</v>
      </c>
      <c r="C583" s="105" t="s">
        <v>26</v>
      </c>
      <c r="D583" s="262" t="s">
        <v>85</v>
      </c>
      <c r="E583" s="133" t="s">
        <v>18</v>
      </c>
      <c r="F583" s="105" t="s">
        <v>19</v>
      </c>
      <c r="G583" s="105">
        <v>1</v>
      </c>
      <c r="H583" s="105"/>
      <c r="I583" s="105"/>
      <c r="J583" s="105"/>
      <c r="K583" s="108"/>
      <c r="L583" s="105"/>
    </row>
    <row r="584" spans="1:12" s="24" customFormat="1">
      <c r="A584" s="103">
        <v>45979</v>
      </c>
      <c r="B584" s="104">
        <f>Table13[[#This Row],[Date]]</f>
        <v>45979</v>
      </c>
      <c r="C584" s="105" t="s">
        <v>26</v>
      </c>
      <c r="D584" s="106" t="s">
        <v>85</v>
      </c>
      <c r="E584" s="133" t="s">
        <v>21</v>
      </c>
      <c r="F584" s="105" t="s">
        <v>19</v>
      </c>
      <c r="G584" s="105">
        <v>1</v>
      </c>
      <c r="H584" s="105"/>
      <c r="I584" s="105"/>
      <c r="J584" s="105"/>
      <c r="K584" s="108"/>
      <c r="L584" s="105"/>
    </row>
    <row r="585" spans="1:12" s="24" customFormat="1">
      <c r="A585" s="48">
        <v>45979</v>
      </c>
      <c r="B585" s="49">
        <f>Table13[[#This Row],[Date]]</f>
        <v>45979</v>
      </c>
      <c r="C585" s="50" t="s">
        <v>4</v>
      </c>
      <c r="D585" s="51" t="s">
        <v>32</v>
      </c>
      <c r="E585" s="50"/>
      <c r="F585" s="50"/>
      <c r="G585" s="50"/>
      <c r="H585" s="50"/>
      <c r="I585" s="50"/>
      <c r="J585" s="50"/>
      <c r="K585" s="52"/>
      <c r="L585" s="50"/>
    </row>
    <row r="586" spans="1:12" s="24" customFormat="1">
      <c r="A586" s="53">
        <v>45980</v>
      </c>
      <c r="B586" s="54">
        <f>Table13[[#This Row],[Date]]</f>
        <v>45980</v>
      </c>
      <c r="C586" s="55" t="s">
        <v>16</v>
      </c>
      <c r="D586" s="59" t="s">
        <v>105</v>
      </c>
      <c r="E586" s="76" t="s">
        <v>18</v>
      </c>
      <c r="F586" s="55" t="s">
        <v>19</v>
      </c>
      <c r="G586" s="55">
        <v>1</v>
      </c>
      <c r="H586" s="55"/>
      <c r="I586" s="55"/>
      <c r="J586" s="55"/>
      <c r="K586" s="57"/>
      <c r="L586" s="55"/>
    </row>
    <row r="587" spans="1:12" s="24" customFormat="1">
      <c r="A587" s="53">
        <v>45980</v>
      </c>
      <c r="B587" s="54">
        <f>Table13[[#This Row],[Date]]</f>
        <v>45980</v>
      </c>
      <c r="C587" s="55" t="s">
        <v>16</v>
      </c>
      <c r="D587" s="59" t="s">
        <v>105</v>
      </c>
      <c r="E587" s="77" t="s">
        <v>21</v>
      </c>
      <c r="F587" s="55" t="s">
        <v>19</v>
      </c>
      <c r="G587" s="55">
        <v>1</v>
      </c>
      <c r="H587" s="55"/>
      <c r="I587" s="55"/>
      <c r="J587" s="55"/>
      <c r="K587" s="57"/>
      <c r="L587" s="55"/>
    </row>
    <row r="588" spans="1:12" s="24" customFormat="1">
      <c r="A588" s="53">
        <v>45980</v>
      </c>
      <c r="B588" s="54">
        <f>Table13[[#This Row],[Date]]</f>
        <v>45980</v>
      </c>
      <c r="C588" s="55" t="s">
        <v>16</v>
      </c>
      <c r="D588" s="69" t="s">
        <v>105</v>
      </c>
      <c r="E588" s="76" t="s">
        <v>49</v>
      </c>
      <c r="F588" s="55" t="s">
        <v>19</v>
      </c>
      <c r="G588" s="55">
        <v>1</v>
      </c>
      <c r="H588" s="55"/>
      <c r="I588" s="55"/>
      <c r="J588" s="55"/>
      <c r="K588" s="57"/>
      <c r="L588" s="55"/>
    </row>
    <row r="589" spans="1:12" s="24" customFormat="1">
      <c r="A589" s="53">
        <v>45980</v>
      </c>
      <c r="B589" s="54">
        <f>Table13[[#This Row],[Date]]</f>
        <v>45980</v>
      </c>
      <c r="C589" s="55" t="s">
        <v>23</v>
      </c>
      <c r="D589" s="68" t="s">
        <v>106</v>
      </c>
      <c r="E589" s="64" t="s">
        <v>28</v>
      </c>
      <c r="F589" s="55" t="s">
        <v>19</v>
      </c>
      <c r="G589" s="55">
        <v>1</v>
      </c>
      <c r="H589" s="55"/>
      <c r="I589" s="55"/>
      <c r="J589" s="55"/>
      <c r="K589" s="57"/>
      <c r="L589" s="55"/>
    </row>
    <row r="590" spans="1:12" s="24" customFormat="1">
      <c r="A590" s="53">
        <v>45980</v>
      </c>
      <c r="B590" s="54">
        <f>Table13[[#This Row],[Date]]</f>
        <v>45980</v>
      </c>
      <c r="C590" s="55" t="s">
        <v>23</v>
      </c>
      <c r="D590" s="68" t="s">
        <v>106</v>
      </c>
      <c r="E590" s="55" t="s">
        <v>107</v>
      </c>
      <c r="F590" s="55" t="s">
        <v>19</v>
      </c>
      <c r="G590" s="55">
        <v>1</v>
      </c>
      <c r="H590" s="55"/>
      <c r="I590" s="55"/>
      <c r="J590" s="55"/>
      <c r="K590" s="57"/>
      <c r="L590" s="55"/>
    </row>
    <row r="591" spans="1:12" s="24" customFormat="1">
      <c r="A591" s="53">
        <v>45980</v>
      </c>
      <c r="B591" s="54">
        <f>Table13[[#This Row],[Date]]</f>
        <v>45980</v>
      </c>
      <c r="C591" s="55" t="s">
        <v>23</v>
      </c>
      <c r="D591" s="61" t="s">
        <v>106</v>
      </c>
      <c r="E591" s="64" t="s">
        <v>41</v>
      </c>
      <c r="F591" s="55" t="s">
        <v>19</v>
      </c>
      <c r="G591" s="55">
        <v>1</v>
      </c>
      <c r="H591" s="55"/>
      <c r="I591" s="55"/>
      <c r="J591" s="55"/>
      <c r="K591" s="57"/>
      <c r="L591" s="55"/>
    </row>
    <row r="592" spans="1:12" s="24" customFormat="1">
      <c r="A592" s="53">
        <v>45980</v>
      </c>
      <c r="B592" s="54">
        <f>Table13[[#This Row],[Date]]</f>
        <v>45980</v>
      </c>
      <c r="C592" s="55" t="s">
        <v>26</v>
      </c>
      <c r="D592" s="61" t="s">
        <v>102</v>
      </c>
      <c r="E592" s="64" t="s">
        <v>18</v>
      </c>
      <c r="F592" s="55" t="s">
        <v>19</v>
      </c>
      <c r="G592" s="55">
        <v>1</v>
      </c>
      <c r="H592" s="55"/>
      <c r="I592" s="55"/>
      <c r="J592" s="55"/>
      <c r="K592" s="57"/>
      <c r="L592" s="55"/>
    </row>
    <row r="593" spans="1:12" s="24" customFormat="1">
      <c r="A593" s="53">
        <v>45980</v>
      </c>
      <c r="B593" s="54">
        <f>Table13[[#This Row],[Date]]</f>
        <v>45980</v>
      </c>
      <c r="C593" s="55" t="s">
        <v>26</v>
      </c>
      <c r="D593" s="61" t="s">
        <v>103</v>
      </c>
      <c r="E593" s="63" t="s">
        <v>18</v>
      </c>
      <c r="F593" s="55" t="s">
        <v>19</v>
      </c>
      <c r="G593" s="55">
        <v>1</v>
      </c>
      <c r="H593" s="55"/>
      <c r="I593" s="55"/>
      <c r="J593" s="55"/>
      <c r="K593" s="57"/>
      <c r="L593" s="55"/>
    </row>
    <row r="594" spans="1:12" s="24" customFormat="1">
      <c r="A594" s="53">
        <v>45980</v>
      </c>
      <c r="B594" s="54">
        <f>Table13[[#This Row],[Date]]</f>
        <v>45980</v>
      </c>
      <c r="C594" s="55" t="s">
        <v>26</v>
      </c>
      <c r="D594" s="61" t="s">
        <v>103</v>
      </c>
      <c r="E594" s="55" t="s">
        <v>21</v>
      </c>
      <c r="F594" s="55" t="s">
        <v>19</v>
      </c>
      <c r="G594" s="55">
        <v>1</v>
      </c>
      <c r="H594" s="55"/>
      <c r="I594" s="55"/>
      <c r="J594" s="55"/>
      <c r="K594" s="57"/>
      <c r="L594" s="55"/>
    </row>
    <row r="595" spans="1:12" s="24" customFormat="1">
      <c r="A595" s="53">
        <v>45980</v>
      </c>
      <c r="B595" s="54">
        <f>Table13[[#This Row],[Date]]</f>
        <v>45980</v>
      </c>
      <c r="C595" s="55" t="s">
        <v>26</v>
      </c>
      <c r="D595" s="61" t="s">
        <v>84</v>
      </c>
      <c r="E595" s="63" t="s">
        <v>47</v>
      </c>
      <c r="F595" s="55" t="s">
        <v>19</v>
      </c>
      <c r="G595" s="55">
        <v>1</v>
      </c>
      <c r="H595" s="55"/>
      <c r="I595" s="55"/>
      <c r="J595" s="55"/>
      <c r="K595" s="57"/>
      <c r="L595" s="55"/>
    </row>
    <row r="596" spans="1:12" s="24" customFormat="1">
      <c r="A596" s="53">
        <v>45981</v>
      </c>
      <c r="B596" s="54">
        <f>Table13[[#This Row],[Date]]</f>
        <v>45981</v>
      </c>
      <c r="C596" s="55" t="s">
        <v>14</v>
      </c>
      <c r="D596" s="59" t="s">
        <v>105</v>
      </c>
      <c r="E596" s="55" t="s">
        <v>59</v>
      </c>
      <c r="F596" s="55" t="s">
        <v>60</v>
      </c>
      <c r="G596" s="55">
        <v>1</v>
      </c>
      <c r="H596" s="55"/>
      <c r="I596" s="55"/>
      <c r="J596" s="55"/>
      <c r="K596" s="57"/>
      <c r="L596" s="55"/>
    </row>
    <row r="597" spans="1:12" s="24" customFormat="1">
      <c r="A597" s="53">
        <v>45981</v>
      </c>
      <c r="B597" s="54">
        <f>Table13[[#This Row],[Date]]</f>
        <v>45981</v>
      </c>
      <c r="C597" s="55" t="s">
        <v>14</v>
      </c>
      <c r="D597" s="59" t="s">
        <v>105</v>
      </c>
      <c r="E597" s="77" t="s">
        <v>61</v>
      </c>
      <c r="F597" s="55" t="s">
        <v>60</v>
      </c>
      <c r="G597" s="55">
        <v>1</v>
      </c>
      <c r="H597" s="55"/>
      <c r="I597" s="55"/>
      <c r="J597" s="55"/>
      <c r="K597" s="57"/>
      <c r="L597" s="55"/>
    </row>
    <row r="598" spans="1:12" s="24" customFormat="1">
      <c r="A598" s="53">
        <v>45981</v>
      </c>
      <c r="B598" s="54">
        <f>Table13[[#This Row],[Date]]</f>
        <v>45981</v>
      </c>
      <c r="C598" s="55" t="s">
        <v>14</v>
      </c>
      <c r="D598" s="59" t="s">
        <v>105</v>
      </c>
      <c r="E598" s="77" t="s">
        <v>72</v>
      </c>
      <c r="F598" s="55" t="s">
        <v>60</v>
      </c>
      <c r="G598" s="55">
        <v>1</v>
      </c>
      <c r="H598" s="55"/>
      <c r="I598" s="55"/>
      <c r="J598" s="55"/>
      <c r="K598" s="57"/>
      <c r="L598" s="55"/>
    </row>
    <row r="599" spans="1:12" s="24" customFormat="1">
      <c r="A599" s="53">
        <v>45981</v>
      </c>
      <c r="B599" s="54">
        <f>Table13[[#This Row],[Date]]</f>
        <v>45981</v>
      </c>
      <c r="C599" s="55" t="s">
        <v>14</v>
      </c>
      <c r="D599" s="59" t="s">
        <v>105</v>
      </c>
      <c r="E599" s="76" t="s">
        <v>76</v>
      </c>
      <c r="F599" s="55" t="s">
        <v>60</v>
      </c>
      <c r="G599" s="55">
        <v>1</v>
      </c>
      <c r="H599" s="55"/>
      <c r="I599" s="55"/>
      <c r="J599" s="55"/>
      <c r="K599" s="57"/>
      <c r="L599" s="55"/>
    </row>
    <row r="600" spans="1:12" s="24" customFormat="1">
      <c r="A600" s="53">
        <v>45981</v>
      </c>
      <c r="B600" s="54">
        <f>Table13[[#This Row],[Date]]</f>
        <v>45981</v>
      </c>
      <c r="C600" s="55" t="s">
        <v>23</v>
      </c>
      <c r="D600" s="59" t="s">
        <v>106</v>
      </c>
      <c r="E600" s="64" t="s">
        <v>18</v>
      </c>
      <c r="F600" s="55" t="s">
        <v>19</v>
      </c>
      <c r="G600" s="55">
        <v>1</v>
      </c>
      <c r="H600" s="55"/>
      <c r="I600" s="55"/>
      <c r="J600" s="55"/>
      <c r="K600" s="57"/>
      <c r="L600" s="55"/>
    </row>
    <row r="601" spans="1:12" s="24" customFormat="1">
      <c r="A601" s="53">
        <v>45981</v>
      </c>
      <c r="B601" s="54">
        <f>Table13[[#This Row],[Date]]</f>
        <v>45981</v>
      </c>
      <c r="C601" s="55" t="s">
        <v>23</v>
      </c>
      <c r="D601" s="59" t="s">
        <v>106</v>
      </c>
      <c r="E601" s="64" t="s">
        <v>21</v>
      </c>
      <c r="F601" s="55" t="s">
        <v>19</v>
      </c>
      <c r="G601" s="55">
        <v>1</v>
      </c>
      <c r="H601" s="55"/>
      <c r="I601" s="55"/>
      <c r="J601" s="55"/>
      <c r="K601" s="57"/>
      <c r="L601" s="55"/>
    </row>
    <row r="602" spans="1:12" s="24" customFormat="1">
      <c r="A602" s="53">
        <v>45981</v>
      </c>
      <c r="B602" s="54">
        <f>Table13[[#This Row],[Date]]</f>
        <v>45981</v>
      </c>
      <c r="C602" s="55" t="s">
        <v>23</v>
      </c>
      <c r="D602" s="59" t="s">
        <v>106</v>
      </c>
      <c r="E602" s="64" t="s">
        <v>49</v>
      </c>
      <c r="F602" s="55" t="s">
        <v>19</v>
      </c>
      <c r="G602" s="55">
        <v>1</v>
      </c>
      <c r="H602" s="55"/>
      <c r="I602" s="55"/>
      <c r="J602" s="55"/>
      <c r="K602" s="57"/>
      <c r="L602" s="55"/>
    </row>
    <row r="603" spans="1:12" s="24" customFormat="1">
      <c r="A603" s="53">
        <v>45981</v>
      </c>
      <c r="B603" s="54">
        <f>Table13[[#This Row],[Date]]</f>
        <v>45981</v>
      </c>
      <c r="C603" s="55" t="s">
        <v>26</v>
      </c>
      <c r="D603" s="61" t="s">
        <v>108</v>
      </c>
      <c r="E603" s="55" t="s">
        <v>28</v>
      </c>
      <c r="F603" s="55" t="s">
        <v>19</v>
      </c>
      <c r="G603" s="55">
        <v>1</v>
      </c>
      <c r="H603" s="55"/>
      <c r="I603" s="55"/>
      <c r="J603" s="55"/>
      <c r="K603" s="57"/>
      <c r="L603" s="55"/>
    </row>
    <row r="604" spans="1:12" s="24" customFormat="1">
      <c r="A604" s="53">
        <v>45981</v>
      </c>
      <c r="B604" s="54">
        <f>Table13[[#This Row],[Date]]</f>
        <v>45981</v>
      </c>
      <c r="C604" s="55" t="s">
        <v>26</v>
      </c>
      <c r="D604" s="61" t="s">
        <v>108</v>
      </c>
      <c r="E604" s="55" t="s">
        <v>107</v>
      </c>
      <c r="F604" s="55" t="s">
        <v>19</v>
      </c>
      <c r="G604" s="55">
        <v>1</v>
      </c>
      <c r="H604" s="55"/>
      <c r="I604" s="55"/>
      <c r="J604" s="55"/>
      <c r="K604" s="57"/>
      <c r="L604" s="55"/>
    </row>
    <row r="605" spans="1:12" s="24" customFormat="1">
      <c r="A605" s="53">
        <v>45981</v>
      </c>
      <c r="B605" s="54">
        <f>Table13[[#This Row],[Date]]</f>
        <v>45981</v>
      </c>
      <c r="C605" s="55" t="s">
        <v>26</v>
      </c>
      <c r="D605" s="61" t="s">
        <v>108</v>
      </c>
      <c r="E605" s="55" t="s">
        <v>35</v>
      </c>
      <c r="F605" s="55" t="s">
        <v>19</v>
      </c>
      <c r="G605" s="55">
        <v>1</v>
      </c>
      <c r="H605" s="55"/>
      <c r="I605" s="55"/>
      <c r="J605" s="55"/>
      <c r="K605" s="57"/>
      <c r="L605" s="55"/>
    </row>
    <row r="606" spans="1:12" s="24" customFormat="1">
      <c r="A606" s="53">
        <v>45981</v>
      </c>
      <c r="B606" s="54">
        <f>Table13[[#This Row],[Date]]</f>
        <v>45981</v>
      </c>
      <c r="C606" s="55" t="s">
        <v>26</v>
      </c>
      <c r="D606" s="61" t="s">
        <v>108</v>
      </c>
      <c r="E606" s="55" t="s">
        <v>109</v>
      </c>
      <c r="F606" s="55" t="s">
        <v>19</v>
      </c>
      <c r="G606" s="55">
        <v>1</v>
      </c>
      <c r="H606" s="55"/>
      <c r="I606" s="55"/>
      <c r="J606" s="55"/>
      <c r="K606" s="57"/>
      <c r="L606" s="55"/>
    </row>
    <row r="607" spans="1:12" s="24" customFormat="1">
      <c r="A607" s="53">
        <v>45982</v>
      </c>
      <c r="B607" s="54">
        <f>Table13[[#This Row],[Date]]</f>
        <v>45982</v>
      </c>
      <c r="C607" s="55" t="s">
        <v>14</v>
      </c>
      <c r="D607" s="59" t="s">
        <v>105</v>
      </c>
      <c r="E607" s="55" t="s">
        <v>73</v>
      </c>
      <c r="F607" s="55" t="s">
        <v>60</v>
      </c>
      <c r="G607" s="55">
        <v>1</v>
      </c>
      <c r="H607" s="55"/>
      <c r="I607" s="55"/>
      <c r="J607" s="55"/>
      <c r="K607" s="57"/>
      <c r="L607" s="55"/>
    </row>
    <row r="608" spans="1:12" s="24" customFormat="1">
      <c r="A608" s="53">
        <v>45982</v>
      </c>
      <c r="B608" s="54">
        <f>Table13[[#This Row],[Date]]</f>
        <v>45982</v>
      </c>
      <c r="C608" s="55" t="s">
        <v>14</v>
      </c>
      <c r="D608" s="59" t="s">
        <v>105</v>
      </c>
      <c r="E608" s="55" t="s">
        <v>77</v>
      </c>
      <c r="F608" s="55" t="s">
        <v>60</v>
      </c>
      <c r="G608" s="55">
        <v>1</v>
      </c>
      <c r="H608" s="55"/>
      <c r="I608" s="55"/>
      <c r="J608" s="55"/>
      <c r="K608" s="57"/>
      <c r="L608" s="55"/>
    </row>
    <row r="609" spans="1:12" s="24" customFormat="1">
      <c r="A609" s="53">
        <v>45982</v>
      </c>
      <c r="B609" s="54">
        <f>Table13[[#This Row],[Date]]</f>
        <v>45982</v>
      </c>
      <c r="C609" s="55" t="s">
        <v>14</v>
      </c>
      <c r="D609" s="59" t="s">
        <v>105</v>
      </c>
      <c r="E609" s="55" t="s">
        <v>176</v>
      </c>
      <c r="F609" s="55" t="s">
        <v>60</v>
      </c>
      <c r="G609" s="55">
        <v>1</v>
      </c>
      <c r="H609" s="55"/>
      <c r="I609" s="55"/>
      <c r="J609" s="55"/>
      <c r="K609" s="57"/>
      <c r="L609" s="55"/>
    </row>
    <row r="610" spans="1:12" s="24" customFormat="1">
      <c r="A610" s="53">
        <v>45982</v>
      </c>
      <c r="B610" s="54">
        <f>Table13[[#This Row],[Date]]</f>
        <v>45982</v>
      </c>
      <c r="C610" s="55" t="s">
        <v>14</v>
      </c>
      <c r="D610" s="59" t="s">
        <v>105</v>
      </c>
      <c r="E610" s="55" t="s">
        <v>177</v>
      </c>
      <c r="F610" s="55" t="s">
        <v>60</v>
      </c>
      <c r="G610" s="55">
        <v>1</v>
      </c>
      <c r="H610" s="55"/>
      <c r="I610" s="55"/>
      <c r="J610" s="55"/>
      <c r="K610" s="57"/>
      <c r="L610" s="55"/>
    </row>
    <row r="611" spans="1:12" s="24" customFormat="1">
      <c r="A611" s="53">
        <v>45982</v>
      </c>
      <c r="B611" s="54">
        <f>Table13[[#This Row],[Date]]</f>
        <v>45982</v>
      </c>
      <c r="C611" s="55" t="s">
        <v>14</v>
      </c>
      <c r="D611" s="59" t="s">
        <v>111</v>
      </c>
      <c r="E611" s="55" t="s">
        <v>18</v>
      </c>
      <c r="F611" s="55" t="s">
        <v>99</v>
      </c>
      <c r="G611" s="55">
        <v>1</v>
      </c>
      <c r="H611" s="55"/>
      <c r="I611" s="55"/>
      <c r="J611" s="55"/>
      <c r="K611" s="57"/>
      <c r="L611" s="55"/>
    </row>
    <row r="612" spans="1:12" s="24" customFormat="1">
      <c r="A612" s="103">
        <v>45982</v>
      </c>
      <c r="B612" s="104">
        <f>Table13[[#This Row],[Date]]</f>
        <v>45982</v>
      </c>
      <c r="C612" s="105" t="s">
        <v>14</v>
      </c>
      <c r="D612" s="109" t="s">
        <v>113</v>
      </c>
      <c r="E612" s="105" t="s">
        <v>18</v>
      </c>
      <c r="F612" s="105" t="s">
        <v>19</v>
      </c>
      <c r="G612" s="105">
        <v>1</v>
      </c>
      <c r="H612" s="105"/>
      <c r="I612" s="105"/>
      <c r="J612" s="105"/>
      <c r="K612" s="108"/>
      <c r="L612" s="105"/>
    </row>
    <row r="613" spans="1:12" s="24" customFormat="1">
      <c r="A613" s="53">
        <v>45982</v>
      </c>
      <c r="B613" s="54">
        <f>Table13[[#This Row],[Date]]</f>
        <v>45982</v>
      </c>
      <c r="C613" s="55" t="s">
        <v>23</v>
      </c>
      <c r="D613" s="59" t="s">
        <v>114</v>
      </c>
      <c r="E613" s="55" t="s">
        <v>18</v>
      </c>
      <c r="F613" s="55" t="s">
        <v>19</v>
      </c>
      <c r="G613" s="55">
        <v>1</v>
      </c>
      <c r="H613" s="55"/>
      <c r="I613" s="55"/>
      <c r="J613" s="55"/>
      <c r="K613" s="57"/>
      <c r="L613" s="55"/>
    </row>
    <row r="614" spans="1:12" s="24" customFormat="1">
      <c r="A614" s="53">
        <v>45982</v>
      </c>
      <c r="B614" s="54">
        <f>Table13[[#This Row],[Date]]</f>
        <v>45982</v>
      </c>
      <c r="C614" s="55" t="s">
        <v>23</v>
      </c>
      <c r="D614" s="59" t="s">
        <v>114</v>
      </c>
      <c r="E614" s="55" t="s">
        <v>21</v>
      </c>
      <c r="F614" s="55" t="s">
        <v>19</v>
      </c>
      <c r="G614" s="55">
        <v>1</v>
      </c>
      <c r="H614" s="55"/>
      <c r="I614" s="55"/>
      <c r="J614" s="55"/>
      <c r="K614" s="57"/>
      <c r="L614" s="55"/>
    </row>
    <row r="615" spans="1:12" s="24" customFormat="1">
      <c r="A615" s="53">
        <v>45982</v>
      </c>
      <c r="B615" s="54">
        <f>Table13[[#This Row],[Date]]</f>
        <v>45982</v>
      </c>
      <c r="C615" s="55" t="s">
        <v>26</v>
      </c>
      <c r="D615" s="59" t="s">
        <v>110</v>
      </c>
      <c r="E615" s="55" t="s">
        <v>18</v>
      </c>
      <c r="F615" s="55" t="s">
        <v>19</v>
      </c>
      <c r="G615" s="55">
        <v>1</v>
      </c>
      <c r="H615" s="55"/>
      <c r="I615" s="55"/>
      <c r="J615" s="55"/>
      <c r="K615" s="57"/>
      <c r="L615" s="55"/>
    </row>
    <row r="616" spans="1:12" s="24" customFormat="1">
      <c r="A616" s="53">
        <v>45982</v>
      </c>
      <c r="B616" s="54">
        <f>Table13[[#This Row],[Date]]</f>
        <v>45982</v>
      </c>
      <c r="C616" s="55" t="s">
        <v>26</v>
      </c>
      <c r="D616" s="59" t="s">
        <v>110</v>
      </c>
      <c r="E616" s="55" t="s">
        <v>21</v>
      </c>
      <c r="F616" s="55" t="s">
        <v>19</v>
      </c>
      <c r="G616" s="55">
        <v>1</v>
      </c>
      <c r="H616" s="55"/>
      <c r="I616" s="55"/>
      <c r="J616" s="55"/>
      <c r="K616" s="57"/>
      <c r="L616" s="55"/>
    </row>
    <row r="617" spans="1:12" s="24" customFormat="1">
      <c r="A617" s="16">
        <v>45983</v>
      </c>
      <c r="B617" s="18">
        <f>Table13[[#This Row],[Date]]</f>
        <v>45983</v>
      </c>
      <c r="C617" s="10" t="s">
        <v>4</v>
      </c>
      <c r="D617" s="9" t="s">
        <v>92</v>
      </c>
      <c r="E617" s="10" t="s">
        <v>93</v>
      </c>
      <c r="F617" s="10" t="s">
        <v>19</v>
      </c>
      <c r="G617" s="10">
        <v>1</v>
      </c>
      <c r="H617" s="10"/>
      <c r="I617" s="10"/>
      <c r="J617" s="10"/>
      <c r="K617" s="13"/>
      <c r="L617" s="10"/>
    </row>
    <row r="618" spans="1:12" s="24" customFormat="1">
      <c r="A618" s="16">
        <v>45983</v>
      </c>
      <c r="B618" s="18">
        <f>Table13[[#This Row],[Date]]</f>
        <v>45983</v>
      </c>
      <c r="C618" s="10" t="s">
        <v>4</v>
      </c>
      <c r="D618" s="9" t="s">
        <v>92</v>
      </c>
      <c r="E618" s="10" t="s">
        <v>94</v>
      </c>
      <c r="F618" s="10" t="s">
        <v>19</v>
      </c>
      <c r="G618" s="10">
        <v>1</v>
      </c>
      <c r="H618" s="10"/>
      <c r="I618" s="10"/>
      <c r="J618" s="10"/>
      <c r="K618" s="13"/>
      <c r="L618" s="10"/>
    </row>
    <row r="619" spans="1:12" s="24" customFormat="1">
      <c r="A619" s="16">
        <v>45983</v>
      </c>
      <c r="B619" s="18">
        <f>Table13[[#This Row],[Date]]</f>
        <v>45983</v>
      </c>
      <c r="C619" s="10" t="s">
        <v>4</v>
      </c>
      <c r="D619" s="9" t="s">
        <v>92</v>
      </c>
      <c r="E619" s="10" t="s">
        <v>95</v>
      </c>
      <c r="F619" s="10" t="s">
        <v>19</v>
      </c>
      <c r="G619" s="10">
        <v>1</v>
      </c>
      <c r="H619" s="10"/>
      <c r="I619" s="10"/>
      <c r="J619" s="10"/>
      <c r="K619" s="13"/>
      <c r="L619" s="10"/>
    </row>
    <row r="620" spans="1:12" s="24" customFormat="1">
      <c r="A620" s="16">
        <v>45983</v>
      </c>
      <c r="B620" s="18">
        <f>Table13[[#This Row],[Date]]</f>
        <v>45983</v>
      </c>
      <c r="C620" s="10" t="s">
        <v>4</v>
      </c>
      <c r="D620" s="12" t="s">
        <v>116</v>
      </c>
      <c r="E620" s="10" t="s">
        <v>18</v>
      </c>
      <c r="F620" s="10" t="s">
        <v>99</v>
      </c>
      <c r="G620" s="10">
        <v>1</v>
      </c>
      <c r="H620" s="10"/>
      <c r="I620" s="10"/>
      <c r="J620" s="10"/>
      <c r="K620" s="13"/>
      <c r="L620" s="10"/>
    </row>
    <row r="621" spans="1:12" s="24" customFormat="1">
      <c r="A621" s="16">
        <v>45984</v>
      </c>
      <c r="B621" s="18">
        <f>Table13[[#This Row],[Date]]</f>
        <v>45984</v>
      </c>
      <c r="C621" s="10" t="s">
        <v>14</v>
      </c>
      <c r="D621" s="9" t="s">
        <v>144</v>
      </c>
      <c r="E621" s="10" t="s">
        <v>18</v>
      </c>
      <c r="F621" s="10" t="s">
        <v>19</v>
      </c>
      <c r="G621" s="10">
        <v>1</v>
      </c>
      <c r="H621" s="10"/>
      <c r="I621" s="10"/>
      <c r="J621" s="10"/>
      <c r="K621" s="13"/>
      <c r="L621" s="10"/>
    </row>
    <row r="622" spans="1:12" s="24" customFormat="1">
      <c r="A622" s="16">
        <v>45984</v>
      </c>
      <c r="B622" s="18">
        <f>Table13[[#This Row],[Date]]</f>
        <v>45984</v>
      </c>
      <c r="C622" s="10" t="s">
        <v>14</v>
      </c>
      <c r="D622" s="9" t="s">
        <v>144</v>
      </c>
      <c r="E622" s="10" t="s">
        <v>21</v>
      </c>
      <c r="F622" s="10" t="s">
        <v>19</v>
      </c>
      <c r="G622" s="10">
        <v>1</v>
      </c>
      <c r="H622" s="10"/>
      <c r="I622" s="10"/>
      <c r="J622" s="10"/>
      <c r="K622" s="13"/>
      <c r="L622" s="10"/>
    </row>
    <row r="623" spans="1:12" s="24" customFormat="1">
      <c r="A623" s="53">
        <v>45985</v>
      </c>
      <c r="B623" s="54">
        <f>Table13[[#This Row],[Date]]</f>
        <v>45985</v>
      </c>
      <c r="C623" s="55" t="s">
        <v>16</v>
      </c>
      <c r="D623" s="59" t="s">
        <v>119</v>
      </c>
      <c r="E623" s="55" t="s">
        <v>47</v>
      </c>
      <c r="F623" s="55" t="s">
        <v>19</v>
      </c>
      <c r="G623" s="55">
        <v>1</v>
      </c>
      <c r="H623" s="55"/>
      <c r="I623" s="55"/>
      <c r="J623" s="55"/>
      <c r="K623" s="57"/>
      <c r="L623" s="55"/>
    </row>
    <row r="624" spans="1:12" s="24" customFormat="1">
      <c r="A624" s="53">
        <v>45985</v>
      </c>
      <c r="B624" s="54">
        <f>Table13[[#This Row],[Date]]</f>
        <v>45985</v>
      </c>
      <c r="C624" s="55" t="s">
        <v>16</v>
      </c>
      <c r="D624" s="59" t="s">
        <v>105</v>
      </c>
      <c r="E624" s="77" t="s">
        <v>47</v>
      </c>
      <c r="F624" s="55" t="s">
        <v>19</v>
      </c>
      <c r="G624" s="55">
        <v>1</v>
      </c>
      <c r="H624" s="55"/>
      <c r="I624" s="55"/>
      <c r="J624" s="55"/>
      <c r="K624" s="57"/>
      <c r="L624" s="55"/>
    </row>
    <row r="625" spans="1:12" s="24" customFormat="1">
      <c r="A625" s="53">
        <v>45985</v>
      </c>
      <c r="B625" s="54">
        <f>Table13[[#This Row],[Date]]</f>
        <v>45985</v>
      </c>
      <c r="C625" s="55" t="s">
        <v>16</v>
      </c>
      <c r="D625" s="59" t="s">
        <v>105</v>
      </c>
      <c r="E625" s="77" t="s">
        <v>53</v>
      </c>
      <c r="F625" s="55" t="s">
        <v>19</v>
      </c>
      <c r="G625" s="55">
        <v>1</v>
      </c>
      <c r="H625" s="55"/>
      <c r="I625" s="55"/>
      <c r="J625" s="55"/>
      <c r="K625" s="57"/>
      <c r="L625" s="55"/>
    </row>
    <row r="626" spans="1:12" s="24" customFormat="1">
      <c r="A626" s="53">
        <v>45985</v>
      </c>
      <c r="B626" s="54">
        <f>Table13[[#This Row],[Date]]</f>
        <v>45985</v>
      </c>
      <c r="C626" s="55" t="s">
        <v>16</v>
      </c>
      <c r="D626" s="59" t="s">
        <v>105</v>
      </c>
      <c r="E626" s="77" t="s">
        <v>41</v>
      </c>
      <c r="F626" s="55" t="s">
        <v>19</v>
      </c>
      <c r="G626" s="55">
        <v>1</v>
      </c>
      <c r="H626" s="55"/>
      <c r="I626" s="55"/>
      <c r="J626" s="55"/>
      <c r="K626" s="57"/>
      <c r="L626" s="55"/>
    </row>
    <row r="627" spans="1:12" s="24" customFormat="1">
      <c r="A627" s="53">
        <v>45985</v>
      </c>
      <c r="B627" s="54">
        <f>Table13[[#This Row],[Date]]</f>
        <v>45985</v>
      </c>
      <c r="C627" s="55" t="s">
        <v>23</v>
      </c>
      <c r="D627" s="59" t="s">
        <v>178</v>
      </c>
      <c r="E627" s="55" t="s">
        <v>21</v>
      </c>
      <c r="F627" s="55" t="s">
        <v>19</v>
      </c>
      <c r="G627" s="55">
        <v>1</v>
      </c>
      <c r="H627" s="55"/>
      <c r="I627" s="55"/>
      <c r="J627" s="55"/>
      <c r="K627" s="57"/>
      <c r="L627" s="55"/>
    </row>
    <row r="628" spans="1:12" s="24" customFormat="1">
      <c r="A628" s="53">
        <v>45985</v>
      </c>
      <c r="B628" s="54">
        <f>Table13[[#This Row],[Date]]</f>
        <v>45985</v>
      </c>
      <c r="C628" s="55" t="s">
        <v>23</v>
      </c>
      <c r="D628" s="132" t="s">
        <v>122</v>
      </c>
      <c r="E628" s="55" t="s">
        <v>18</v>
      </c>
      <c r="F628" s="55" t="s">
        <v>19</v>
      </c>
      <c r="G628" s="55">
        <v>1</v>
      </c>
      <c r="H628" s="55"/>
      <c r="I628" s="55"/>
      <c r="J628" s="55"/>
      <c r="K628" s="57"/>
      <c r="L628" s="55"/>
    </row>
    <row r="629" spans="1:12" s="24" customFormat="1">
      <c r="A629" s="53">
        <v>45985</v>
      </c>
      <c r="B629" s="54">
        <f>Table13[[#This Row],[Date]]</f>
        <v>45985</v>
      </c>
      <c r="C629" s="55" t="s">
        <v>26</v>
      </c>
      <c r="D629" s="78" t="s">
        <v>123</v>
      </c>
      <c r="E629" s="63" t="s">
        <v>18</v>
      </c>
      <c r="F629" s="55" t="s">
        <v>19</v>
      </c>
      <c r="G629" s="55">
        <v>1</v>
      </c>
      <c r="H629" s="55"/>
      <c r="I629" s="55"/>
      <c r="J629" s="55"/>
      <c r="K629" s="57"/>
      <c r="L629" s="55"/>
    </row>
    <row r="630" spans="1:12" s="24" customFormat="1">
      <c r="A630" s="53">
        <v>45985</v>
      </c>
      <c r="B630" s="54">
        <f>Table13[[#This Row],[Date]]</f>
        <v>45985</v>
      </c>
      <c r="C630" s="55" t="s">
        <v>26</v>
      </c>
      <c r="D630" s="78" t="s">
        <v>123</v>
      </c>
      <c r="E630" s="55" t="s">
        <v>21</v>
      </c>
      <c r="F630" s="55" t="s">
        <v>19</v>
      </c>
      <c r="G630" s="55">
        <v>1</v>
      </c>
      <c r="H630" s="55"/>
      <c r="I630" s="55"/>
      <c r="J630" s="55"/>
      <c r="K630" s="57"/>
      <c r="L630" s="55"/>
    </row>
    <row r="631" spans="1:12" s="24" customFormat="1">
      <c r="A631" s="53">
        <v>45985</v>
      </c>
      <c r="B631" s="54">
        <f>Table13[[#This Row],[Date]]</f>
        <v>45985</v>
      </c>
      <c r="C631" s="55" t="s">
        <v>26</v>
      </c>
      <c r="D631" s="78" t="s">
        <v>123</v>
      </c>
      <c r="E631" s="55" t="s">
        <v>47</v>
      </c>
      <c r="F631" s="55" t="s">
        <v>19</v>
      </c>
      <c r="G631" s="55">
        <v>1</v>
      </c>
      <c r="H631" s="55"/>
      <c r="I631" s="55"/>
      <c r="J631" s="55"/>
      <c r="K631" s="57"/>
      <c r="L631" s="55"/>
    </row>
    <row r="632" spans="1:12" s="24" customFormat="1">
      <c r="A632" s="53">
        <v>45985</v>
      </c>
      <c r="B632" s="54">
        <f>Table13[[#This Row],[Date]]</f>
        <v>45985</v>
      </c>
      <c r="C632" s="55" t="s">
        <v>26</v>
      </c>
      <c r="D632" s="61" t="s">
        <v>115</v>
      </c>
      <c r="E632" s="64" t="s">
        <v>18</v>
      </c>
      <c r="F632" s="55" t="s">
        <v>19</v>
      </c>
      <c r="G632" s="55">
        <v>1</v>
      </c>
      <c r="H632" s="55"/>
      <c r="I632" s="55"/>
      <c r="J632" s="55"/>
      <c r="K632" s="57"/>
      <c r="L632" s="55"/>
    </row>
    <row r="633" spans="1:12" s="24" customFormat="1">
      <c r="A633" s="53">
        <v>45986</v>
      </c>
      <c r="B633" s="54">
        <f>Table13[[#This Row],[Date]]</f>
        <v>45986</v>
      </c>
      <c r="C633" s="55" t="s">
        <v>14</v>
      </c>
      <c r="D633" s="59" t="s">
        <v>104</v>
      </c>
      <c r="E633" s="55" t="s">
        <v>18</v>
      </c>
      <c r="F633" s="55" t="s">
        <v>19</v>
      </c>
      <c r="G633" s="55">
        <v>1</v>
      </c>
      <c r="H633" s="55"/>
      <c r="I633" s="55"/>
      <c r="J633" s="55"/>
      <c r="K633" s="57"/>
      <c r="L633" s="55"/>
    </row>
    <row r="634" spans="1:12" s="24" customFormat="1">
      <c r="A634" s="53">
        <v>45986</v>
      </c>
      <c r="B634" s="54">
        <f>Table13[[#This Row],[Date]]</f>
        <v>45986</v>
      </c>
      <c r="C634" s="55" t="s">
        <v>14</v>
      </c>
      <c r="D634" s="59" t="s">
        <v>104</v>
      </c>
      <c r="E634" s="55" t="s">
        <v>21</v>
      </c>
      <c r="F634" s="55" t="s">
        <v>19</v>
      </c>
      <c r="G634" s="55">
        <v>1</v>
      </c>
      <c r="H634" s="55"/>
      <c r="I634" s="55"/>
      <c r="J634" s="55"/>
      <c r="K634" s="57"/>
      <c r="L634" s="55"/>
    </row>
    <row r="635" spans="1:12" s="24" customFormat="1">
      <c r="A635" s="15">
        <v>45986</v>
      </c>
      <c r="B635" s="17">
        <f>Table13[[#This Row],[Date]]</f>
        <v>45986</v>
      </c>
      <c r="C635" s="1" t="s">
        <v>23</v>
      </c>
      <c r="D635" s="2" t="s">
        <v>126</v>
      </c>
      <c r="E635" s="55" t="s">
        <v>18</v>
      </c>
      <c r="F635" s="1" t="s">
        <v>99</v>
      </c>
      <c r="G635" s="28">
        <v>1</v>
      </c>
      <c r="H635" s="1"/>
      <c r="I635" s="1"/>
      <c r="J635" s="1"/>
      <c r="K635" s="3"/>
      <c r="L635" s="1"/>
    </row>
    <row r="636" spans="1:12" s="24" customFormat="1">
      <c r="A636" s="53">
        <v>45986</v>
      </c>
      <c r="B636" s="54">
        <f>Table13[[#This Row],[Date]]</f>
        <v>45986</v>
      </c>
      <c r="C636" s="55" t="s">
        <v>23</v>
      </c>
      <c r="D636" s="61" t="s">
        <v>120</v>
      </c>
      <c r="E636" s="55" t="s">
        <v>18</v>
      </c>
      <c r="F636" s="55" t="s">
        <v>19</v>
      </c>
      <c r="G636" s="55">
        <v>1</v>
      </c>
      <c r="H636" s="55"/>
      <c r="I636" s="55"/>
      <c r="J636" s="55"/>
      <c r="K636" s="57"/>
      <c r="L636" s="55"/>
    </row>
    <row r="637" spans="1:12" s="24" customFormat="1">
      <c r="A637" s="48">
        <v>45986</v>
      </c>
      <c r="B637" s="49">
        <f>Table13[[#This Row],[Date]]</f>
        <v>45986</v>
      </c>
      <c r="C637" s="50" t="s">
        <v>4</v>
      </c>
      <c r="D637" s="51" t="s">
        <v>32</v>
      </c>
      <c r="E637" s="84"/>
      <c r="F637" s="50"/>
      <c r="G637" s="50"/>
      <c r="H637" s="50"/>
      <c r="I637" s="50"/>
      <c r="J637" s="50"/>
      <c r="K637" s="52"/>
      <c r="L637" s="50"/>
    </row>
    <row r="638" spans="1:12" s="24" customFormat="1">
      <c r="A638" s="48">
        <v>45986</v>
      </c>
      <c r="B638" s="49">
        <f>Table13[[#This Row],[Date]]</f>
        <v>45986</v>
      </c>
      <c r="C638" s="50" t="s">
        <v>149</v>
      </c>
      <c r="D638" s="51" t="s">
        <v>150</v>
      </c>
      <c r="E638" s="50"/>
      <c r="F638" s="50"/>
      <c r="G638" s="50"/>
      <c r="H638" s="50"/>
      <c r="I638" s="50"/>
      <c r="J638" s="50"/>
      <c r="K638" s="52"/>
      <c r="L638" s="50"/>
    </row>
    <row r="639" spans="1:12" s="24" customFormat="1">
      <c r="A639" s="48">
        <v>45986</v>
      </c>
      <c r="B639" s="49">
        <f>Table13[[#This Row],[Date]]</f>
        <v>45986</v>
      </c>
      <c r="C639" s="50" t="s">
        <v>149</v>
      </c>
      <c r="D639" s="51" t="s">
        <v>150</v>
      </c>
      <c r="E639" s="50"/>
      <c r="F639" s="50"/>
      <c r="G639" s="50"/>
      <c r="H639" s="50"/>
      <c r="I639" s="50"/>
      <c r="J639" s="50"/>
      <c r="K639" s="52"/>
      <c r="L639" s="50"/>
    </row>
    <row r="640" spans="1:12" s="24" customFormat="1">
      <c r="A640" s="15">
        <v>45987</v>
      </c>
      <c r="B640" s="17">
        <f>Table13[[#This Row],[Date]]</f>
        <v>45987</v>
      </c>
      <c r="C640" s="1" t="s">
        <v>14</v>
      </c>
      <c r="D640" s="135" t="s">
        <v>124</v>
      </c>
      <c r="E640" s="150" t="s">
        <v>18</v>
      </c>
      <c r="F640" s="1" t="s">
        <v>19</v>
      </c>
      <c r="G640" s="1">
        <v>1</v>
      </c>
      <c r="H640" s="1"/>
      <c r="I640" s="1"/>
      <c r="J640" s="1"/>
      <c r="K640" s="3"/>
      <c r="L640" s="1"/>
    </row>
    <row r="641" spans="1:12" s="24" customFormat="1">
      <c r="A641" s="53">
        <v>45987</v>
      </c>
      <c r="B641" s="54">
        <f>Table13[[#This Row],[Date]]</f>
        <v>45987</v>
      </c>
      <c r="C641" s="55" t="s">
        <v>16</v>
      </c>
      <c r="D641" s="59" t="s">
        <v>119</v>
      </c>
      <c r="E641" s="63" t="s">
        <v>18</v>
      </c>
      <c r="F641" s="55" t="s">
        <v>19</v>
      </c>
      <c r="G641" s="55">
        <v>1</v>
      </c>
      <c r="H641" s="55"/>
      <c r="I641" s="55"/>
      <c r="J641" s="55"/>
      <c r="K641" s="57"/>
      <c r="L641" s="55"/>
    </row>
    <row r="642" spans="1:12" s="24" customFormat="1">
      <c r="A642" s="53">
        <v>45987</v>
      </c>
      <c r="B642" s="54">
        <f>Table13[[#This Row],[Date]]</f>
        <v>45987</v>
      </c>
      <c r="C642" s="55" t="s">
        <v>16</v>
      </c>
      <c r="D642" s="59" t="s">
        <v>119</v>
      </c>
      <c r="E642" s="55" t="s">
        <v>21</v>
      </c>
      <c r="F642" s="55" t="s">
        <v>19</v>
      </c>
      <c r="G642" s="55">
        <v>1</v>
      </c>
      <c r="H642" s="55"/>
      <c r="I642" s="55"/>
      <c r="J642" s="55"/>
      <c r="K642" s="57"/>
      <c r="L642" s="55"/>
    </row>
    <row r="643" spans="1:12" s="24" customFormat="1">
      <c r="A643" s="53">
        <v>45987</v>
      </c>
      <c r="B643" s="54">
        <f>Table13[[#This Row],[Date]]</f>
        <v>45987</v>
      </c>
      <c r="C643" s="55" t="s">
        <v>23</v>
      </c>
      <c r="D643" s="61" t="s">
        <v>125</v>
      </c>
      <c r="E643" s="55" t="s">
        <v>18</v>
      </c>
      <c r="F643" s="55" t="s">
        <v>19</v>
      </c>
      <c r="G643" s="55">
        <v>1</v>
      </c>
      <c r="H643" s="55"/>
      <c r="I643" s="55"/>
      <c r="J643" s="55"/>
      <c r="K643" s="57"/>
      <c r="L643" s="55"/>
    </row>
    <row r="644" spans="1:12" s="24" customFormat="1">
      <c r="A644" s="53">
        <v>45987</v>
      </c>
      <c r="B644" s="54">
        <f>Table13[[#This Row],[Date]]</f>
        <v>45987</v>
      </c>
      <c r="C644" s="55" t="s">
        <v>23</v>
      </c>
      <c r="D644" s="61" t="s">
        <v>127</v>
      </c>
      <c r="E644" s="55" t="s">
        <v>18</v>
      </c>
      <c r="F644" s="55" t="s">
        <v>19</v>
      </c>
      <c r="G644" s="55">
        <v>1</v>
      </c>
      <c r="H644" s="55"/>
      <c r="I644" s="55"/>
      <c r="J644" s="55"/>
      <c r="K644" s="57"/>
      <c r="L644" s="55"/>
    </row>
    <row r="645" spans="1:12" s="24" customFormat="1">
      <c r="A645" s="53">
        <v>45987</v>
      </c>
      <c r="B645" s="54">
        <f>Table13[[#This Row],[Date]]</f>
        <v>45987</v>
      </c>
      <c r="C645" s="55" t="s">
        <v>26</v>
      </c>
      <c r="D645" s="59" t="s">
        <v>128</v>
      </c>
      <c r="E645" s="55" t="s">
        <v>21</v>
      </c>
      <c r="F645" s="55" t="s">
        <v>19</v>
      </c>
      <c r="G645" s="55">
        <v>1</v>
      </c>
      <c r="H645" s="55"/>
      <c r="I645" s="55"/>
      <c r="J645" s="55"/>
      <c r="K645" s="57"/>
      <c r="L645" s="55"/>
    </row>
    <row r="646" spans="1:12" s="24" customFormat="1">
      <c r="A646" s="103">
        <v>45987</v>
      </c>
      <c r="B646" s="104">
        <f>Table13[[#This Row],[Date]]</f>
        <v>45987</v>
      </c>
      <c r="C646" s="105" t="s">
        <v>26</v>
      </c>
      <c r="D646" s="109" t="s">
        <v>129</v>
      </c>
      <c r="E646" s="105"/>
      <c r="F646" s="105"/>
      <c r="G646" s="105">
        <v>1</v>
      </c>
      <c r="H646" s="105"/>
      <c r="I646" s="105"/>
      <c r="J646" s="105"/>
      <c r="K646" s="108"/>
      <c r="L646" s="105"/>
    </row>
    <row r="647" spans="1:12" s="24" customFormat="1">
      <c r="A647" s="53">
        <v>45988</v>
      </c>
      <c r="B647" s="54">
        <f>Table13[[#This Row],[Date]]</f>
        <v>45988</v>
      </c>
      <c r="C647" s="55" t="s">
        <v>14</v>
      </c>
      <c r="D647" s="59" t="s">
        <v>130</v>
      </c>
      <c r="E647" s="55" t="s">
        <v>18</v>
      </c>
      <c r="F647" s="55" t="s">
        <v>19</v>
      </c>
      <c r="G647" s="55">
        <v>1</v>
      </c>
      <c r="H647" s="55"/>
      <c r="I647" s="55"/>
      <c r="J647" s="55"/>
      <c r="K647" s="57"/>
      <c r="L647" s="55"/>
    </row>
    <row r="648" spans="1:12" s="24" customFormat="1">
      <c r="A648" s="53">
        <v>45988</v>
      </c>
      <c r="B648" s="54">
        <f>Table13[[#This Row],[Date]]</f>
        <v>45988</v>
      </c>
      <c r="C648" s="55" t="s">
        <v>14</v>
      </c>
      <c r="D648" s="59" t="s">
        <v>131</v>
      </c>
      <c r="E648" s="64" t="s">
        <v>18</v>
      </c>
      <c r="F648" s="55" t="s">
        <v>19</v>
      </c>
      <c r="G648" s="55">
        <v>1</v>
      </c>
      <c r="H648" s="55"/>
      <c r="I648" s="55"/>
      <c r="J648" s="55"/>
      <c r="K648" s="57"/>
      <c r="L648" s="55"/>
    </row>
    <row r="649" spans="1:12" s="24" customFormat="1">
      <c r="A649" s="53">
        <v>45988</v>
      </c>
      <c r="B649" s="54">
        <f>Table13[[#This Row],[Date]]</f>
        <v>45988</v>
      </c>
      <c r="C649" s="55" t="s">
        <v>14</v>
      </c>
      <c r="D649" s="59" t="s">
        <v>132</v>
      </c>
      <c r="E649" s="55" t="s">
        <v>18</v>
      </c>
      <c r="F649" s="55" t="s">
        <v>19</v>
      </c>
      <c r="G649" s="55">
        <v>1</v>
      </c>
      <c r="H649" s="55"/>
      <c r="I649" s="55"/>
      <c r="J649" s="55"/>
      <c r="K649" s="57"/>
      <c r="L649" s="55"/>
    </row>
    <row r="650" spans="1:12" s="24" customFormat="1">
      <c r="A650" s="53">
        <v>45988</v>
      </c>
      <c r="B650" s="54">
        <f>Table13[[#This Row],[Date]]</f>
        <v>45988</v>
      </c>
      <c r="C650" s="55" t="s">
        <v>16</v>
      </c>
      <c r="D650" s="59" t="s">
        <v>133</v>
      </c>
      <c r="E650" s="55" t="s">
        <v>21</v>
      </c>
      <c r="F650" s="55" t="s">
        <v>19</v>
      </c>
      <c r="G650" s="55">
        <v>1</v>
      </c>
      <c r="H650" s="55"/>
      <c r="I650" s="55"/>
      <c r="J650" s="55"/>
      <c r="K650" s="57"/>
      <c r="L650" s="55"/>
    </row>
    <row r="651" spans="1:12" s="24" customFormat="1">
      <c r="A651" s="53">
        <v>45988</v>
      </c>
      <c r="B651" s="54">
        <f>Table13[[#This Row],[Date]]</f>
        <v>45988</v>
      </c>
      <c r="C651" s="55" t="s">
        <v>16</v>
      </c>
      <c r="D651" s="59" t="s">
        <v>134</v>
      </c>
      <c r="E651" s="55" t="s">
        <v>18</v>
      </c>
      <c r="F651" s="55" t="s">
        <v>19</v>
      </c>
      <c r="G651" s="55">
        <v>1</v>
      </c>
      <c r="H651" s="55"/>
      <c r="I651" s="55"/>
      <c r="J651" s="55"/>
      <c r="K651" s="57"/>
      <c r="L651" s="55"/>
    </row>
    <row r="652" spans="1:12" s="24" customFormat="1">
      <c r="A652" s="53">
        <v>45988</v>
      </c>
      <c r="B652" s="54">
        <f>Table13[[#This Row],[Date]]</f>
        <v>45988</v>
      </c>
      <c r="C652" s="55" t="s">
        <v>16</v>
      </c>
      <c r="D652" s="59" t="s">
        <v>135</v>
      </c>
      <c r="E652" s="77" t="s">
        <v>47</v>
      </c>
      <c r="F652" s="55" t="s">
        <v>19</v>
      </c>
      <c r="G652" s="55">
        <v>1</v>
      </c>
      <c r="H652" s="55"/>
      <c r="I652" s="55"/>
      <c r="J652" s="55"/>
      <c r="K652" s="57"/>
      <c r="L652" s="55"/>
    </row>
    <row r="653" spans="1:12" s="24" customFormat="1">
      <c r="A653" s="53">
        <v>45988</v>
      </c>
      <c r="B653" s="54">
        <f>Table13[[#This Row],[Date]]</f>
        <v>45988</v>
      </c>
      <c r="C653" s="55" t="s">
        <v>16</v>
      </c>
      <c r="D653" s="59" t="s">
        <v>135</v>
      </c>
      <c r="E653" s="77" t="s">
        <v>53</v>
      </c>
      <c r="F653" s="55" t="s">
        <v>19</v>
      </c>
      <c r="G653" s="55">
        <v>1</v>
      </c>
      <c r="H653" s="55"/>
      <c r="I653" s="55"/>
      <c r="J653" s="55"/>
      <c r="K653" s="57"/>
      <c r="L653" s="55"/>
    </row>
    <row r="654" spans="1:12" s="24" customFormat="1">
      <c r="A654" s="53">
        <v>45989</v>
      </c>
      <c r="B654" s="54">
        <f>Table13[[#This Row],[Date]]</f>
        <v>45989</v>
      </c>
      <c r="C654" s="55" t="s">
        <v>14</v>
      </c>
      <c r="D654" s="59" t="s">
        <v>145</v>
      </c>
      <c r="E654" s="55" t="s">
        <v>18</v>
      </c>
      <c r="F654" s="55" t="s">
        <v>19</v>
      </c>
      <c r="G654" s="55">
        <v>1</v>
      </c>
      <c r="H654" s="55"/>
      <c r="I654" s="55"/>
      <c r="J654" s="55"/>
      <c r="K654" s="57"/>
      <c r="L654" s="55"/>
    </row>
    <row r="655" spans="1:12" s="24" customFormat="1">
      <c r="A655" s="53">
        <v>45989</v>
      </c>
      <c r="B655" s="54">
        <f>Table13[[#This Row],[Date]]</f>
        <v>45989</v>
      </c>
      <c r="C655" s="55" t="s">
        <v>16</v>
      </c>
      <c r="D655" s="59" t="s">
        <v>136</v>
      </c>
      <c r="E655" s="63" t="s">
        <v>18</v>
      </c>
      <c r="F655" s="55" t="s">
        <v>19</v>
      </c>
      <c r="G655" s="55">
        <v>1</v>
      </c>
      <c r="H655" s="55"/>
      <c r="I655" s="55"/>
      <c r="J655" s="55"/>
      <c r="K655" s="57"/>
      <c r="L655" s="55"/>
    </row>
    <row r="656" spans="1:12" s="24" customFormat="1">
      <c r="A656" s="53">
        <v>45989</v>
      </c>
      <c r="B656" s="54">
        <f>Table13[[#This Row],[Date]]</f>
        <v>45989</v>
      </c>
      <c r="C656" s="55" t="s">
        <v>16</v>
      </c>
      <c r="D656" s="59" t="s">
        <v>137</v>
      </c>
      <c r="E656" s="55" t="s">
        <v>18</v>
      </c>
      <c r="F656" s="55" t="s">
        <v>19</v>
      </c>
      <c r="G656" s="55">
        <v>1</v>
      </c>
      <c r="H656" s="55"/>
      <c r="I656" s="55"/>
      <c r="J656" s="55"/>
      <c r="K656" s="57"/>
      <c r="L656" s="55"/>
    </row>
    <row r="657" spans="1:12" s="24" customFormat="1">
      <c r="A657" s="53">
        <v>45989</v>
      </c>
      <c r="B657" s="54">
        <f>Table13[[#This Row],[Date]]</f>
        <v>45989</v>
      </c>
      <c r="C657" s="55" t="s">
        <v>16</v>
      </c>
      <c r="D657" s="59" t="s">
        <v>138</v>
      </c>
      <c r="E657" s="55" t="s">
        <v>18</v>
      </c>
      <c r="F657" s="55" t="s">
        <v>19</v>
      </c>
      <c r="G657" s="55">
        <v>1</v>
      </c>
      <c r="H657" s="55"/>
      <c r="I657" s="55"/>
      <c r="J657" s="55"/>
      <c r="K657" s="57"/>
      <c r="L657" s="55"/>
    </row>
    <row r="658" spans="1:12" s="24" customFormat="1">
      <c r="A658" s="53">
        <v>45989</v>
      </c>
      <c r="B658" s="54">
        <f>Table13[[#This Row],[Date]]</f>
        <v>45989</v>
      </c>
      <c r="C658" s="55" t="s">
        <v>23</v>
      </c>
      <c r="D658" s="59" t="s">
        <v>139</v>
      </c>
      <c r="E658" s="55" t="s">
        <v>18</v>
      </c>
      <c r="F658" s="55" t="s">
        <v>19</v>
      </c>
      <c r="G658" s="55">
        <v>1</v>
      </c>
      <c r="H658" s="55"/>
      <c r="I658" s="55"/>
      <c r="J658" s="55"/>
      <c r="K658" s="57"/>
      <c r="L658" s="55"/>
    </row>
    <row r="659" spans="1:12" s="24" customFormat="1">
      <c r="A659" s="53">
        <v>45989</v>
      </c>
      <c r="B659" s="54">
        <f>Table13[[#This Row],[Date]]</f>
        <v>45989</v>
      </c>
      <c r="C659" s="55" t="s">
        <v>23</v>
      </c>
      <c r="D659" s="79" t="s">
        <v>140</v>
      </c>
      <c r="E659" s="55" t="s">
        <v>18</v>
      </c>
      <c r="F659" s="55" t="s">
        <v>19</v>
      </c>
      <c r="G659" s="55">
        <v>1</v>
      </c>
      <c r="H659" s="55"/>
      <c r="I659" s="55"/>
      <c r="J659" s="55"/>
      <c r="K659" s="57"/>
      <c r="L659" s="55"/>
    </row>
    <row r="660" spans="1:12" s="24" customFormat="1">
      <c r="A660" s="53">
        <v>45989</v>
      </c>
      <c r="B660" s="54">
        <f>Table13[[#This Row],[Date]]</f>
        <v>45989</v>
      </c>
      <c r="C660" s="55" t="s">
        <v>23</v>
      </c>
      <c r="D660" s="59" t="s">
        <v>141</v>
      </c>
      <c r="E660" s="55" t="s">
        <v>18</v>
      </c>
      <c r="F660" s="55" t="s">
        <v>19</v>
      </c>
      <c r="G660" s="55">
        <v>1</v>
      </c>
      <c r="H660" s="55"/>
      <c r="I660" s="55"/>
      <c r="J660" s="55"/>
      <c r="K660" s="57"/>
      <c r="L660" s="55"/>
    </row>
    <row r="661" spans="1:12" s="24" customFormat="1">
      <c r="A661" s="53">
        <v>45989</v>
      </c>
      <c r="B661" s="54">
        <f>Table13[[#This Row],[Date]]</f>
        <v>45989</v>
      </c>
      <c r="C661" s="55" t="s">
        <v>23</v>
      </c>
      <c r="D661" s="59" t="s">
        <v>142</v>
      </c>
      <c r="E661" s="55" t="s">
        <v>18</v>
      </c>
      <c r="F661" s="55" t="s">
        <v>19</v>
      </c>
      <c r="G661" s="55">
        <v>1</v>
      </c>
      <c r="H661" s="55"/>
      <c r="I661" s="55"/>
      <c r="J661" s="55"/>
      <c r="K661" s="57"/>
      <c r="L661" s="55"/>
    </row>
    <row r="662" spans="1:12" s="24" customFormat="1">
      <c r="A662" s="53">
        <v>45989</v>
      </c>
      <c r="B662" s="54">
        <f>Table13[[#This Row],[Date]]</f>
        <v>45989</v>
      </c>
      <c r="C662" s="55" t="s">
        <v>23</v>
      </c>
      <c r="D662" s="59" t="s">
        <v>146</v>
      </c>
      <c r="E662" s="55" t="s">
        <v>18</v>
      </c>
      <c r="F662" s="55" t="s">
        <v>19</v>
      </c>
      <c r="G662" s="55">
        <v>1</v>
      </c>
      <c r="H662" s="55"/>
      <c r="I662" s="55"/>
      <c r="J662" s="55"/>
      <c r="K662" s="57"/>
      <c r="L662" s="55"/>
    </row>
    <row r="663" spans="1:12" s="24" customFormat="1">
      <c r="A663" s="53">
        <v>45989</v>
      </c>
      <c r="B663" s="54">
        <f>Table13[[#This Row],[Date]]</f>
        <v>45989</v>
      </c>
      <c r="C663" s="55" t="s">
        <v>23</v>
      </c>
      <c r="D663" s="59" t="s">
        <v>146</v>
      </c>
      <c r="E663" s="55" t="s">
        <v>21</v>
      </c>
      <c r="F663" s="55" t="s">
        <v>19</v>
      </c>
      <c r="G663" s="55">
        <v>1</v>
      </c>
      <c r="H663" s="55"/>
      <c r="I663" s="55"/>
      <c r="J663" s="55"/>
      <c r="K663" s="57"/>
      <c r="L663" s="55"/>
    </row>
    <row r="664" spans="1:12" s="24" customFormat="1">
      <c r="A664" s="53">
        <v>45989</v>
      </c>
      <c r="B664" s="54">
        <f>Table13[[#This Row],[Date]]</f>
        <v>45989</v>
      </c>
      <c r="C664" s="55" t="s">
        <v>23</v>
      </c>
      <c r="D664" s="59" t="s">
        <v>146</v>
      </c>
      <c r="E664" s="55" t="s">
        <v>147</v>
      </c>
      <c r="F664" s="55" t="s">
        <v>19</v>
      </c>
      <c r="G664" s="55">
        <v>1</v>
      </c>
      <c r="H664" s="55"/>
      <c r="I664" s="55"/>
      <c r="J664" s="55"/>
      <c r="K664" s="57"/>
      <c r="L664" s="55"/>
    </row>
    <row r="665" spans="1:12" s="24" customFormat="1">
      <c r="A665" s="53">
        <v>45989</v>
      </c>
      <c r="B665" s="54">
        <f>Table13[[#This Row],[Date]]</f>
        <v>45989</v>
      </c>
      <c r="C665" s="55" t="s">
        <v>23</v>
      </c>
      <c r="D665" s="59" t="s">
        <v>146</v>
      </c>
      <c r="E665" s="55" t="s">
        <v>148</v>
      </c>
      <c r="F665" s="55" t="s">
        <v>19</v>
      </c>
      <c r="G665" s="55">
        <v>1</v>
      </c>
      <c r="H665" s="55"/>
      <c r="I665" s="55"/>
      <c r="J665" s="55"/>
      <c r="K665" s="57"/>
      <c r="L665" s="55"/>
    </row>
    <row r="666" spans="1:12" s="24" customFormat="1">
      <c r="A666" s="53">
        <v>45989</v>
      </c>
      <c r="B666" s="54">
        <f>Table13[[#This Row],[Date]]</f>
        <v>45989</v>
      </c>
      <c r="C666" s="55"/>
      <c r="D666" s="61" t="s">
        <v>179</v>
      </c>
      <c r="E666" s="55" t="s">
        <v>47</v>
      </c>
      <c r="F666" s="55" t="s">
        <v>19</v>
      </c>
      <c r="G666" s="55">
        <v>1</v>
      </c>
      <c r="H666" s="55"/>
      <c r="I666" s="55"/>
      <c r="J666" s="55"/>
      <c r="K666" s="57"/>
      <c r="L666" s="55"/>
    </row>
    <row r="667" spans="1:12" s="24" customFormat="1">
      <c r="A667" s="16">
        <v>45990</v>
      </c>
      <c r="B667" s="18">
        <f>Table13[[#This Row],[Date]]</f>
        <v>45990</v>
      </c>
      <c r="C667" s="10" t="s">
        <v>23</v>
      </c>
      <c r="D667" s="9" t="s">
        <v>143</v>
      </c>
      <c r="E667" s="10" t="s">
        <v>41</v>
      </c>
      <c r="F667" s="10" t="s">
        <v>19</v>
      </c>
      <c r="G667" s="10">
        <v>1</v>
      </c>
      <c r="H667" s="10"/>
      <c r="I667" s="10"/>
      <c r="J667" s="10"/>
      <c r="K667" s="13"/>
      <c r="L667" s="10"/>
    </row>
    <row r="668" spans="1:12" s="24" customFormat="1">
      <c r="A668" s="16">
        <v>45990</v>
      </c>
      <c r="B668" s="18">
        <f>Table13[[#This Row],[Date]]</f>
        <v>45990</v>
      </c>
      <c r="C668" s="10" t="s">
        <v>23</v>
      </c>
      <c r="D668" s="9" t="s">
        <v>143</v>
      </c>
      <c r="E668" s="10" t="s">
        <v>42</v>
      </c>
      <c r="F668" s="10" t="s">
        <v>19</v>
      </c>
      <c r="G668" s="10">
        <v>1</v>
      </c>
      <c r="H668" s="10"/>
      <c r="I668" s="10"/>
      <c r="J668" s="10"/>
      <c r="K668" s="13"/>
      <c r="L668" s="10"/>
    </row>
    <row r="669" spans="1:12" s="24" customFormat="1">
      <c r="A669" s="53">
        <v>45992</v>
      </c>
      <c r="B669" s="54">
        <f>Table13[[#This Row],[Date]]</f>
        <v>45992</v>
      </c>
      <c r="C669" s="55" t="s">
        <v>16</v>
      </c>
      <c r="D669" s="61" t="s">
        <v>17</v>
      </c>
      <c r="E669" s="55" t="s">
        <v>18</v>
      </c>
      <c r="F669" s="55" t="s">
        <v>19</v>
      </c>
      <c r="G669" s="55">
        <v>1</v>
      </c>
      <c r="H669" s="55"/>
      <c r="I669" s="55"/>
      <c r="J669" s="55"/>
      <c r="K669" s="57"/>
      <c r="L669" s="55"/>
    </row>
    <row r="670" spans="1:12" s="24" customFormat="1">
      <c r="A670" s="53">
        <v>45992</v>
      </c>
      <c r="B670" s="54">
        <f>Table13[[#This Row],[Date]]</f>
        <v>45992</v>
      </c>
      <c r="C670" s="55" t="s">
        <v>16</v>
      </c>
      <c r="D670" s="59" t="s">
        <v>20</v>
      </c>
      <c r="E670" s="55" t="s">
        <v>18</v>
      </c>
      <c r="F670" s="55" t="s">
        <v>19</v>
      </c>
      <c r="G670" s="55">
        <v>1</v>
      </c>
      <c r="H670" s="55"/>
      <c r="I670" s="55"/>
      <c r="J670" s="55"/>
      <c r="K670" s="57"/>
      <c r="L670" s="55"/>
    </row>
    <row r="671" spans="1:12" s="24" customFormat="1">
      <c r="A671" s="53">
        <v>45992</v>
      </c>
      <c r="B671" s="54">
        <f>Table13[[#This Row],[Date]]</f>
        <v>45992</v>
      </c>
      <c r="C671" s="55" t="s">
        <v>23</v>
      </c>
      <c r="D671" s="91" t="s">
        <v>24</v>
      </c>
      <c r="E671" s="64" t="s">
        <v>18</v>
      </c>
      <c r="F671" s="55" t="s">
        <v>19</v>
      </c>
      <c r="G671" s="55">
        <v>1</v>
      </c>
      <c r="H671" s="55"/>
      <c r="I671" s="55"/>
      <c r="J671" s="55"/>
      <c r="K671" s="57"/>
      <c r="L671" s="55"/>
    </row>
    <row r="672" spans="1:12" s="24" customFormat="1">
      <c r="A672" s="53">
        <v>45992</v>
      </c>
      <c r="B672" s="54">
        <f>Table13[[#This Row],[Date]]</f>
        <v>45992</v>
      </c>
      <c r="C672" s="55" t="s">
        <v>23</v>
      </c>
      <c r="D672" s="91" t="s">
        <v>25</v>
      </c>
      <c r="E672" s="64" t="s">
        <v>18</v>
      </c>
      <c r="F672" s="55" t="s">
        <v>19</v>
      </c>
      <c r="G672" s="55">
        <v>1</v>
      </c>
      <c r="H672" s="55"/>
      <c r="I672" s="55"/>
      <c r="J672" s="55"/>
      <c r="K672" s="57"/>
      <c r="L672" s="55"/>
    </row>
    <row r="673" spans="1:12" s="24" customFormat="1">
      <c r="A673" s="53">
        <v>45992</v>
      </c>
      <c r="B673" s="54">
        <f>Table13[[#This Row],[Date]]</f>
        <v>45992</v>
      </c>
      <c r="C673" s="55" t="s">
        <v>23</v>
      </c>
      <c r="D673" s="91" t="s">
        <v>25</v>
      </c>
      <c r="E673" s="64" t="s">
        <v>21</v>
      </c>
      <c r="F673" s="55" t="s">
        <v>19</v>
      </c>
      <c r="G673" s="55">
        <v>1</v>
      </c>
      <c r="H673" s="55"/>
      <c r="I673" s="55"/>
      <c r="J673" s="55"/>
      <c r="K673" s="57"/>
      <c r="L673" s="55"/>
    </row>
    <row r="674" spans="1:12" s="24" customFormat="1">
      <c r="A674" s="53">
        <v>45992</v>
      </c>
      <c r="B674" s="54">
        <f>Table13[[#This Row],[Date]]</f>
        <v>45992</v>
      </c>
      <c r="C674" s="55" t="s">
        <v>26</v>
      </c>
      <c r="D674" s="61" t="s">
        <v>151</v>
      </c>
      <c r="E674" s="55" t="s">
        <v>18</v>
      </c>
      <c r="F674" s="55" t="s">
        <v>19</v>
      </c>
      <c r="G674" s="55">
        <v>1</v>
      </c>
      <c r="H674" s="55"/>
      <c r="I674" s="55"/>
      <c r="J674" s="55"/>
      <c r="K674" s="57"/>
      <c r="L674" s="55"/>
    </row>
    <row r="675" spans="1:12" s="24" customFormat="1">
      <c r="A675" s="53">
        <v>45992</v>
      </c>
      <c r="B675" s="54">
        <f>Table13[[#This Row],[Date]]</f>
        <v>45992</v>
      </c>
      <c r="C675" s="55" t="s">
        <v>26</v>
      </c>
      <c r="D675" s="61" t="s">
        <v>151</v>
      </c>
      <c r="E675" s="55" t="s">
        <v>28</v>
      </c>
      <c r="F675" s="55" t="s">
        <v>19</v>
      </c>
      <c r="G675" s="55">
        <v>1</v>
      </c>
      <c r="H675" s="55"/>
      <c r="I675" s="55"/>
      <c r="J675" s="55"/>
      <c r="K675" s="57"/>
      <c r="L675" s="55"/>
    </row>
    <row r="676" spans="1:12" s="24" customFormat="1">
      <c r="A676" s="53">
        <v>45992</v>
      </c>
      <c r="B676" s="54">
        <f>Table13[[#This Row],[Date]]</f>
        <v>45992</v>
      </c>
      <c r="C676" s="55" t="s">
        <v>26</v>
      </c>
      <c r="D676" s="61" t="s">
        <v>152</v>
      </c>
      <c r="E676" s="55" t="s">
        <v>18</v>
      </c>
      <c r="F676" s="55" t="s">
        <v>19</v>
      </c>
      <c r="G676" s="55">
        <v>1</v>
      </c>
      <c r="H676" s="55"/>
      <c r="I676" s="55"/>
      <c r="J676" s="55"/>
      <c r="K676" s="57"/>
      <c r="L676" s="55"/>
    </row>
    <row r="677" spans="1:12" s="24" customFormat="1">
      <c r="A677" s="53">
        <v>45992</v>
      </c>
      <c r="B677" s="54">
        <f>Table13[[#This Row],[Date]]</f>
        <v>45992</v>
      </c>
      <c r="C677" s="55" t="s">
        <v>26</v>
      </c>
      <c r="D677" s="61" t="s">
        <v>152</v>
      </c>
      <c r="E677" s="55" t="s">
        <v>28</v>
      </c>
      <c r="F677" s="55" t="s">
        <v>19</v>
      </c>
      <c r="G677" s="55">
        <v>1</v>
      </c>
      <c r="H677" s="55"/>
      <c r="I677" s="55"/>
      <c r="J677" s="55"/>
      <c r="K677" s="57"/>
      <c r="L677" s="55"/>
    </row>
    <row r="678" spans="1:12" s="24" customFormat="1">
      <c r="A678" s="53">
        <v>45993</v>
      </c>
      <c r="B678" s="54">
        <f>Table13[[#This Row],[Date]]</f>
        <v>45993</v>
      </c>
      <c r="C678" s="55" t="s">
        <v>26</v>
      </c>
      <c r="D678" s="61" t="s">
        <v>153</v>
      </c>
      <c r="E678" s="55" t="s">
        <v>18</v>
      </c>
      <c r="F678" s="55" t="s">
        <v>19</v>
      </c>
      <c r="G678" s="55">
        <v>1</v>
      </c>
      <c r="H678" s="55"/>
      <c r="I678" s="55"/>
      <c r="J678" s="55"/>
      <c r="K678" s="57"/>
      <c r="L678" s="55"/>
    </row>
    <row r="679" spans="1:12" s="24" customFormat="1">
      <c r="A679" s="53">
        <v>45993</v>
      </c>
      <c r="B679" s="54">
        <f>Table13[[#This Row],[Date]]</f>
        <v>45993</v>
      </c>
      <c r="C679" s="55" t="s">
        <v>26</v>
      </c>
      <c r="D679" s="61" t="s">
        <v>153</v>
      </c>
      <c r="E679" s="55" t="s">
        <v>28</v>
      </c>
      <c r="F679" s="55" t="s">
        <v>19</v>
      </c>
      <c r="G679" s="55">
        <v>1</v>
      </c>
      <c r="H679" s="55"/>
      <c r="I679" s="55"/>
      <c r="J679" s="55"/>
      <c r="K679" s="57"/>
      <c r="L679" s="55"/>
    </row>
    <row r="680" spans="1:12" s="24" customFormat="1">
      <c r="A680" s="53">
        <v>45993</v>
      </c>
      <c r="B680" s="54">
        <f>Table13[[#This Row],[Date]]</f>
        <v>45993</v>
      </c>
      <c r="C680" s="55" t="s">
        <v>26</v>
      </c>
      <c r="D680" s="61" t="s">
        <v>154</v>
      </c>
      <c r="E680" s="55" t="s">
        <v>18</v>
      </c>
      <c r="F680" s="55" t="s">
        <v>19</v>
      </c>
      <c r="G680" s="55">
        <v>1</v>
      </c>
      <c r="H680" s="55"/>
      <c r="I680" s="55"/>
      <c r="J680" s="55"/>
      <c r="K680" s="57"/>
      <c r="L680" s="55"/>
    </row>
    <row r="681" spans="1:12" s="24" customFormat="1">
      <c r="A681" s="53">
        <v>45993</v>
      </c>
      <c r="B681" s="54">
        <f>Table13[[#This Row],[Date]]</f>
        <v>45993</v>
      </c>
      <c r="C681" s="55" t="s">
        <v>26</v>
      </c>
      <c r="D681" s="61" t="s">
        <v>154</v>
      </c>
      <c r="E681" s="55" t="s">
        <v>28</v>
      </c>
      <c r="F681" s="55" t="s">
        <v>19</v>
      </c>
      <c r="G681" s="55">
        <v>1</v>
      </c>
      <c r="H681" s="55"/>
      <c r="I681" s="55"/>
      <c r="J681" s="55"/>
      <c r="K681" s="57"/>
      <c r="L681" s="55"/>
    </row>
    <row r="682" spans="1:12" s="24" customFormat="1">
      <c r="A682" s="48">
        <v>45993</v>
      </c>
      <c r="B682" s="49">
        <f>Table13[[#This Row],[Date]]</f>
        <v>45993</v>
      </c>
      <c r="C682" s="50" t="s">
        <v>4</v>
      </c>
      <c r="D682" s="51" t="s">
        <v>32</v>
      </c>
      <c r="E682" s="50"/>
      <c r="F682" s="50"/>
      <c r="G682" s="50"/>
      <c r="H682" s="50"/>
      <c r="I682" s="50"/>
      <c r="J682" s="50"/>
      <c r="K682" s="52"/>
      <c r="L682" s="50"/>
    </row>
    <row r="683" spans="1:12" s="24" customFormat="1">
      <c r="A683" s="53">
        <v>45994</v>
      </c>
      <c r="B683" s="54">
        <f>Table13[[#This Row],[Date]]</f>
        <v>45994</v>
      </c>
      <c r="C683" s="55" t="s">
        <v>14</v>
      </c>
      <c r="D683" s="91" t="s">
        <v>33</v>
      </c>
      <c r="E683" s="77" t="s">
        <v>18</v>
      </c>
      <c r="F683" s="55" t="s">
        <v>19</v>
      </c>
      <c r="G683" s="55">
        <v>1</v>
      </c>
      <c r="H683" s="55"/>
      <c r="I683" s="55"/>
      <c r="J683" s="55"/>
      <c r="K683" s="57"/>
      <c r="L683" s="55"/>
    </row>
    <row r="684" spans="1:12" s="24" customFormat="1">
      <c r="A684" s="53">
        <v>45994</v>
      </c>
      <c r="B684" s="54">
        <f>Table13[[#This Row],[Date]]</f>
        <v>45994</v>
      </c>
      <c r="C684" s="55" t="s">
        <v>14</v>
      </c>
      <c r="D684" s="91" t="s">
        <v>33</v>
      </c>
      <c r="E684" s="55" t="s">
        <v>21</v>
      </c>
      <c r="F684" s="55" t="s">
        <v>19</v>
      </c>
      <c r="G684" s="55">
        <v>1</v>
      </c>
      <c r="H684" s="55"/>
      <c r="I684" s="55"/>
      <c r="J684" s="55"/>
      <c r="K684" s="57"/>
      <c r="L684" s="55"/>
    </row>
    <row r="685" spans="1:12" s="24" customFormat="1">
      <c r="A685" s="53">
        <v>45994</v>
      </c>
      <c r="B685" s="54">
        <f>Table13[[#This Row],[Date]]</f>
        <v>45994</v>
      </c>
      <c r="C685" s="55" t="s">
        <v>14</v>
      </c>
      <c r="D685" s="91" t="s">
        <v>33</v>
      </c>
      <c r="E685" s="77" t="s">
        <v>34</v>
      </c>
      <c r="F685" s="55" t="s">
        <v>19</v>
      </c>
      <c r="G685" s="55">
        <v>1</v>
      </c>
      <c r="H685" s="55"/>
      <c r="I685" s="55"/>
      <c r="J685" s="55"/>
      <c r="K685" s="57"/>
      <c r="L685" s="55"/>
    </row>
    <row r="686" spans="1:12" s="24" customFormat="1">
      <c r="A686" s="53">
        <v>45994</v>
      </c>
      <c r="B686" s="54">
        <f>Table13[[#This Row],[Date]]</f>
        <v>45994</v>
      </c>
      <c r="C686" s="55" t="s">
        <v>14</v>
      </c>
      <c r="D686" s="91" t="s">
        <v>33</v>
      </c>
      <c r="E686" s="77" t="s">
        <v>35</v>
      </c>
      <c r="F686" s="55" t="s">
        <v>19</v>
      </c>
      <c r="G686" s="55">
        <v>1</v>
      </c>
      <c r="H686" s="55"/>
      <c r="I686" s="55"/>
      <c r="J686" s="55"/>
      <c r="K686" s="57"/>
      <c r="L686" s="55"/>
    </row>
    <row r="687" spans="1:12" s="24" customFormat="1">
      <c r="A687" s="53">
        <v>45994</v>
      </c>
      <c r="B687" s="54">
        <f>Table13[[#This Row],[Date]]</f>
        <v>45994</v>
      </c>
      <c r="C687" s="55" t="s">
        <v>23</v>
      </c>
      <c r="D687" s="59" t="s">
        <v>36</v>
      </c>
      <c r="E687" s="55" t="s">
        <v>18</v>
      </c>
      <c r="F687" s="55" t="s">
        <v>19</v>
      </c>
      <c r="G687" s="55">
        <v>1</v>
      </c>
      <c r="H687" s="55"/>
      <c r="I687" s="55"/>
      <c r="J687" s="55"/>
      <c r="K687" s="57"/>
      <c r="L687" s="55"/>
    </row>
    <row r="688" spans="1:12" s="24" customFormat="1">
      <c r="A688" s="53">
        <v>45994</v>
      </c>
      <c r="B688" s="54">
        <f>Table13[[#This Row],[Date]]</f>
        <v>45994</v>
      </c>
      <c r="C688" s="55" t="s">
        <v>26</v>
      </c>
      <c r="D688" s="74" t="s">
        <v>39</v>
      </c>
      <c r="E688" s="55" t="s">
        <v>18</v>
      </c>
      <c r="F688" s="55" t="s">
        <v>19</v>
      </c>
      <c r="G688" s="55">
        <v>1</v>
      </c>
      <c r="H688" s="55"/>
      <c r="I688" s="55"/>
      <c r="J688" s="55"/>
      <c r="K688" s="57"/>
      <c r="L688" s="55"/>
    </row>
    <row r="689" spans="1:12" s="24" customFormat="1">
      <c r="A689" s="53">
        <v>45994</v>
      </c>
      <c r="B689" s="54">
        <f>Table13[[#This Row],[Date]]</f>
        <v>45994</v>
      </c>
      <c r="C689" s="55" t="s">
        <v>26</v>
      </c>
      <c r="D689" s="74" t="s">
        <v>39</v>
      </c>
      <c r="E689" s="55" t="s">
        <v>28</v>
      </c>
      <c r="F689" s="55" t="s">
        <v>19</v>
      </c>
      <c r="G689" s="55">
        <v>1</v>
      </c>
      <c r="H689" s="55"/>
      <c r="I689" s="55"/>
      <c r="J689" s="55"/>
      <c r="K689" s="57"/>
      <c r="L689" s="55"/>
    </row>
    <row r="690" spans="1:12" s="24" customFormat="1">
      <c r="A690" s="53">
        <v>45994</v>
      </c>
      <c r="B690" s="54">
        <f>Table13[[#This Row],[Date]]</f>
        <v>45994</v>
      </c>
      <c r="C690" s="55" t="s">
        <v>26</v>
      </c>
      <c r="D690" s="61" t="s">
        <v>155</v>
      </c>
      <c r="E690" s="55" t="s">
        <v>18</v>
      </c>
      <c r="F690" s="55" t="s">
        <v>19</v>
      </c>
      <c r="G690" s="55">
        <v>1</v>
      </c>
      <c r="H690" s="55"/>
      <c r="I690" s="55"/>
      <c r="J690" s="55"/>
      <c r="K690" s="57"/>
      <c r="L690" s="55"/>
    </row>
    <row r="691" spans="1:12" s="24" customFormat="1">
      <c r="A691" s="53">
        <v>45994</v>
      </c>
      <c r="B691" s="54">
        <f>Table13[[#This Row],[Date]]</f>
        <v>45994</v>
      </c>
      <c r="C691" s="55" t="s">
        <v>26</v>
      </c>
      <c r="D691" s="61" t="s">
        <v>155</v>
      </c>
      <c r="E691" s="55" t="s">
        <v>28</v>
      </c>
      <c r="F691" s="55" t="s">
        <v>19</v>
      </c>
      <c r="G691" s="55">
        <v>1</v>
      </c>
      <c r="H691" s="55"/>
      <c r="I691" s="55"/>
      <c r="J691" s="55"/>
      <c r="K691" s="57"/>
      <c r="L691" s="55"/>
    </row>
    <row r="692" spans="1:12" s="24" customFormat="1">
      <c r="A692" s="53">
        <v>45995</v>
      </c>
      <c r="B692" s="54">
        <f>Table13[[#This Row],[Date]]</f>
        <v>45995</v>
      </c>
      <c r="C692" s="55" t="s">
        <v>14</v>
      </c>
      <c r="D692" s="91" t="s">
        <v>33</v>
      </c>
      <c r="E692" s="64" t="s">
        <v>41</v>
      </c>
      <c r="F692" s="55" t="s">
        <v>19</v>
      </c>
      <c r="G692" s="55">
        <v>1</v>
      </c>
      <c r="H692" s="55"/>
      <c r="I692" s="55"/>
      <c r="J692" s="55"/>
      <c r="K692" s="57"/>
      <c r="L692" s="55"/>
    </row>
    <row r="693" spans="1:12" s="24" customFormat="1">
      <c r="A693" s="53">
        <v>45995</v>
      </c>
      <c r="B693" s="54">
        <f>Table13[[#This Row],[Date]]</f>
        <v>45995</v>
      </c>
      <c r="C693" s="55" t="s">
        <v>14</v>
      </c>
      <c r="D693" s="91" t="s">
        <v>33</v>
      </c>
      <c r="E693" s="55" t="s">
        <v>42</v>
      </c>
      <c r="F693" s="55" t="s">
        <v>19</v>
      </c>
      <c r="G693" s="55">
        <v>1</v>
      </c>
      <c r="H693" s="55"/>
      <c r="I693" s="55"/>
      <c r="J693" s="55"/>
      <c r="K693" s="57"/>
      <c r="L693" s="55"/>
    </row>
    <row r="694" spans="1:12" s="24" customFormat="1">
      <c r="A694" s="53">
        <v>45995</v>
      </c>
      <c r="B694" s="54">
        <f>Table13[[#This Row],[Date]]</f>
        <v>45995</v>
      </c>
      <c r="C694" s="55" t="s">
        <v>14</v>
      </c>
      <c r="D694" s="91" t="s">
        <v>33</v>
      </c>
      <c r="E694" s="55" t="s">
        <v>43</v>
      </c>
      <c r="F694" s="55" t="s">
        <v>19</v>
      </c>
      <c r="G694" s="55">
        <v>1</v>
      </c>
      <c r="H694" s="55"/>
      <c r="I694" s="55"/>
      <c r="J694" s="55"/>
      <c r="K694" s="57"/>
      <c r="L694" s="55"/>
    </row>
    <row r="695" spans="1:12" s="24" customFormat="1">
      <c r="A695" s="53">
        <v>45995</v>
      </c>
      <c r="B695" s="54">
        <f>Table13[[#This Row],[Date]]</f>
        <v>45995</v>
      </c>
      <c r="C695" s="55" t="s">
        <v>14</v>
      </c>
      <c r="D695" s="91" t="s">
        <v>33</v>
      </c>
      <c r="E695" s="64" t="s">
        <v>44</v>
      </c>
      <c r="F695" s="55" t="s">
        <v>19</v>
      </c>
      <c r="G695" s="55">
        <v>1</v>
      </c>
      <c r="H695" s="55"/>
      <c r="I695" s="55"/>
      <c r="J695" s="55"/>
      <c r="K695" s="57"/>
      <c r="L695" s="55"/>
    </row>
    <row r="696" spans="1:12" s="24" customFormat="1">
      <c r="A696" s="53">
        <v>45995</v>
      </c>
      <c r="B696" s="54">
        <f>Table13[[#This Row],[Date]]</f>
        <v>45995</v>
      </c>
      <c r="C696" s="55" t="s">
        <v>14</v>
      </c>
      <c r="D696" s="91" t="s">
        <v>33</v>
      </c>
      <c r="E696" s="64" t="s">
        <v>45</v>
      </c>
      <c r="F696" s="55" t="s">
        <v>19</v>
      </c>
      <c r="G696" s="55">
        <v>1</v>
      </c>
      <c r="H696" s="55"/>
      <c r="I696" s="55"/>
      <c r="J696" s="55"/>
      <c r="K696" s="57"/>
      <c r="L696" s="55"/>
    </row>
    <row r="697" spans="1:12" s="24" customFormat="1">
      <c r="A697" s="53">
        <v>45995</v>
      </c>
      <c r="B697" s="54">
        <f>Table13[[#This Row],[Date]]</f>
        <v>45995</v>
      </c>
      <c r="C697" s="55" t="s">
        <v>16</v>
      </c>
      <c r="D697" s="59" t="s">
        <v>46</v>
      </c>
      <c r="E697" s="64" t="s">
        <v>18</v>
      </c>
      <c r="F697" s="55" t="s">
        <v>19</v>
      </c>
      <c r="G697" s="55">
        <v>1</v>
      </c>
      <c r="H697" s="55"/>
      <c r="I697" s="55"/>
      <c r="J697" s="55"/>
      <c r="K697" s="57"/>
      <c r="L697" s="55"/>
    </row>
    <row r="698" spans="1:12" s="24" customFormat="1">
      <c r="A698" s="53">
        <v>45995</v>
      </c>
      <c r="B698" s="54">
        <f>Table13[[#This Row],[Date]]</f>
        <v>45995</v>
      </c>
      <c r="C698" s="55" t="s">
        <v>16</v>
      </c>
      <c r="D698" s="59" t="s">
        <v>46</v>
      </c>
      <c r="E698" s="64" t="s">
        <v>21</v>
      </c>
      <c r="F698" s="55" t="s">
        <v>19</v>
      </c>
      <c r="G698" s="55">
        <v>1</v>
      </c>
      <c r="H698" s="55"/>
      <c r="I698" s="55"/>
      <c r="J698" s="55"/>
      <c r="K698" s="57"/>
      <c r="L698" s="55"/>
    </row>
    <row r="699" spans="1:12" s="24" customFormat="1">
      <c r="A699" s="53">
        <v>45995</v>
      </c>
      <c r="B699" s="54">
        <f>Table13[[#This Row],[Date]]</f>
        <v>45995</v>
      </c>
      <c r="C699" s="55" t="s">
        <v>16</v>
      </c>
      <c r="D699" s="59" t="s">
        <v>46</v>
      </c>
      <c r="E699" s="64" t="s">
        <v>47</v>
      </c>
      <c r="F699" s="55" t="s">
        <v>19</v>
      </c>
      <c r="G699" s="55">
        <v>1</v>
      </c>
      <c r="H699" s="55"/>
      <c r="I699" s="55"/>
      <c r="J699" s="55"/>
      <c r="K699" s="57"/>
      <c r="L699" s="55"/>
    </row>
    <row r="700" spans="1:12" s="24" customFormat="1">
      <c r="A700" s="53">
        <v>45995</v>
      </c>
      <c r="B700" s="54">
        <f>Table13[[#This Row],[Date]]</f>
        <v>45995</v>
      </c>
      <c r="C700" s="55" t="s">
        <v>26</v>
      </c>
      <c r="D700" s="61" t="s">
        <v>157</v>
      </c>
      <c r="E700" s="64" t="s">
        <v>18</v>
      </c>
      <c r="F700" s="55" t="s">
        <v>19</v>
      </c>
      <c r="G700" s="55">
        <v>1</v>
      </c>
      <c r="H700" s="55"/>
      <c r="I700" s="55"/>
      <c r="J700" s="55"/>
      <c r="K700" s="57"/>
      <c r="L700" s="55"/>
    </row>
    <row r="701" spans="1:12" s="24" customFormat="1">
      <c r="A701" s="53">
        <v>45995</v>
      </c>
      <c r="B701" s="54">
        <f>Table13[[#This Row],[Date]]</f>
        <v>45995</v>
      </c>
      <c r="C701" s="55" t="s">
        <v>26</v>
      </c>
      <c r="D701" s="61" t="s">
        <v>157</v>
      </c>
      <c r="E701" s="64" t="s">
        <v>21</v>
      </c>
      <c r="F701" s="55" t="s">
        <v>19</v>
      </c>
      <c r="G701" s="55">
        <v>1</v>
      </c>
      <c r="H701" s="55"/>
      <c r="I701" s="55"/>
      <c r="J701" s="55"/>
      <c r="K701" s="57"/>
      <c r="L701" s="55"/>
    </row>
    <row r="702" spans="1:12" s="24" customFormat="1">
      <c r="A702" s="53">
        <v>45995</v>
      </c>
      <c r="B702" s="54">
        <f>Table13[[#This Row],[Date]]</f>
        <v>45995</v>
      </c>
      <c r="C702" s="55" t="s">
        <v>26</v>
      </c>
      <c r="D702" s="74" t="s">
        <v>40</v>
      </c>
      <c r="E702" s="55" t="s">
        <v>18</v>
      </c>
      <c r="F702" s="55" t="s">
        <v>19</v>
      </c>
      <c r="G702" s="55">
        <v>1</v>
      </c>
      <c r="H702" s="55"/>
      <c r="I702" s="55"/>
      <c r="J702" s="55"/>
      <c r="K702" s="57"/>
      <c r="L702" s="55"/>
    </row>
    <row r="703" spans="1:12" s="24" customFormat="1">
      <c r="A703" s="53">
        <v>45995</v>
      </c>
      <c r="B703" s="54">
        <f>Table13[[#This Row],[Date]]</f>
        <v>45995</v>
      </c>
      <c r="C703" s="55" t="s">
        <v>26</v>
      </c>
      <c r="D703" s="74" t="s">
        <v>40</v>
      </c>
      <c r="E703" s="55" t="s">
        <v>28</v>
      </c>
      <c r="F703" s="55" t="s">
        <v>19</v>
      </c>
      <c r="G703" s="55">
        <v>1</v>
      </c>
      <c r="H703" s="55"/>
      <c r="I703" s="55"/>
      <c r="J703" s="55"/>
      <c r="K703" s="57"/>
      <c r="L703" s="55"/>
    </row>
    <row r="704" spans="1:12" s="24" customFormat="1">
      <c r="A704" s="53">
        <v>45996</v>
      </c>
      <c r="B704" s="54">
        <f>Table13[[#This Row],[Date]]</f>
        <v>45996</v>
      </c>
      <c r="C704" s="55" t="s">
        <v>16</v>
      </c>
      <c r="D704" s="118" t="s">
        <v>50</v>
      </c>
      <c r="E704" s="64" t="s">
        <v>47</v>
      </c>
      <c r="F704" s="55" t="s">
        <v>19</v>
      </c>
      <c r="G704" s="55">
        <v>1</v>
      </c>
      <c r="H704" s="55"/>
      <c r="I704" s="55"/>
      <c r="J704" s="55"/>
      <c r="K704" s="57"/>
      <c r="L704" s="55"/>
    </row>
    <row r="705" spans="1:12" s="24" customFormat="1">
      <c r="A705" s="53">
        <v>45996</v>
      </c>
      <c r="B705" s="54">
        <f>Table13[[#This Row],[Date]]</f>
        <v>45996</v>
      </c>
      <c r="C705" s="55" t="s">
        <v>16</v>
      </c>
      <c r="D705" s="118" t="s">
        <v>50</v>
      </c>
      <c r="E705" s="64" t="s">
        <v>18</v>
      </c>
      <c r="F705" s="55" t="s">
        <v>19</v>
      </c>
      <c r="G705" s="55">
        <v>1</v>
      </c>
      <c r="H705" s="55"/>
      <c r="I705" s="55"/>
      <c r="J705" s="55"/>
      <c r="K705" s="57"/>
      <c r="L705" s="55"/>
    </row>
    <row r="706" spans="1:12" s="24" customFormat="1">
      <c r="A706" s="53">
        <v>45996</v>
      </c>
      <c r="B706" s="54">
        <f>Table13[[#This Row],[Date]]</f>
        <v>45996</v>
      </c>
      <c r="C706" s="55" t="s">
        <v>16</v>
      </c>
      <c r="D706" s="118" t="s">
        <v>50</v>
      </c>
      <c r="E706" s="64" t="s">
        <v>21</v>
      </c>
      <c r="F706" s="55" t="s">
        <v>19</v>
      </c>
      <c r="G706" s="55">
        <v>1</v>
      </c>
      <c r="H706" s="55"/>
      <c r="I706" s="55"/>
      <c r="J706" s="55"/>
      <c r="K706" s="57"/>
      <c r="L706" s="55"/>
    </row>
    <row r="707" spans="1:12" s="24" customFormat="1">
      <c r="A707" s="53">
        <v>45996</v>
      </c>
      <c r="B707" s="54">
        <f>Table13[[#This Row],[Date]]</f>
        <v>45996</v>
      </c>
      <c r="C707" s="55" t="s">
        <v>16</v>
      </c>
      <c r="D707" s="59" t="s">
        <v>51</v>
      </c>
      <c r="E707" s="55" t="s">
        <v>18</v>
      </c>
      <c r="F707" s="55" t="s">
        <v>19</v>
      </c>
      <c r="G707" s="55">
        <v>1</v>
      </c>
      <c r="H707" s="55"/>
      <c r="I707" s="55"/>
      <c r="J707" s="55"/>
      <c r="K707" s="57"/>
      <c r="L707" s="55"/>
    </row>
    <row r="708" spans="1:12" s="24" customFormat="1" ht="14.45" customHeight="1">
      <c r="A708" s="53">
        <v>45996</v>
      </c>
      <c r="B708" s="54">
        <f>Table13[[#This Row],[Date]]</f>
        <v>45996</v>
      </c>
      <c r="C708" s="55" t="s">
        <v>23</v>
      </c>
      <c r="D708" s="123" t="s">
        <v>52</v>
      </c>
      <c r="E708" s="64" t="s">
        <v>47</v>
      </c>
      <c r="F708" s="55" t="s">
        <v>19</v>
      </c>
      <c r="G708" s="55">
        <v>1</v>
      </c>
      <c r="H708" s="55"/>
      <c r="I708" s="55"/>
      <c r="J708" s="55"/>
      <c r="K708" s="57"/>
      <c r="L708" s="55"/>
    </row>
    <row r="709" spans="1:12" s="24" customFormat="1" ht="14.45" customHeight="1">
      <c r="A709" s="53">
        <v>45996</v>
      </c>
      <c r="B709" s="54">
        <f>Table13[[#This Row],[Date]]</f>
        <v>45996</v>
      </c>
      <c r="C709" s="55" t="s">
        <v>23</v>
      </c>
      <c r="D709" s="123" t="s">
        <v>52</v>
      </c>
      <c r="E709" s="64" t="s">
        <v>53</v>
      </c>
      <c r="F709" s="55" t="s">
        <v>19</v>
      </c>
      <c r="G709" s="55">
        <v>1</v>
      </c>
      <c r="H709" s="55"/>
      <c r="I709" s="55"/>
      <c r="J709" s="55"/>
      <c r="K709" s="57"/>
      <c r="L709" s="55"/>
    </row>
    <row r="710" spans="1:12" s="24" customFormat="1" ht="14.45" customHeight="1">
      <c r="A710" s="53">
        <v>45996</v>
      </c>
      <c r="B710" s="54">
        <f>Table13[[#This Row],[Date]]</f>
        <v>45996</v>
      </c>
      <c r="C710" s="55" t="s">
        <v>23</v>
      </c>
      <c r="D710" s="91" t="s">
        <v>54</v>
      </c>
      <c r="E710" s="64" t="s">
        <v>18</v>
      </c>
      <c r="F710" s="55" t="s">
        <v>19</v>
      </c>
      <c r="G710" s="55">
        <v>1</v>
      </c>
      <c r="H710" s="55"/>
      <c r="I710" s="55"/>
      <c r="J710" s="55"/>
      <c r="K710" s="57"/>
      <c r="L710" s="55"/>
    </row>
    <row r="711" spans="1:12" s="24" customFormat="1" ht="14.45" customHeight="1">
      <c r="A711" s="53">
        <v>45996</v>
      </c>
      <c r="B711" s="54">
        <f>Table13[[#This Row],[Date]]</f>
        <v>45996</v>
      </c>
      <c r="C711" s="55" t="s">
        <v>23</v>
      </c>
      <c r="D711" s="91" t="s">
        <v>54</v>
      </c>
      <c r="E711" s="64" t="s">
        <v>21</v>
      </c>
      <c r="F711" s="55" t="s">
        <v>19</v>
      </c>
      <c r="G711" s="55">
        <v>1</v>
      </c>
      <c r="H711" s="55"/>
      <c r="I711" s="55"/>
      <c r="J711" s="55"/>
      <c r="K711" s="57"/>
      <c r="L711" s="55"/>
    </row>
    <row r="712" spans="1:12" s="24" customFormat="1" ht="14.45" customHeight="1">
      <c r="A712" s="53">
        <v>45996</v>
      </c>
      <c r="B712" s="54">
        <f>Table13[[#This Row],[Date]]</f>
        <v>45996</v>
      </c>
      <c r="C712" s="55" t="s">
        <v>26</v>
      </c>
      <c r="D712" s="61" t="s">
        <v>158</v>
      </c>
      <c r="E712" s="64" t="s">
        <v>18</v>
      </c>
      <c r="F712" s="55" t="s">
        <v>19</v>
      </c>
      <c r="G712" s="55">
        <v>1</v>
      </c>
      <c r="H712" s="55"/>
      <c r="I712" s="55"/>
      <c r="J712" s="55"/>
      <c r="K712" s="57"/>
      <c r="L712" s="55"/>
    </row>
    <row r="713" spans="1:12" s="24" customFormat="1" ht="14.45" customHeight="1">
      <c r="A713" s="53">
        <v>45996</v>
      </c>
      <c r="B713" s="54">
        <f>Table13[[#This Row],[Date]]</f>
        <v>45996</v>
      </c>
      <c r="C713" s="55" t="s">
        <v>26</v>
      </c>
      <c r="D713" s="61" t="s">
        <v>158</v>
      </c>
      <c r="E713" s="64" t="s">
        <v>21</v>
      </c>
      <c r="F713" s="55" t="s">
        <v>19</v>
      </c>
      <c r="G713" s="55">
        <v>1</v>
      </c>
      <c r="H713" s="55"/>
      <c r="I713" s="55"/>
      <c r="J713" s="55"/>
      <c r="K713" s="57"/>
      <c r="L713" s="55"/>
    </row>
    <row r="714" spans="1:12" s="24" customFormat="1" ht="14.45" customHeight="1">
      <c r="A714" s="53">
        <v>45996</v>
      </c>
      <c r="B714" s="54">
        <f>Table13[[#This Row],[Date]]</f>
        <v>45996</v>
      </c>
      <c r="C714" s="55" t="s">
        <v>26</v>
      </c>
      <c r="D714" s="61" t="s">
        <v>158</v>
      </c>
      <c r="E714" s="64" t="s">
        <v>49</v>
      </c>
      <c r="F714" s="55" t="s">
        <v>19</v>
      </c>
      <c r="G714" s="55">
        <v>1</v>
      </c>
      <c r="H714" s="55"/>
      <c r="I714" s="55"/>
      <c r="J714" s="55"/>
      <c r="K714" s="57"/>
      <c r="L714" s="55"/>
    </row>
    <row r="715" spans="1:12" s="24" customFormat="1">
      <c r="A715" s="53">
        <v>45996</v>
      </c>
      <c r="B715" s="54">
        <f>Table13[[#This Row],[Date]]</f>
        <v>45996</v>
      </c>
      <c r="C715" s="55" t="s">
        <v>26</v>
      </c>
      <c r="D715" s="61" t="s">
        <v>158</v>
      </c>
      <c r="E715" s="64" t="s">
        <v>41</v>
      </c>
      <c r="F715" s="55" t="s">
        <v>19</v>
      </c>
      <c r="G715" s="55">
        <v>1</v>
      </c>
      <c r="H715" s="55"/>
      <c r="I715" s="55"/>
      <c r="J715" s="55"/>
      <c r="K715" s="57"/>
      <c r="L715" s="55"/>
    </row>
    <row r="716" spans="1:12" s="24" customFormat="1">
      <c r="A716" s="16">
        <v>45997</v>
      </c>
      <c r="B716" s="18">
        <f>Table13[[#This Row],[Date]]</f>
        <v>45997</v>
      </c>
      <c r="C716" s="10" t="s">
        <v>14</v>
      </c>
      <c r="D716" s="9" t="s">
        <v>56</v>
      </c>
      <c r="E716" s="10" t="s">
        <v>18</v>
      </c>
      <c r="F716" s="10" t="s">
        <v>19</v>
      </c>
      <c r="G716" s="10">
        <v>1</v>
      </c>
      <c r="H716" s="10"/>
      <c r="I716" s="10"/>
      <c r="J716" s="10"/>
      <c r="K716" s="13"/>
      <c r="L716" s="10"/>
    </row>
    <row r="717" spans="1:12" s="24" customFormat="1">
      <c r="A717" s="16">
        <v>45997</v>
      </c>
      <c r="B717" s="18">
        <f>Table13[[#This Row],[Date]]</f>
        <v>45997</v>
      </c>
      <c r="C717" s="10" t="s">
        <v>14</v>
      </c>
      <c r="D717" s="9" t="s">
        <v>57</v>
      </c>
      <c r="E717" s="10" t="s">
        <v>18</v>
      </c>
      <c r="F717" s="10" t="s">
        <v>19</v>
      </c>
      <c r="G717" s="10">
        <v>1</v>
      </c>
      <c r="H717" s="10"/>
      <c r="I717" s="10"/>
      <c r="J717" s="10"/>
      <c r="K717" s="13"/>
      <c r="L717" s="10"/>
    </row>
    <row r="718" spans="1:12" s="24" customFormat="1">
      <c r="A718" s="16">
        <v>45997</v>
      </c>
      <c r="B718" s="18">
        <f>Table13[[#This Row],[Date]]</f>
        <v>45997</v>
      </c>
      <c r="C718" s="10" t="s">
        <v>4</v>
      </c>
      <c r="D718" s="9" t="s">
        <v>58</v>
      </c>
      <c r="E718" s="10" t="s">
        <v>59</v>
      </c>
      <c r="F718" s="10" t="s">
        <v>60</v>
      </c>
      <c r="G718" s="10">
        <v>1</v>
      </c>
      <c r="H718" s="10"/>
      <c r="I718" s="10"/>
      <c r="J718" s="10"/>
      <c r="K718" s="13"/>
      <c r="L718" s="10"/>
    </row>
    <row r="719" spans="1:12" s="24" customFormat="1">
      <c r="A719" s="16">
        <v>45997</v>
      </c>
      <c r="B719" s="18">
        <f>Table13[[#This Row],[Date]]</f>
        <v>45997</v>
      </c>
      <c r="C719" s="10" t="s">
        <v>4</v>
      </c>
      <c r="D719" s="9" t="s">
        <v>58</v>
      </c>
      <c r="E719" s="10" t="s">
        <v>61</v>
      </c>
      <c r="F719" s="10" t="s">
        <v>60</v>
      </c>
      <c r="G719" s="10">
        <v>1</v>
      </c>
      <c r="H719" s="10"/>
      <c r="I719" s="10"/>
      <c r="J719" s="10"/>
      <c r="K719" s="13"/>
      <c r="L719" s="10"/>
    </row>
    <row r="720" spans="1:12" s="24" customFormat="1">
      <c r="A720" s="16">
        <v>45997</v>
      </c>
      <c r="B720" s="18">
        <f>Table13[[#This Row],[Date]]</f>
        <v>45997</v>
      </c>
      <c r="C720" s="10" t="s">
        <v>4</v>
      </c>
      <c r="D720" s="9" t="s">
        <v>58</v>
      </c>
      <c r="E720" s="8" t="s">
        <v>18</v>
      </c>
      <c r="F720" s="10" t="s">
        <v>19</v>
      </c>
      <c r="G720" s="10">
        <v>1</v>
      </c>
      <c r="H720" s="10"/>
      <c r="I720" s="10"/>
      <c r="J720" s="10"/>
      <c r="K720" s="13"/>
      <c r="L720" s="10"/>
    </row>
    <row r="721" spans="1:12" s="24" customFormat="1">
      <c r="A721" s="16">
        <v>45997</v>
      </c>
      <c r="B721" s="18">
        <f>Table13[[#This Row],[Date]]</f>
        <v>45997</v>
      </c>
      <c r="C721" s="10" t="s">
        <v>4</v>
      </c>
      <c r="D721" s="9" t="s">
        <v>58</v>
      </c>
      <c r="E721" s="8" t="s">
        <v>21</v>
      </c>
      <c r="F721" s="10" t="s">
        <v>19</v>
      </c>
      <c r="G721" s="10">
        <v>1</v>
      </c>
      <c r="H721" s="10"/>
      <c r="I721" s="10"/>
      <c r="J721" s="10"/>
      <c r="K721" s="13"/>
      <c r="L721" s="10"/>
    </row>
    <row r="722" spans="1:12" s="24" customFormat="1">
      <c r="A722" s="16">
        <v>45997</v>
      </c>
      <c r="B722" s="18">
        <f>Table13[[#This Row],[Date]]</f>
        <v>45997</v>
      </c>
      <c r="C722" s="10" t="s">
        <v>4</v>
      </c>
      <c r="D722" s="9" t="s">
        <v>58</v>
      </c>
      <c r="E722" s="8" t="s">
        <v>49</v>
      </c>
      <c r="F722" s="10" t="s">
        <v>19</v>
      </c>
      <c r="G722" s="10">
        <v>1</v>
      </c>
      <c r="H722" s="10"/>
      <c r="I722" s="10"/>
      <c r="J722" s="10"/>
      <c r="K722" s="13"/>
      <c r="L722" s="10"/>
    </row>
    <row r="723" spans="1:12" s="24" customFormat="1">
      <c r="A723" s="16">
        <v>45997</v>
      </c>
      <c r="B723" s="18">
        <f>Table13[[#This Row],[Date]]</f>
        <v>45997</v>
      </c>
      <c r="C723" s="10" t="s">
        <v>4</v>
      </c>
      <c r="D723" s="9" t="s">
        <v>58</v>
      </c>
      <c r="E723" s="8" t="s">
        <v>41</v>
      </c>
      <c r="F723" s="10" t="s">
        <v>19</v>
      </c>
      <c r="G723" s="10">
        <v>1</v>
      </c>
      <c r="H723" s="10"/>
      <c r="I723" s="10"/>
      <c r="J723" s="10"/>
      <c r="K723" s="13"/>
      <c r="L723" s="10"/>
    </row>
    <row r="724" spans="1:12" s="24" customFormat="1" ht="28.9">
      <c r="A724" s="16">
        <v>45998</v>
      </c>
      <c r="B724" s="18">
        <f>Table13[[#This Row],[Date]]</f>
        <v>45998</v>
      </c>
      <c r="C724" s="10" t="s">
        <v>16</v>
      </c>
      <c r="D724" s="9" t="s">
        <v>62</v>
      </c>
      <c r="E724" s="10" t="s">
        <v>18</v>
      </c>
      <c r="F724" s="10" t="s">
        <v>19</v>
      </c>
      <c r="G724" s="10">
        <v>1</v>
      </c>
      <c r="H724" s="10"/>
      <c r="I724" s="10"/>
      <c r="J724" s="10"/>
      <c r="K724" s="13"/>
      <c r="L724" s="10"/>
    </row>
    <row r="725" spans="1:12" s="24" customFormat="1">
      <c r="A725" s="16">
        <v>45998</v>
      </c>
      <c r="B725" s="18">
        <f>Table13[[#This Row],[Date]]</f>
        <v>45998</v>
      </c>
      <c r="C725" s="10" t="s">
        <v>16</v>
      </c>
      <c r="D725" s="9" t="s">
        <v>63</v>
      </c>
      <c r="E725" s="10" t="s">
        <v>18</v>
      </c>
      <c r="F725" s="10" t="s">
        <v>19</v>
      </c>
      <c r="G725" s="10">
        <v>1</v>
      </c>
      <c r="H725" s="10"/>
      <c r="I725" s="10"/>
      <c r="J725" s="10"/>
      <c r="K725" s="13"/>
      <c r="L725" s="10"/>
    </row>
    <row r="726" spans="1:12" s="24" customFormat="1">
      <c r="A726" s="16">
        <v>45998</v>
      </c>
      <c r="B726" s="18">
        <f>Table13[[#This Row],[Date]]</f>
        <v>45998</v>
      </c>
      <c r="C726" s="10" t="s">
        <v>4</v>
      </c>
      <c r="D726" s="11" t="s">
        <v>58</v>
      </c>
      <c r="E726" s="8" t="s">
        <v>42</v>
      </c>
      <c r="F726" s="10" t="s">
        <v>19</v>
      </c>
      <c r="G726" s="10">
        <v>1</v>
      </c>
      <c r="H726" s="10"/>
      <c r="I726" s="10"/>
      <c r="J726" s="10"/>
      <c r="K726" s="13"/>
      <c r="L726" s="10"/>
    </row>
    <row r="727" spans="1:12" s="24" customFormat="1">
      <c r="A727" s="16">
        <v>45998</v>
      </c>
      <c r="B727" s="18">
        <f>Table13[[#This Row],[Date]]</f>
        <v>45998</v>
      </c>
      <c r="C727" s="10" t="s">
        <v>4</v>
      </c>
      <c r="D727" s="9" t="s">
        <v>58</v>
      </c>
      <c r="E727" s="10" t="s">
        <v>64</v>
      </c>
      <c r="F727" s="10" t="s">
        <v>19</v>
      </c>
      <c r="G727" s="10">
        <v>1</v>
      </c>
      <c r="H727" s="10"/>
      <c r="I727" s="10"/>
      <c r="J727" s="10"/>
      <c r="K727" s="13"/>
      <c r="L727" s="10"/>
    </row>
    <row r="728" spans="1:12" s="24" customFormat="1">
      <c r="A728" s="16">
        <v>45998</v>
      </c>
      <c r="B728" s="18">
        <f>Table13[[#This Row],[Date]]</f>
        <v>45998</v>
      </c>
      <c r="C728" s="10" t="s">
        <v>4</v>
      </c>
      <c r="D728" s="12" t="s">
        <v>58</v>
      </c>
      <c r="E728" s="10" t="s">
        <v>34</v>
      </c>
      <c r="F728" s="10" t="s">
        <v>19</v>
      </c>
      <c r="G728" s="10">
        <v>1</v>
      </c>
      <c r="H728" s="10"/>
      <c r="I728" s="10"/>
      <c r="J728" s="10"/>
      <c r="K728" s="13"/>
      <c r="L728" s="10"/>
    </row>
    <row r="729" spans="1:12" s="24" customFormat="1">
      <c r="A729" s="16">
        <v>45998</v>
      </c>
      <c r="B729" s="18">
        <f>Table13[[#This Row],[Date]]</f>
        <v>45998</v>
      </c>
      <c r="C729" s="10" t="s">
        <v>4</v>
      </c>
      <c r="D729" s="12" t="s">
        <v>58</v>
      </c>
      <c r="E729" s="10" t="s">
        <v>43</v>
      </c>
      <c r="F729" s="10" t="s">
        <v>19</v>
      </c>
      <c r="G729" s="10">
        <v>1</v>
      </c>
      <c r="H729" s="10"/>
      <c r="I729" s="10"/>
      <c r="J729" s="10"/>
      <c r="K729" s="13"/>
      <c r="L729" s="10"/>
    </row>
    <row r="730" spans="1:12" s="24" customFormat="1">
      <c r="A730" s="53">
        <v>45999</v>
      </c>
      <c r="B730" s="54">
        <f>Table13[[#This Row],[Date]]</f>
        <v>45999</v>
      </c>
      <c r="C730" s="55" t="s">
        <v>14</v>
      </c>
      <c r="D730" s="59" t="s">
        <v>65</v>
      </c>
      <c r="E730" s="55" t="s">
        <v>18</v>
      </c>
      <c r="F730" s="55" t="s">
        <v>19</v>
      </c>
      <c r="G730" s="55">
        <v>1</v>
      </c>
      <c r="H730" s="55"/>
      <c r="I730" s="55"/>
      <c r="J730" s="55"/>
      <c r="K730" s="57"/>
      <c r="L730" s="55"/>
    </row>
    <row r="731" spans="1:12" s="24" customFormat="1" ht="20.45" customHeight="1">
      <c r="A731" s="53">
        <v>45999</v>
      </c>
      <c r="B731" s="54">
        <f>Table13[[#This Row],[Date]]</f>
        <v>45999</v>
      </c>
      <c r="C731" s="55" t="s">
        <v>14</v>
      </c>
      <c r="D731" s="152" t="s">
        <v>66</v>
      </c>
      <c r="E731" s="1" t="s">
        <v>18</v>
      </c>
      <c r="F731" s="1" t="s">
        <v>19</v>
      </c>
      <c r="G731" s="1">
        <v>1</v>
      </c>
      <c r="H731" s="55"/>
      <c r="I731" s="55"/>
      <c r="J731" s="55"/>
      <c r="K731" s="57"/>
      <c r="L731" s="55"/>
    </row>
    <row r="732" spans="1:12" s="24" customFormat="1">
      <c r="A732" s="53">
        <v>45999</v>
      </c>
      <c r="B732" s="54">
        <f>Table13[[#This Row],[Date]]</f>
        <v>45999</v>
      </c>
      <c r="C732" s="55" t="s">
        <v>14</v>
      </c>
      <c r="D732" s="59" t="s">
        <v>67</v>
      </c>
      <c r="E732" s="55" t="s">
        <v>18</v>
      </c>
      <c r="F732" s="55" t="s">
        <v>19</v>
      </c>
      <c r="G732" s="55">
        <v>1</v>
      </c>
      <c r="H732" s="55"/>
      <c r="I732" s="55"/>
      <c r="J732" s="55"/>
      <c r="K732" s="57"/>
      <c r="L732" s="55"/>
    </row>
    <row r="733" spans="1:12" s="24" customFormat="1">
      <c r="A733" s="53">
        <v>45999</v>
      </c>
      <c r="B733" s="54">
        <f>Table13[[#This Row],[Date]]</f>
        <v>45999</v>
      </c>
      <c r="C733" s="55" t="s">
        <v>23</v>
      </c>
      <c r="D733" s="59" t="s">
        <v>68</v>
      </c>
      <c r="E733" s="64" t="s">
        <v>18</v>
      </c>
      <c r="F733" s="55" t="s">
        <v>19</v>
      </c>
      <c r="G733" s="55">
        <v>1</v>
      </c>
      <c r="H733" s="55"/>
      <c r="I733" s="55"/>
      <c r="J733" s="55"/>
      <c r="K733" s="57"/>
      <c r="L733" s="55"/>
    </row>
    <row r="734" spans="1:12" s="24" customFormat="1">
      <c r="A734" s="53">
        <v>45999</v>
      </c>
      <c r="B734" s="54">
        <f>Table13[[#This Row],[Date]]</f>
        <v>45999</v>
      </c>
      <c r="C734" s="55" t="s">
        <v>23</v>
      </c>
      <c r="D734" s="59" t="s">
        <v>68</v>
      </c>
      <c r="E734" s="64" t="s">
        <v>21</v>
      </c>
      <c r="F734" s="55" t="s">
        <v>19</v>
      </c>
      <c r="G734" s="55">
        <v>1</v>
      </c>
      <c r="H734" s="55"/>
      <c r="I734" s="55"/>
      <c r="J734" s="55"/>
      <c r="K734" s="57"/>
      <c r="L734" s="55"/>
    </row>
    <row r="735" spans="1:12" s="24" customFormat="1">
      <c r="A735" s="53">
        <v>45999</v>
      </c>
      <c r="B735" s="54">
        <f>Table13[[#This Row],[Date]]</f>
        <v>45999</v>
      </c>
      <c r="C735" s="55" t="s">
        <v>23</v>
      </c>
      <c r="D735" s="59" t="s">
        <v>68</v>
      </c>
      <c r="E735" s="64" t="s">
        <v>49</v>
      </c>
      <c r="F735" s="55" t="s">
        <v>19</v>
      </c>
      <c r="G735" s="55">
        <v>1</v>
      </c>
      <c r="H735" s="55"/>
      <c r="I735" s="55"/>
      <c r="J735" s="55"/>
      <c r="K735" s="57"/>
      <c r="L735" s="55"/>
    </row>
    <row r="736" spans="1:12" s="24" customFormat="1">
      <c r="A736" s="53">
        <v>45999</v>
      </c>
      <c r="B736" s="54">
        <f>Table13[[#This Row],[Date]]</f>
        <v>45999</v>
      </c>
      <c r="C736" s="55" t="s">
        <v>23</v>
      </c>
      <c r="D736" s="59" t="s">
        <v>68</v>
      </c>
      <c r="E736" s="64" t="s">
        <v>41</v>
      </c>
      <c r="F736" s="55" t="s">
        <v>19</v>
      </c>
      <c r="G736" s="55">
        <v>1</v>
      </c>
      <c r="H736" s="55"/>
      <c r="I736" s="55"/>
      <c r="J736" s="55"/>
      <c r="K736" s="57"/>
      <c r="L736" s="55"/>
    </row>
    <row r="737" spans="1:12" s="24" customFormat="1">
      <c r="A737" s="53">
        <v>45999</v>
      </c>
      <c r="B737" s="54">
        <f>Table13[[#This Row],[Date]]</f>
        <v>45999</v>
      </c>
      <c r="C737" s="55" t="s">
        <v>26</v>
      </c>
      <c r="D737" s="61" t="s">
        <v>159</v>
      </c>
      <c r="E737" s="64" t="s">
        <v>18</v>
      </c>
      <c r="F737" s="55" t="s">
        <v>19</v>
      </c>
      <c r="G737" s="55">
        <v>1</v>
      </c>
      <c r="H737" s="55"/>
      <c r="I737" s="55"/>
      <c r="J737" s="55"/>
      <c r="K737" s="57"/>
      <c r="L737" s="55"/>
    </row>
    <row r="738" spans="1:12" s="24" customFormat="1">
      <c r="A738" s="53">
        <v>45999</v>
      </c>
      <c r="B738" s="54">
        <f>Table13[[#This Row],[Date]]</f>
        <v>45999</v>
      </c>
      <c r="C738" s="55" t="s">
        <v>26</v>
      </c>
      <c r="D738" s="61" t="s">
        <v>159</v>
      </c>
      <c r="E738" s="64" t="s">
        <v>21</v>
      </c>
      <c r="F738" s="55" t="s">
        <v>19</v>
      </c>
      <c r="G738" s="55">
        <v>1</v>
      </c>
      <c r="H738" s="55"/>
      <c r="I738" s="55"/>
      <c r="J738" s="55"/>
      <c r="K738" s="57"/>
      <c r="L738" s="55"/>
    </row>
    <row r="739" spans="1:12" s="24" customFormat="1">
      <c r="A739" s="53">
        <v>45999</v>
      </c>
      <c r="B739" s="54">
        <f>Table13[[#This Row],[Date]]</f>
        <v>45999</v>
      </c>
      <c r="C739" s="55" t="s">
        <v>26</v>
      </c>
      <c r="D739" s="61" t="s">
        <v>160</v>
      </c>
      <c r="E739" s="55" t="s">
        <v>18</v>
      </c>
      <c r="F739" s="55" t="s">
        <v>19</v>
      </c>
      <c r="G739" s="55">
        <v>1</v>
      </c>
      <c r="H739" s="55"/>
      <c r="I739" s="55"/>
      <c r="J739" s="55"/>
      <c r="K739" s="57"/>
      <c r="L739" s="55"/>
    </row>
    <row r="740" spans="1:12" s="24" customFormat="1">
      <c r="A740" s="53">
        <v>45999</v>
      </c>
      <c r="B740" s="54">
        <f>Table13[[#This Row],[Date]]</f>
        <v>45999</v>
      </c>
      <c r="C740" s="55" t="s">
        <v>26</v>
      </c>
      <c r="D740" s="61" t="s">
        <v>160</v>
      </c>
      <c r="E740" s="55" t="s">
        <v>21</v>
      </c>
      <c r="F740" s="55" t="s">
        <v>19</v>
      </c>
      <c r="G740" s="55">
        <v>1</v>
      </c>
      <c r="H740" s="55"/>
      <c r="I740" s="55"/>
      <c r="J740" s="55"/>
      <c r="K740" s="57"/>
      <c r="L740" s="55"/>
    </row>
    <row r="741" spans="1:12" s="24" customFormat="1">
      <c r="A741" s="53">
        <v>46000</v>
      </c>
      <c r="B741" s="54">
        <f>Table13[[#This Row],[Date]]</f>
        <v>46000</v>
      </c>
      <c r="C741" s="55" t="s">
        <v>14</v>
      </c>
      <c r="D741" s="59" t="s">
        <v>104</v>
      </c>
      <c r="E741" s="55" t="s">
        <v>59</v>
      </c>
      <c r="F741" s="55" t="s">
        <v>60</v>
      </c>
      <c r="G741" s="55">
        <v>1</v>
      </c>
      <c r="H741" s="55"/>
      <c r="I741" s="55"/>
      <c r="J741" s="55"/>
      <c r="K741" s="57"/>
      <c r="L741" s="55"/>
    </row>
    <row r="742" spans="1:12" s="24" customFormat="1">
      <c r="A742" s="53">
        <v>46000</v>
      </c>
      <c r="B742" s="54">
        <f>Table13[[#This Row],[Date]]</f>
        <v>46000</v>
      </c>
      <c r="C742" s="55" t="s">
        <v>14</v>
      </c>
      <c r="D742" s="59" t="s">
        <v>104</v>
      </c>
      <c r="E742" s="55" t="s">
        <v>61</v>
      </c>
      <c r="F742" s="55" t="s">
        <v>60</v>
      </c>
      <c r="G742" s="55">
        <v>1</v>
      </c>
      <c r="H742" s="55"/>
      <c r="I742" s="55"/>
      <c r="J742" s="55"/>
      <c r="K742" s="57"/>
      <c r="L742" s="55"/>
    </row>
    <row r="743" spans="1:12" s="24" customFormat="1">
      <c r="A743" s="15">
        <v>46000</v>
      </c>
      <c r="B743" s="17">
        <f>Table13[[#This Row],[Date]]</f>
        <v>46000</v>
      </c>
      <c r="C743" s="1" t="s">
        <v>16</v>
      </c>
      <c r="D743" s="141" t="s">
        <v>22</v>
      </c>
      <c r="E743" s="204" t="s">
        <v>18</v>
      </c>
      <c r="F743" s="1" t="s">
        <v>19</v>
      </c>
      <c r="G743" s="1">
        <v>1</v>
      </c>
      <c r="H743" s="1"/>
      <c r="I743" s="1"/>
      <c r="J743" s="1"/>
      <c r="K743" s="3"/>
      <c r="L743" s="1"/>
    </row>
    <row r="744" spans="1:12" s="24" customFormat="1">
      <c r="A744" s="53">
        <v>46000</v>
      </c>
      <c r="B744" s="54">
        <f>Table13[[#This Row],[Date]]</f>
        <v>46000</v>
      </c>
      <c r="C744" s="55" t="s">
        <v>23</v>
      </c>
      <c r="D744" s="59" t="s">
        <v>68</v>
      </c>
      <c r="E744" s="55" t="s">
        <v>47</v>
      </c>
      <c r="F744" s="55" t="s">
        <v>19</v>
      </c>
      <c r="G744" s="55">
        <v>1</v>
      </c>
      <c r="H744" s="55"/>
      <c r="I744" s="55"/>
      <c r="J744" s="55"/>
      <c r="K744" s="57"/>
      <c r="L744" s="55"/>
    </row>
    <row r="745" spans="1:12" s="24" customFormat="1">
      <c r="A745" s="15">
        <v>46000</v>
      </c>
      <c r="B745" s="17">
        <f>Table13[[#This Row],[Date]]</f>
        <v>46000</v>
      </c>
      <c r="C745" s="1" t="s">
        <v>23</v>
      </c>
      <c r="D745" s="141" t="s">
        <v>38</v>
      </c>
      <c r="E745" s="1" t="s">
        <v>18</v>
      </c>
      <c r="F745" s="1" t="s">
        <v>19</v>
      </c>
      <c r="G745" s="1">
        <v>1</v>
      </c>
      <c r="H745" s="1"/>
      <c r="I745" s="1"/>
      <c r="J745" s="1"/>
      <c r="K745" s="3"/>
      <c r="L745" s="1"/>
    </row>
    <row r="746" spans="1:12" s="24" customFormat="1">
      <c r="A746" s="15">
        <v>46000</v>
      </c>
      <c r="B746" s="17">
        <f>Table13[[#This Row],[Date]]</f>
        <v>46000</v>
      </c>
      <c r="C746" s="1" t="s">
        <v>23</v>
      </c>
      <c r="D746" s="2" t="s">
        <v>180</v>
      </c>
      <c r="E746" s="1" t="s">
        <v>18</v>
      </c>
      <c r="F746" s="1" t="s">
        <v>19</v>
      </c>
      <c r="G746" s="1">
        <v>1</v>
      </c>
      <c r="H746" s="1"/>
      <c r="I746" s="1"/>
      <c r="J746" s="1"/>
      <c r="K746" s="3"/>
      <c r="L746" s="1"/>
    </row>
    <row r="747" spans="1:12" s="24" customFormat="1">
      <c r="A747" s="53">
        <v>46000</v>
      </c>
      <c r="B747" s="54">
        <f>Table13[[#This Row],[Date]]</f>
        <v>46000</v>
      </c>
      <c r="C747" s="55" t="s">
        <v>26</v>
      </c>
      <c r="D747" s="61" t="s">
        <v>165</v>
      </c>
      <c r="E747" s="55" t="s">
        <v>18</v>
      </c>
      <c r="F747" s="55" t="s">
        <v>19</v>
      </c>
      <c r="G747" s="55">
        <v>1</v>
      </c>
      <c r="H747" s="55"/>
      <c r="I747" s="55"/>
      <c r="J747" s="55"/>
      <c r="K747" s="57"/>
      <c r="L747" s="55"/>
    </row>
    <row r="748" spans="1:12" s="24" customFormat="1">
      <c r="A748" s="53">
        <v>46000</v>
      </c>
      <c r="B748" s="54">
        <f>Table13[[#This Row],[Date]]</f>
        <v>46000</v>
      </c>
      <c r="C748" s="55" t="s">
        <v>26</v>
      </c>
      <c r="D748" s="61" t="s">
        <v>165</v>
      </c>
      <c r="E748" s="55" t="s">
        <v>21</v>
      </c>
      <c r="F748" s="55" t="s">
        <v>19</v>
      </c>
      <c r="G748" s="55">
        <v>1</v>
      </c>
      <c r="H748" s="55"/>
      <c r="I748" s="55"/>
      <c r="J748" s="55"/>
      <c r="K748" s="57"/>
      <c r="L748" s="55"/>
    </row>
    <row r="749" spans="1:12" s="24" customFormat="1">
      <c r="A749" s="53">
        <v>46000</v>
      </c>
      <c r="B749" s="54">
        <f>Table13[[#This Row],[Date]]</f>
        <v>46000</v>
      </c>
      <c r="C749" s="55" t="s">
        <v>26</v>
      </c>
      <c r="D749" s="61" t="s">
        <v>166</v>
      </c>
      <c r="E749" s="55" t="s">
        <v>18</v>
      </c>
      <c r="F749" s="55" t="s">
        <v>19</v>
      </c>
      <c r="G749" s="55">
        <v>1</v>
      </c>
      <c r="H749" s="55"/>
      <c r="I749" s="55"/>
      <c r="J749" s="55"/>
      <c r="K749" s="57"/>
      <c r="L749" s="55"/>
    </row>
    <row r="750" spans="1:12" s="24" customFormat="1">
      <c r="A750" s="53">
        <v>46000</v>
      </c>
      <c r="B750" s="54">
        <f>Table13[[#This Row],[Date]]</f>
        <v>46000</v>
      </c>
      <c r="C750" s="55" t="s">
        <v>26</v>
      </c>
      <c r="D750" s="61" t="s">
        <v>166</v>
      </c>
      <c r="E750" s="55" t="s">
        <v>21</v>
      </c>
      <c r="F750" s="55" t="s">
        <v>19</v>
      </c>
      <c r="G750" s="55">
        <v>1</v>
      </c>
      <c r="H750" s="55"/>
      <c r="I750" s="55"/>
      <c r="J750" s="55"/>
      <c r="K750" s="57"/>
      <c r="L750" s="55"/>
    </row>
    <row r="751" spans="1:12" s="24" customFormat="1">
      <c r="A751" s="48">
        <v>46000</v>
      </c>
      <c r="B751" s="49">
        <f>Table13[[#This Row],[Date]]</f>
        <v>46000</v>
      </c>
      <c r="C751" s="50" t="s">
        <v>4</v>
      </c>
      <c r="D751" s="51" t="s">
        <v>32</v>
      </c>
      <c r="E751" s="50"/>
      <c r="F751" s="50"/>
      <c r="G751" s="50"/>
      <c r="H751" s="50"/>
      <c r="I751" s="50"/>
      <c r="J751" s="50"/>
      <c r="K751" s="52"/>
      <c r="L751" s="50"/>
    </row>
    <row r="752" spans="1:12" s="24" customFormat="1">
      <c r="A752" s="103">
        <v>46001</v>
      </c>
      <c r="B752" s="104">
        <f>Table13[[#This Row],[Date]]</f>
        <v>46001</v>
      </c>
      <c r="C752" s="105" t="s">
        <v>16</v>
      </c>
      <c r="D752" s="109" t="s">
        <v>74</v>
      </c>
      <c r="E752" s="105" t="s">
        <v>18</v>
      </c>
      <c r="F752" s="105" t="s">
        <v>19</v>
      </c>
      <c r="G752" s="105">
        <v>1</v>
      </c>
      <c r="H752" s="105"/>
      <c r="I752" s="105"/>
      <c r="J752" s="105"/>
      <c r="K752" s="108"/>
      <c r="L752" s="105"/>
    </row>
    <row r="753" spans="1:12" s="24" customFormat="1">
      <c r="A753" s="103">
        <v>46001</v>
      </c>
      <c r="B753" s="104">
        <f>Table13[[#This Row],[Date]]</f>
        <v>46001</v>
      </c>
      <c r="C753" s="105" t="s">
        <v>16</v>
      </c>
      <c r="D753" s="109" t="s">
        <v>74</v>
      </c>
      <c r="E753" s="105" t="s">
        <v>21</v>
      </c>
      <c r="F753" s="105" t="s">
        <v>19</v>
      </c>
      <c r="G753" s="105">
        <v>1</v>
      </c>
      <c r="H753" s="105"/>
      <c r="I753" s="105"/>
      <c r="J753" s="105"/>
      <c r="K753" s="108"/>
      <c r="L753" s="105"/>
    </row>
    <row r="754" spans="1:12" s="24" customFormat="1">
      <c r="A754" s="103">
        <v>46001</v>
      </c>
      <c r="B754" s="104">
        <f>Table13[[#This Row],[Date]]</f>
        <v>46001</v>
      </c>
      <c r="C754" s="105" t="s">
        <v>16</v>
      </c>
      <c r="D754" s="109" t="s">
        <v>74</v>
      </c>
      <c r="E754" s="105" t="s">
        <v>49</v>
      </c>
      <c r="F754" s="105" t="s">
        <v>19</v>
      </c>
      <c r="G754" s="105">
        <v>1</v>
      </c>
      <c r="H754" s="105"/>
      <c r="I754" s="105"/>
      <c r="J754" s="105"/>
      <c r="K754" s="108"/>
      <c r="L754" s="105"/>
    </row>
    <row r="755" spans="1:12" s="24" customFormat="1">
      <c r="A755" s="103">
        <v>46001</v>
      </c>
      <c r="B755" s="104">
        <f>Table13[[#This Row],[Date]]</f>
        <v>46001</v>
      </c>
      <c r="C755" s="105" t="s">
        <v>16</v>
      </c>
      <c r="D755" s="109" t="s">
        <v>74</v>
      </c>
      <c r="E755" s="105" t="s">
        <v>41</v>
      </c>
      <c r="F755" s="105" t="s">
        <v>19</v>
      </c>
      <c r="G755" s="105">
        <v>1</v>
      </c>
      <c r="H755" s="105"/>
      <c r="I755" s="105"/>
      <c r="J755" s="105"/>
      <c r="K755" s="108"/>
      <c r="L755" s="105"/>
    </row>
    <row r="756" spans="1:12" s="24" customFormat="1">
      <c r="A756" s="53">
        <v>46001</v>
      </c>
      <c r="B756" s="54">
        <f>Table13[[#This Row],[Date]]</f>
        <v>46001</v>
      </c>
      <c r="C756" s="55" t="s">
        <v>26</v>
      </c>
      <c r="D756" s="61" t="s">
        <v>75</v>
      </c>
      <c r="E756" s="55" t="s">
        <v>18</v>
      </c>
      <c r="F756" s="55" t="s">
        <v>19</v>
      </c>
      <c r="G756" s="55">
        <v>1</v>
      </c>
      <c r="H756" s="55"/>
      <c r="I756" s="55"/>
      <c r="J756" s="55"/>
      <c r="K756" s="57"/>
      <c r="L756" s="55"/>
    </row>
    <row r="757" spans="1:12" s="24" customFormat="1">
      <c r="A757" s="53">
        <v>46001</v>
      </c>
      <c r="B757" s="54">
        <f>Table13[[#This Row],[Date]]</f>
        <v>46001</v>
      </c>
      <c r="C757" s="55" t="s">
        <v>26</v>
      </c>
      <c r="D757" s="61" t="s">
        <v>75</v>
      </c>
      <c r="E757" s="55" t="s">
        <v>21</v>
      </c>
      <c r="F757" s="55" t="s">
        <v>19</v>
      </c>
      <c r="G757" s="55">
        <v>1</v>
      </c>
      <c r="H757" s="55"/>
      <c r="I757" s="55"/>
      <c r="J757" s="55"/>
      <c r="K757" s="57"/>
      <c r="L757" s="55"/>
    </row>
    <row r="758" spans="1:12" s="24" customFormat="1">
      <c r="A758" s="53">
        <v>46001</v>
      </c>
      <c r="B758" s="54">
        <f>Table13[[#This Row],[Date]]</f>
        <v>46001</v>
      </c>
      <c r="C758" s="55" t="s">
        <v>26</v>
      </c>
      <c r="D758" s="61" t="s">
        <v>75</v>
      </c>
      <c r="E758" s="55" t="s">
        <v>28</v>
      </c>
      <c r="F758" s="55" t="s">
        <v>19</v>
      </c>
      <c r="G758" s="55">
        <v>1</v>
      </c>
      <c r="H758" s="55"/>
      <c r="I758" s="55"/>
      <c r="J758" s="55"/>
      <c r="K758" s="57"/>
      <c r="L758" s="55"/>
    </row>
    <row r="759" spans="1:12" s="24" customFormat="1">
      <c r="A759" s="53">
        <v>46001</v>
      </c>
      <c r="B759" s="54">
        <f>Table13[[#This Row],[Date]]</f>
        <v>46001</v>
      </c>
      <c r="C759" s="55" t="s">
        <v>4</v>
      </c>
      <c r="D759" s="59" t="s">
        <v>79</v>
      </c>
      <c r="E759" s="55" t="s">
        <v>21</v>
      </c>
      <c r="F759" s="55" t="s">
        <v>19</v>
      </c>
      <c r="G759" s="55">
        <v>1</v>
      </c>
      <c r="H759" s="55"/>
      <c r="I759" s="55"/>
      <c r="J759" s="55"/>
      <c r="K759" s="57"/>
      <c r="L759" s="55"/>
    </row>
    <row r="760" spans="1:12" s="24" customFormat="1">
      <c r="A760" s="53">
        <v>46001</v>
      </c>
      <c r="B760" s="54">
        <f>Table13[[#This Row],[Date]]</f>
        <v>46001</v>
      </c>
      <c r="C760" s="55" t="s">
        <v>4</v>
      </c>
      <c r="D760" s="59" t="s">
        <v>80</v>
      </c>
      <c r="E760" s="64" t="s">
        <v>18</v>
      </c>
      <c r="F760" s="55" t="s">
        <v>19</v>
      </c>
      <c r="G760" s="55">
        <v>1</v>
      </c>
      <c r="H760" s="55"/>
      <c r="I760" s="55"/>
      <c r="J760" s="55"/>
      <c r="K760" s="57"/>
      <c r="L760" s="55"/>
    </row>
    <row r="761" spans="1:12" s="24" customFormat="1">
      <c r="A761" s="53">
        <v>46001</v>
      </c>
      <c r="B761" s="54">
        <f>Table13[[#This Row],[Date]]</f>
        <v>46001</v>
      </c>
      <c r="C761" s="55" t="s">
        <v>4</v>
      </c>
      <c r="D761" s="59" t="s">
        <v>80</v>
      </c>
      <c r="E761" s="55" t="s">
        <v>21</v>
      </c>
      <c r="F761" s="55" t="s">
        <v>19</v>
      </c>
      <c r="G761" s="55">
        <v>1</v>
      </c>
      <c r="H761" s="55"/>
      <c r="I761" s="55"/>
      <c r="J761" s="55"/>
      <c r="K761" s="57"/>
      <c r="L761" s="55"/>
    </row>
    <row r="762" spans="1:12" s="24" customFormat="1">
      <c r="A762" s="103">
        <v>46002</v>
      </c>
      <c r="B762" s="104">
        <f>Table13[[#This Row],[Date]]</f>
        <v>46002</v>
      </c>
      <c r="C762" s="105" t="s">
        <v>16</v>
      </c>
      <c r="D762" s="109" t="s">
        <v>74</v>
      </c>
      <c r="E762" s="105" t="s">
        <v>47</v>
      </c>
      <c r="F762" s="105" t="s">
        <v>19</v>
      </c>
      <c r="G762" s="105">
        <v>1</v>
      </c>
      <c r="H762" s="105"/>
      <c r="I762" s="105"/>
      <c r="J762" s="105"/>
      <c r="K762" s="108"/>
      <c r="L762" s="105"/>
    </row>
    <row r="763" spans="1:12" s="24" customFormat="1">
      <c r="A763" s="103">
        <v>46002</v>
      </c>
      <c r="B763" s="104">
        <f>Table13[[#This Row],[Date]]</f>
        <v>46002</v>
      </c>
      <c r="C763" s="105" t="s">
        <v>16</v>
      </c>
      <c r="D763" s="109" t="s">
        <v>74</v>
      </c>
      <c r="E763" s="105" t="s">
        <v>53</v>
      </c>
      <c r="F763" s="105" t="s">
        <v>19</v>
      </c>
      <c r="G763" s="105">
        <v>1</v>
      </c>
      <c r="H763" s="105"/>
      <c r="I763" s="105"/>
      <c r="J763" s="105"/>
      <c r="K763" s="108"/>
      <c r="L763" s="105"/>
    </row>
    <row r="764" spans="1:12" s="24" customFormat="1">
      <c r="A764" s="103">
        <v>46002</v>
      </c>
      <c r="B764" s="104">
        <f>Table13[[#This Row],[Date]]</f>
        <v>46002</v>
      </c>
      <c r="C764" s="105" t="s">
        <v>16</v>
      </c>
      <c r="D764" s="109" t="s">
        <v>74</v>
      </c>
      <c r="E764" s="105" t="s">
        <v>42</v>
      </c>
      <c r="F764" s="105" t="s">
        <v>19</v>
      </c>
      <c r="G764" s="105">
        <v>1</v>
      </c>
      <c r="H764" s="105"/>
      <c r="I764" s="105"/>
      <c r="J764" s="105"/>
      <c r="K764" s="108"/>
      <c r="L764" s="105"/>
    </row>
    <row r="765" spans="1:12" s="24" customFormat="1">
      <c r="A765" s="53">
        <v>46002</v>
      </c>
      <c r="B765" s="54">
        <f>Table13[[#This Row],[Date]]</f>
        <v>46002</v>
      </c>
      <c r="C765" s="55" t="s">
        <v>26</v>
      </c>
      <c r="D765" s="61" t="s">
        <v>78</v>
      </c>
      <c r="E765" s="55" t="s">
        <v>18</v>
      </c>
      <c r="F765" s="55" t="s">
        <v>19</v>
      </c>
      <c r="G765" s="55">
        <v>1</v>
      </c>
      <c r="H765" s="55"/>
      <c r="I765" s="55"/>
      <c r="J765" s="55"/>
      <c r="K765" s="57"/>
      <c r="L765" s="55"/>
    </row>
    <row r="766" spans="1:12" s="24" customFormat="1">
      <c r="A766" s="53">
        <v>46002</v>
      </c>
      <c r="B766" s="54">
        <f>Table13[[#This Row],[Date]]</f>
        <v>46002</v>
      </c>
      <c r="C766" s="55" t="s">
        <v>26</v>
      </c>
      <c r="D766" s="61" t="s">
        <v>78</v>
      </c>
      <c r="E766" s="55" t="s">
        <v>21</v>
      </c>
      <c r="F766" s="55" t="s">
        <v>19</v>
      </c>
      <c r="G766" s="55">
        <v>1</v>
      </c>
      <c r="H766" s="55"/>
      <c r="I766" s="55"/>
      <c r="J766" s="55"/>
      <c r="K766" s="57"/>
      <c r="L766" s="55"/>
    </row>
    <row r="767" spans="1:12" s="24" customFormat="1">
      <c r="A767" s="53">
        <v>46002</v>
      </c>
      <c r="B767" s="54">
        <f>Table13[[#This Row],[Date]]</f>
        <v>46002</v>
      </c>
      <c r="C767" s="55" t="s">
        <v>26</v>
      </c>
      <c r="D767" s="61" t="s">
        <v>78</v>
      </c>
      <c r="E767" s="63" t="s">
        <v>28</v>
      </c>
      <c r="F767" s="55" t="s">
        <v>19</v>
      </c>
      <c r="G767" s="55">
        <v>1</v>
      </c>
      <c r="H767" s="55"/>
      <c r="I767" s="55"/>
      <c r="J767" s="55"/>
      <c r="K767" s="57"/>
      <c r="L767" s="55"/>
    </row>
    <row r="768" spans="1:12" s="24" customFormat="1">
      <c r="A768" s="53">
        <v>46002</v>
      </c>
      <c r="B768" s="54">
        <f>Table13[[#This Row],[Date]]</f>
        <v>46002</v>
      </c>
      <c r="C768" s="55" t="s">
        <v>4</v>
      </c>
      <c r="D768" s="59" t="s">
        <v>71</v>
      </c>
      <c r="E768" s="55" t="s">
        <v>59</v>
      </c>
      <c r="F768" s="55" t="s">
        <v>60</v>
      </c>
      <c r="G768" s="55">
        <v>1</v>
      </c>
      <c r="H768" s="55"/>
      <c r="I768" s="55"/>
      <c r="J768" s="55"/>
      <c r="K768" s="57"/>
      <c r="L768" s="55"/>
    </row>
    <row r="769" spans="1:12" s="24" customFormat="1" ht="13.9" customHeight="1">
      <c r="A769" s="53">
        <v>46002</v>
      </c>
      <c r="B769" s="54">
        <f>Table13[[#This Row],[Date]]</f>
        <v>46002</v>
      </c>
      <c r="C769" s="55" t="s">
        <v>4</v>
      </c>
      <c r="D769" s="59" t="s">
        <v>71</v>
      </c>
      <c r="E769" s="55" t="s">
        <v>72</v>
      </c>
      <c r="F769" s="55" t="s">
        <v>60</v>
      </c>
      <c r="G769" s="55">
        <v>1</v>
      </c>
      <c r="H769" s="55"/>
      <c r="I769" s="55"/>
      <c r="J769" s="55"/>
      <c r="K769" s="57"/>
      <c r="L769" s="55"/>
    </row>
    <row r="770" spans="1:12" s="24" customFormat="1" ht="13.9" customHeight="1">
      <c r="A770" s="53">
        <v>46002</v>
      </c>
      <c r="B770" s="54">
        <f>Table13[[#This Row],[Date]]</f>
        <v>46002</v>
      </c>
      <c r="C770" s="55" t="s">
        <v>4</v>
      </c>
      <c r="D770" s="59" t="s">
        <v>71</v>
      </c>
      <c r="E770" s="55" t="s">
        <v>73</v>
      </c>
      <c r="F770" s="55" t="s">
        <v>60</v>
      </c>
      <c r="G770" s="55">
        <v>1</v>
      </c>
      <c r="H770" s="55"/>
      <c r="I770" s="55"/>
      <c r="J770" s="55"/>
      <c r="K770" s="57"/>
      <c r="L770" s="55"/>
    </row>
    <row r="771" spans="1:12" s="24" customFormat="1" ht="13.9" customHeight="1">
      <c r="A771" s="53">
        <v>46003</v>
      </c>
      <c r="B771" s="54">
        <f>Table13[[#This Row],[Date]]</f>
        <v>46003</v>
      </c>
      <c r="C771" s="55" t="s">
        <v>23</v>
      </c>
      <c r="D771" s="59" t="s">
        <v>81</v>
      </c>
      <c r="E771" s="55" t="s">
        <v>18</v>
      </c>
      <c r="F771" s="55" t="s">
        <v>19</v>
      </c>
      <c r="G771" s="55">
        <v>1</v>
      </c>
      <c r="H771" s="55"/>
      <c r="I771" s="55"/>
      <c r="J771" s="55"/>
      <c r="K771" s="57"/>
      <c r="L771" s="55"/>
    </row>
    <row r="772" spans="1:12" s="24" customFormat="1" ht="13.9" customHeight="1">
      <c r="A772" s="53">
        <v>46003</v>
      </c>
      <c r="B772" s="54">
        <f>Table13[[#This Row],[Date]]</f>
        <v>46003</v>
      </c>
      <c r="C772" s="55" t="s">
        <v>23</v>
      </c>
      <c r="D772" s="59" t="s">
        <v>82</v>
      </c>
      <c r="E772" s="55" t="s">
        <v>21</v>
      </c>
      <c r="F772" s="55" t="s">
        <v>19</v>
      </c>
      <c r="G772" s="55">
        <v>1</v>
      </c>
      <c r="H772" s="55"/>
      <c r="I772" s="55"/>
      <c r="J772" s="55"/>
      <c r="K772" s="57"/>
      <c r="L772" s="55"/>
    </row>
    <row r="773" spans="1:12" s="24" customFormat="1" ht="13.9" customHeight="1">
      <c r="A773" s="53">
        <v>46003</v>
      </c>
      <c r="B773" s="54">
        <f>Table13[[#This Row],[Date]]</f>
        <v>46003</v>
      </c>
      <c r="C773" s="55" t="s">
        <v>23</v>
      </c>
      <c r="D773" s="61" t="s">
        <v>83</v>
      </c>
      <c r="E773" s="55" t="s">
        <v>18</v>
      </c>
      <c r="F773" s="55" t="s">
        <v>19</v>
      </c>
      <c r="G773" s="55">
        <v>1</v>
      </c>
      <c r="H773" s="55"/>
      <c r="I773" s="55"/>
      <c r="J773" s="55"/>
      <c r="K773" s="57"/>
      <c r="L773" s="55"/>
    </row>
    <row r="774" spans="1:12" s="24" customFormat="1" ht="13.9" customHeight="1">
      <c r="A774" s="103">
        <v>46003</v>
      </c>
      <c r="B774" s="104">
        <f>Table13[[#This Row],[Date]]</f>
        <v>46003</v>
      </c>
      <c r="C774" s="105" t="s">
        <v>26</v>
      </c>
      <c r="D774" s="106" t="s">
        <v>85</v>
      </c>
      <c r="E774" s="133" t="s">
        <v>18</v>
      </c>
      <c r="F774" s="105" t="s">
        <v>19</v>
      </c>
      <c r="G774" s="105">
        <v>1</v>
      </c>
      <c r="H774" s="105"/>
      <c r="I774" s="105"/>
      <c r="J774" s="105"/>
      <c r="K774" s="108"/>
      <c r="L774" s="105"/>
    </row>
    <row r="775" spans="1:12" s="24" customFormat="1" ht="13.9" customHeight="1">
      <c r="A775" s="103">
        <v>46003</v>
      </c>
      <c r="B775" s="104">
        <f>Table13[[#This Row],[Date]]</f>
        <v>46003</v>
      </c>
      <c r="C775" s="105" t="s">
        <v>26</v>
      </c>
      <c r="D775" s="106" t="s">
        <v>85</v>
      </c>
      <c r="E775" s="133" t="s">
        <v>21</v>
      </c>
      <c r="F775" s="105" t="s">
        <v>19</v>
      </c>
      <c r="G775" s="105">
        <v>1</v>
      </c>
      <c r="H775" s="105"/>
      <c r="I775" s="105"/>
      <c r="J775" s="105"/>
      <c r="K775" s="108"/>
      <c r="L775" s="105"/>
    </row>
    <row r="776" spans="1:12" s="24" customFormat="1" ht="13.9" customHeight="1">
      <c r="A776" s="53">
        <v>46003</v>
      </c>
      <c r="B776" s="54">
        <f>Table13[[#This Row],[Date]]</f>
        <v>46003</v>
      </c>
      <c r="C776" s="55" t="s">
        <v>4</v>
      </c>
      <c r="D776" s="59" t="s">
        <v>71</v>
      </c>
      <c r="E776" s="55" t="s">
        <v>61</v>
      </c>
      <c r="F776" s="55" t="s">
        <v>60</v>
      </c>
      <c r="G776" s="55">
        <v>1</v>
      </c>
      <c r="H776" s="55"/>
      <c r="I776" s="55"/>
      <c r="J776" s="55"/>
      <c r="K776" s="57"/>
      <c r="L776" s="55"/>
    </row>
    <row r="777" spans="1:12" s="24" customFormat="1" ht="13.9" customHeight="1">
      <c r="A777" s="53">
        <v>46003</v>
      </c>
      <c r="B777" s="54">
        <f>Table13[[#This Row],[Date]]</f>
        <v>46003</v>
      </c>
      <c r="C777" s="55" t="s">
        <v>4</v>
      </c>
      <c r="D777" s="59" t="s">
        <v>71</v>
      </c>
      <c r="E777" s="63" t="s">
        <v>76</v>
      </c>
      <c r="F777" s="55" t="s">
        <v>60</v>
      </c>
      <c r="G777" s="55">
        <v>1</v>
      </c>
      <c r="H777" s="55"/>
      <c r="I777" s="55"/>
      <c r="J777" s="55"/>
      <c r="K777" s="57"/>
      <c r="L777" s="55"/>
    </row>
    <row r="778" spans="1:12" s="24" customFormat="1" ht="13.9" customHeight="1">
      <c r="A778" s="53">
        <v>46003</v>
      </c>
      <c r="B778" s="54">
        <f>Table13[[#This Row],[Date]]</f>
        <v>46003</v>
      </c>
      <c r="C778" s="55" t="s">
        <v>4</v>
      </c>
      <c r="D778" s="59" t="s">
        <v>71</v>
      </c>
      <c r="E778" s="55" t="s">
        <v>77</v>
      </c>
      <c r="F778" s="55" t="s">
        <v>60</v>
      </c>
      <c r="G778" s="55">
        <v>1</v>
      </c>
      <c r="H778" s="55"/>
      <c r="I778" s="55"/>
      <c r="J778" s="55"/>
      <c r="K778" s="57"/>
      <c r="L778" s="55"/>
    </row>
    <row r="779" spans="1:12" s="24" customFormat="1" ht="13.9" customHeight="1">
      <c r="A779" s="16">
        <v>46004</v>
      </c>
      <c r="B779" s="18">
        <f>Table13[[#This Row],[Date]]</f>
        <v>46004</v>
      </c>
      <c r="C779" s="10" t="s">
        <v>23</v>
      </c>
      <c r="D779" s="9" t="s">
        <v>86</v>
      </c>
      <c r="E779" s="10" t="s">
        <v>18</v>
      </c>
      <c r="F779" s="10" t="s">
        <v>19</v>
      </c>
      <c r="G779" s="10">
        <v>1</v>
      </c>
      <c r="H779" s="10"/>
      <c r="I779" s="10"/>
      <c r="J779" s="10"/>
      <c r="K779" s="13"/>
      <c r="L779" s="10"/>
    </row>
    <row r="780" spans="1:12" s="24" customFormat="1" ht="13.9" customHeight="1">
      <c r="A780" s="16">
        <v>46004</v>
      </c>
      <c r="B780" s="18">
        <f>Table13[[#This Row],[Date]]</f>
        <v>46004</v>
      </c>
      <c r="C780" s="10" t="s">
        <v>23</v>
      </c>
      <c r="D780" s="9" t="s">
        <v>86</v>
      </c>
      <c r="E780" s="10" t="s">
        <v>21</v>
      </c>
      <c r="F780" s="10" t="s">
        <v>19</v>
      </c>
      <c r="G780" s="10">
        <v>1</v>
      </c>
      <c r="H780" s="10"/>
      <c r="I780" s="10"/>
      <c r="J780" s="10"/>
      <c r="K780" s="13"/>
      <c r="L780" s="10"/>
    </row>
    <row r="781" spans="1:12" s="24" customFormat="1">
      <c r="A781" s="16">
        <v>46004</v>
      </c>
      <c r="B781" s="18">
        <f>Table13[[#This Row],[Date]]</f>
        <v>46004</v>
      </c>
      <c r="C781" s="10" t="s">
        <v>23</v>
      </c>
      <c r="D781" s="9" t="s">
        <v>86</v>
      </c>
      <c r="E781" s="10" t="s">
        <v>49</v>
      </c>
      <c r="F781" s="10" t="s">
        <v>19</v>
      </c>
      <c r="G781" s="10">
        <v>1</v>
      </c>
      <c r="H781" s="10"/>
      <c r="I781" s="10"/>
      <c r="J781" s="10"/>
      <c r="K781" s="13"/>
      <c r="L781" s="10"/>
    </row>
    <row r="782" spans="1:12" s="24" customFormat="1">
      <c r="A782" s="16">
        <v>46004</v>
      </c>
      <c r="B782" s="18">
        <f>Table13[[#This Row],[Date]]</f>
        <v>46004</v>
      </c>
      <c r="C782" s="10" t="s">
        <v>4</v>
      </c>
      <c r="D782" s="11" t="s">
        <v>87</v>
      </c>
      <c r="E782" s="10" t="s">
        <v>88</v>
      </c>
      <c r="F782" s="10" t="s">
        <v>19</v>
      </c>
      <c r="G782" s="10">
        <v>1</v>
      </c>
      <c r="H782" s="10"/>
      <c r="I782" s="10"/>
      <c r="J782" s="10"/>
      <c r="K782" s="13"/>
      <c r="L782" s="10"/>
    </row>
    <row r="783" spans="1:12">
      <c r="A783" s="16">
        <v>46004</v>
      </c>
      <c r="B783" s="18">
        <f>Table13[[#This Row],[Date]]</f>
        <v>46004</v>
      </c>
      <c r="C783" s="10" t="s">
        <v>4</v>
      </c>
      <c r="D783" s="11" t="s">
        <v>87</v>
      </c>
      <c r="E783" s="10" t="s">
        <v>89</v>
      </c>
      <c r="F783" s="10" t="s">
        <v>19</v>
      </c>
      <c r="G783" s="10">
        <v>1</v>
      </c>
      <c r="H783" s="10"/>
      <c r="I783" s="10"/>
      <c r="J783" s="10"/>
      <c r="K783" s="13"/>
      <c r="L783" s="10"/>
    </row>
    <row r="784" spans="1:12">
      <c r="A784" s="16">
        <v>46004</v>
      </c>
      <c r="B784" s="18">
        <f>Table13[[#This Row],[Date]]</f>
        <v>46004</v>
      </c>
      <c r="C784" s="10" t="s">
        <v>4</v>
      </c>
      <c r="D784" s="11" t="s">
        <v>87</v>
      </c>
      <c r="E784" s="10" t="s">
        <v>90</v>
      </c>
      <c r="F784" s="10" t="s">
        <v>19</v>
      </c>
      <c r="G784" s="10">
        <v>1</v>
      </c>
      <c r="H784" s="10"/>
      <c r="I784" s="10"/>
      <c r="J784" s="10"/>
      <c r="K784" s="13"/>
      <c r="L784" s="10"/>
    </row>
    <row r="785" spans="1:12">
      <c r="A785" s="16">
        <v>46004</v>
      </c>
      <c r="B785" s="18">
        <f>Table13[[#This Row],[Date]]</f>
        <v>46004</v>
      </c>
      <c r="C785" s="10" t="s">
        <v>4</v>
      </c>
      <c r="D785" s="11" t="s">
        <v>87</v>
      </c>
      <c r="E785" s="10" t="s">
        <v>91</v>
      </c>
      <c r="F785" s="10" t="s">
        <v>19</v>
      </c>
      <c r="G785" s="10">
        <v>1</v>
      </c>
      <c r="H785" s="10"/>
      <c r="I785" s="10"/>
      <c r="J785" s="10"/>
      <c r="K785" s="13"/>
      <c r="L785" s="10"/>
    </row>
    <row r="786" spans="1:12">
      <c r="A786" s="16">
        <v>46005</v>
      </c>
      <c r="B786" s="18">
        <f>Table13[[#This Row],[Date]]</f>
        <v>46005</v>
      </c>
      <c r="C786" s="10" t="s">
        <v>4</v>
      </c>
      <c r="D786" s="9" t="s">
        <v>92</v>
      </c>
      <c r="E786" s="10" t="s">
        <v>93</v>
      </c>
      <c r="F786" s="10" t="s">
        <v>19</v>
      </c>
      <c r="G786" s="10">
        <v>1</v>
      </c>
      <c r="H786" s="10"/>
      <c r="I786" s="10"/>
      <c r="J786" s="10"/>
      <c r="K786" s="13"/>
      <c r="L786" s="10"/>
    </row>
    <row r="787" spans="1:12">
      <c r="A787" s="16">
        <v>46005</v>
      </c>
      <c r="B787" s="18">
        <f>Table13[[#This Row],[Date]]</f>
        <v>46005</v>
      </c>
      <c r="C787" s="10" t="s">
        <v>4</v>
      </c>
      <c r="D787" s="9" t="s">
        <v>92</v>
      </c>
      <c r="E787" s="10" t="s">
        <v>94</v>
      </c>
      <c r="F787" s="10" t="s">
        <v>19</v>
      </c>
      <c r="G787" s="10">
        <v>1</v>
      </c>
      <c r="H787" s="10"/>
      <c r="I787" s="10"/>
      <c r="J787" s="10"/>
      <c r="K787" s="13"/>
      <c r="L787" s="10"/>
    </row>
    <row r="788" spans="1:12">
      <c r="A788" s="16">
        <v>46005</v>
      </c>
      <c r="B788" s="18">
        <f>Table13[[#This Row],[Date]]</f>
        <v>46005</v>
      </c>
      <c r="C788" s="10" t="s">
        <v>4</v>
      </c>
      <c r="D788" s="9" t="s">
        <v>92</v>
      </c>
      <c r="E788" s="10" t="s">
        <v>95</v>
      </c>
      <c r="F788" s="10" t="s">
        <v>19</v>
      </c>
      <c r="G788" s="10">
        <v>1</v>
      </c>
      <c r="H788" s="10"/>
      <c r="I788" s="10"/>
      <c r="J788" s="10"/>
      <c r="K788" s="13"/>
      <c r="L788" s="10"/>
    </row>
    <row r="789" spans="1:12">
      <c r="A789" s="53">
        <v>46006</v>
      </c>
      <c r="B789" s="54">
        <f>Table13[[#This Row],[Date]]</f>
        <v>46006</v>
      </c>
      <c r="C789" s="55" t="s">
        <v>14</v>
      </c>
      <c r="D789" s="61" t="s">
        <v>161</v>
      </c>
      <c r="E789" s="55" t="s">
        <v>18</v>
      </c>
      <c r="F789" s="55" t="s">
        <v>19</v>
      </c>
      <c r="G789" s="55">
        <v>1</v>
      </c>
      <c r="H789" s="55"/>
      <c r="I789" s="55"/>
      <c r="J789" s="55"/>
      <c r="K789" s="57"/>
      <c r="L789" s="55"/>
    </row>
    <row r="790" spans="1:12">
      <c r="A790" s="53">
        <v>46006</v>
      </c>
      <c r="B790" s="54">
        <f>Table13[[#This Row],[Date]]</f>
        <v>46006</v>
      </c>
      <c r="C790" s="55" t="s">
        <v>14</v>
      </c>
      <c r="D790" s="59" t="s">
        <v>96</v>
      </c>
      <c r="E790" s="55" t="s">
        <v>18</v>
      </c>
      <c r="F790" s="55" t="s">
        <v>19</v>
      </c>
      <c r="G790" s="55">
        <v>1</v>
      </c>
      <c r="H790" s="55"/>
      <c r="I790" s="55"/>
      <c r="J790" s="55"/>
      <c r="K790" s="57"/>
      <c r="L790" s="55"/>
    </row>
    <row r="791" spans="1:12">
      <c r="A791" s="53">
        <v>46006</v>
      </c>
      <c r="B791" s="54">
        <f>Table13[[#This Row],[Date]]</f>
        <v>46006</v>
      </c>
      <c r="C791" s="55" t="s">
        <v>14</v>
      </c>
      <c r="D791" s="59" t="s">
        <v>97</v>
      </c>
      <c r="E791" s="55" t="s">
        <v>18</v>
      </c>
      <c r="F791" s="55" t="s">
        <v>19</v>
      </c>
      <c r="G791" s="55">
        <v>1</v>
      </c>
      <c r="H791" s="55"/>
      <c r="I791" s="55"/>
      <c r="J791" s="55"/>
      <c r="K791" s="57"/>
      <c r="L791" s="55"/>
    </row>
    <row r="792" spans="1:12">
      <c r="A792" s="53">
        <v>46006</v>
      </c>
      <c r="B792" s="54">
        <f>Table13[[#This Row],[Date]]</f>
        <v>46006</v>
      </c>
      <c r="C792" s="55" t="s">
        <v>14</v>
      </c>
      <c r="D792" s="122" t="s">
        <v>100</v>
      </c>
      <c r="E792" s="55" t="s">
        <v>18</v>
      </c>
      <c r="F792" s="55" t="s">
        <v>19</v>
      </c>
      <c r="G792" s="55">
        <v>1</v>
      </c>
      <c r="H792" s="55"/>
      <c r="I792" s="55"/>
      <c r="J792" s="55"/>
      <c r="K792" s="57"/>
      <c r="L792" s="55"/>
    </row>
    <row r="793" spans="1:12">
      <c r="A793" s="53">
        <v>46006</v>
      </c>
      <c r="B793" s="54">
        <f>Table13[[#This Row],[Date]]</f>
        <v>46006</v>
      </c>
      <c r="C793" s="55" t="s">
        <v>16</v>
      </c>
      <c r="D793" s="59" t="s">
        <v>101</v>
      </c>
      <c r="E793" s="64" t="s">
        <v>18</v>
      </c>
      <c r="F793" s="55" t="s">
        <v>19</v>
      </c>
      <c r="G793" s="55">
        <v>1</v>
      </c>
      <c r="H793" s="55"/>
      <c r="I793" s="55"/>
      <c r="J793" s="55"/>
      <c r="K793" s="57"/>
      <c r="L793" s="55"/>
    </row>
    <row r="794" spans="1:12">
      <c r="A794" s="53">
        <v>46006</v>
      </c>
      <c r="B794" s="54">
        <f>Table13[[#This Row],[Date]]</f>
        <v>46006</v>
      </c>
      <c r="C794" s="55" t="s">
        <v>16</v>
      </c>
      <c r="D794" s="59" t="s">
        <v>101</v>
      </c>
      <c r="E794" s="64" t="s">
        <v>21</v>
      </c>
      <c r="F794" s="55" t="s">
        <v>19</v>
      </c>
      <c r="G794" s="55">
        <v>1</v>
      </c>
      <c r="H794" s="55"/>
      <c r="I794" s="55"/>
      <c r="J794" s="55"/>
      <c r="K794" s="57"/>
      <c r="L794" s="55"/>
    </row>
    <row r="795" spans="1:12">
      <c r="A795" s="53">
        <v>46006</v>
      </c>
      <c r="B795" s="54">
        <f>Table13[[#This Row],[Date]]</f>
        <v>46006</v>
      </c>
      <c r="C795" s="55" t="s">
        <v>16</v>
      </c>
      <c r="D795" s="69" t="s">
        <v>101</v>
      </c>
      <c r="E795" s="55" t="s">
        <v>47</v>
      </c>
      <c r="F795" s="55" t="s">
        <v>19</v>
      </c>
      <c r="G795" s="55">
        <v>1</v>
      </c>
      <c r="H795" s="55"/>
      <c r="I795" s="55"/>
      <c r="J795" s="55"/>
      <c r="K795" s="57"/>
      <c r="L795" s="55"/>
    </row>
    <row r="796" spans="1:12">
      <c r="A796" s="53">
        <v>46006</v>
      </c>
      <c r="B796" s="54">
        <f>Table13[[#This Row],[Date]]</f>
        <v>46006</v>
      </c>
      <c r="C796" s="55" t="s">
        <v>23</v>
      </c>
      <c r="D796" s="68" t="s">
        <v>117</v>
      </c>
      <c r="E796" s="55" t="s">
        <v>18</v>
      </c>
      <c r="F796" s="55" t="s">
        <v>99</v>
      </c>
      <c r="G796" s="55">
        <v>1</v>
      </c>
      <c r="H796" s="55"/>
      <c r="I796" s="55"/>
      <c r="J796" s="55"/>
      <c r="K796" s="57"/>
      <c r="L796" s="55"/>
    </row>
    <row r="797" spans="1:12">
      <c r="A797" s="53">
        <v>46006</v>
      </c>
      <c r="B797" s="54">
        <f>Table13[[#This Row],[Date]]</f>
        <v>46006</v>
      </c>
      <c r="C797" s="55" t="s">
        <v>23</v>
      </c>
      <c r="D797" s="68" t="s">
        <v>163</v>
      </c>
      <c r="E797" s="55" t="s">
        <v>18</v>
      </c>
      <c r="F797" s="55" t="s">
        <v>99</v>
      </c>
      <c r="G797" s="55">
        <v>1</v>
      </c>
      <c r="H797" s="55"/>
      <c r="I797" s="55"/>
      <c r="J797" s="55"/>
      <c r="K797" s="57"/>
      <c r="L797" s="55"/>
    </row>
    <row r="798" spans="1:12">
      <c r="A798" s="103">
        <v>46006</v>
      </c>
      <c r="B798" s="104">
        <f>Table13[[#This Row],[Date]]</f>
        <v>46006</v>
      </c>
      <c r="C798" s="105" t="s">
        <v>23</v>
      </c>
      <c r="D798" s="273" t="s">
        <v>164</v>
      </c>
      <c r="E798" s="105" t="s">
        <v>21</v>
      </c>
      <c r="F798" s="105" t="s">
        <v>99</v>
      </c>
      <c r="G798" s="105">
        <v>1</v>
      </c>
      <c r="H798" s="105"/>
      <c r="I798" s="105"/>
      <c r="J798" s="105"/>
      <c r="K798" s="108"/>
      <c r="L798" s="105"/>
    </row>
    <row r="799" spans="1:12">
      <c r="A799" s="53">
        <v>46006</v>
      </c>
      <c r="B799" s="54">
        <f>Table13[[#This Row],[Date]]</f>
        <v>46006</v>
      </c>
      <c r="C799" s="55" t="s">
        <v>26</v>
      </c>
      <c r="D799" s="68" t="s">
        <v>102</v>
      </c>
      <c r="E799" s="64" t="s">
        <v>18</v>
      </c>
      <c r="F799" s="55" t="s">
        <v>19</v>
      </c>
      <c r="G799" s="55">
        <v>1</v>
      </c>
      <c r="H799" s="55"/>
      <c r="I799" s="55"/>
      <c r="J799" s="55"/>
      <c r="K799" s="57"/>
      <c r="L799" s="55"/>
    </row>
    <row r="800" spans="1:12">
      <c r="A800" s="53">
        <v>46006</v>
      </c>
      <c r="B800" s="54">
        <f>Table13[[#This Row],[Date]]</f>
        <v>46006</v>
      </c>
      <c r="C800" s="55" t="s">
        <v>26</v>
      </c>
      <c r="D800" s="68" t="s">
        <v>169</v>
      </c>
      <c r="E800" s="55" t="s">
        <v>18</v>
      </c>
      <c r="F800" s="55" t="s">
        <v>19</v>
      </c>
      <c r="G800" s="55">
        <v>1</v>
      </c>
      <c r="H800" s="55"/>
      <c r="I800" s="55"/>
      <c r="J800" s="55"/>
      <c r="K800" s="57"/>
      <c r="L800" s="55"/>
    </row>
    <row r="801" spans="1:12">
      <c r="A801" s="53">
        <v>46006</v>
      </c>
      <c r="B801" s="54">
        <f>Table13[[#This Row],[Date]]</f>
        <v>46006</v>
      </c>
      <c r="C801" s="55" t="s">
        <v>26</v>
      </c>
      <c r="D801" s="68" t="s">
        <v>103</v>
      </c>
      <c r="E801" s="55" t="s">
        <v>18</v>
      </c>
      <c r="F801" s="55" t="s">
        <v>19</v>
      </c>
      <c r="G801" s="55">
        <v>1</v>
      </c>
      <c r="H801" s="55"/>
      <c r="I801" s="55"/>
      <c r="J801" s="55"/>
      <c r="K801" s="57"/>
      <c r="L801" s="55"/>
    </row>
    <row r="802" spans="1:12">
      <c r="A802" s="53">
        <v>46006</v>
      </c>
      <c r="B802" s="54">
        <f>Table13[[#This Row],[Date]]</f>
        <v>46006</v>
      </c>
      <c r="C802" s="55" t="s">
        <v>26</v>
      </c>
      <c r="D802" s="68" t="s">
        <v>103</v>
      </c>
      <c r="E802" s="55" t="s">
        <v>21</v>
      </c>
      <c r="F802" s="55" t="s">
        <v>19</v>
      </c>
      <c r="G802" s="55">
        <v>1</v>
      </c>
      <c r="H802" s="55"/>
      <c r="I802" s="55"/>
      <c r="J802" s="55"/>
      <c r="K802" s="57"/>
      <c r="L802" s="55"/>
    </row>
    <row r="803" spans="1:12">
      <c r="A803" s="53">
        <v>46007</v>
      </c>
      <c r="B803" s="54">
        <f>Table13[[#This Row],[Date]]</f>
        <v>46007</v>
      </c>
      <c r="C803" s="55" t="s">
        <v>14</v>
      </c>
      <c r="D803" s="61" t="s">
        <v>162</v>
      </c>
      <c r="E803" s="55" t="s">
        <v>18</v>
      </c>
      <c r="F803" s="55" t="s">
        <v>99</v>
      </c>
      <c r="G803" s="55">
        <v>1</v>
      </c>
      <c r="H803" s="55"/>
      <c r="I803" s="55"/>
      <c r="J803" s="55"/>
      <c r="K803" s="57"/>
      <c r="L803" s="55"/>
    </row>
    <row r="804" spans="1:12">
      <c r="A804" s="53">
        <v>46007</v>
      </c>
      <c r="B804" s="54">
        <f>Table13[[#This Row],[Date]]</f>
        <v>46007</v>
      </c>
      <c r="C804" s="55" t="s">
        <v>14</v>
      </c>
      <c r="D804" s="61" t="s">
        <v>181</v>
      </c>
      <c r="E804" s="55" t="s">
        <v>18</v>
      </c>
      <c r="F804" s="55" t="s">
        <v>19</v>
      </c>
      <c r="G804" s="55">
        <v>1</v>
      </c>
      <c r="H804" s="55"/>
      <c r="I804" s="55"/>
      <c r="J804" s="55"/>
      <c r="K804" s="57"/>
      <c r="L804" s="55"/>
    </row>
    <row r="805" spans="1:12">
      <c r="A805" s="53">
        <v>46007</v>
      </c>
      <c r="B805" s="54">
        <f>Table13[[#This Row],[Date]]</f>
        <v>46007</v>
      </c>
      <c r="C805" s="55" t="s">
        <v>14</v>
      </c>
      <c r="D805" s="61" t="s">
        <v>182</v>
      </c>
      <c r="E805" s="55" t="s">
        <v>18</v>
      </c>
      <c r="F805" s="55" t="s">
        <v>19</v>
      </c>
      <c r="G805" s="55">
        <v>1</v>
      </c>
      <c r="H805" s="55"/>
      <c r="I805" s="55"/>
      <c r="J805" s="55"/>
      <c r="K805" s="57"/>
      <c r="L805" s="55"/>
    </row>
    <row r="806" spans="1:12" s="24" customFormat="1">
      <c r="A806" s="53">
        <v>46007</v>
      </c>
      <c r="B806" s="54">
        <f>Table13[[#This Row],[Date]]</f>
        <v>46007</v>
      </c>
      <c r="C806" s="55" t="s">
        <v>14</v>
      </c>
      <c r="D806" s="59" t="s">
        <v>104</v>
      </c>
      <c r="E806" s="55" t="s">
        <v>72</v>
      </c>
      <c r="F806" s="55" t="s">
        <v>60</v>
      </c>
      <c r="G806" s="55">
        <v>1</v>
      </c>
      <c r="H806" s="55"/>
      <c r="I806" s="55"/>
      <c r="J806" s="55"/>
      <c r="K806" s="57"/>
      <c r="L806" s="55"/>
    </row>
    <row r="807" spans="1:12" s="24" customFormat="1">
      <c r="A807" s="53">
        <v>46007</v>
      </c>
      <c r="B807" s="54">
        <f>Table13[[#This Row],[Date]]</f>
        <v>46007</v>
      </c>
      <c r="C807" s="55" t="s">
        <v>14</v>
      </c>
      <c r="D807" s="59" t="s">
        <v>104</v>
      </c>
      <c r="E807" s="55" t="s">
        <v>76</v>
      </c>
      <c r="F807" s="55" t="s">
        <v>60</v>
      </c>
      <c r="G807" s="55">
        <v>1</v>
      </c>
      <c r="H807" s="55"/>
      <c r="I807" s="55"/>
      <c r="J807" s="55"/>
      <c r="K807" s="57"/>
      <c r="L807" s="55"/>
    </row>
    <row r="808" spans="1:12" s="24" customFormat="1">
      <c r="A808" s="53">
        <v>46007</v>
      </c>
      <c r="B808" s="54">
        <f>Table13[[#This Row],[Date]]</f>
        <v>46007</v>
      </c>
      <c r="C808" s="55" t="s">
        <v>16</v>
      </c>
      <c r="D808" s="61" t="s">
        <v>183</v>
      </c>
      <c r="E808" s="55" t="s">
        <v>18</v>
      </c>
      <c r="F808" s="55" t="s">
        <v>99</v>
      </c>
      <c r="G808" s="55">
        <v>1</v>
      </c>
      <c r="H808" s="55"/>
      <c r="I808" s="55"/>
      <c r="J808" s="55"/>
      <c r="K808" s="57"/>
      <c r="L808" s="55"/>
    </row>
    <row r="809" spans="1:12" s="24" customFormat="1">
      <c r="A809" s="48">
        <v>46007</v>
      </c>
      <c r="B809" s="49">
        <f>Table13[[#This Row],[Date]]</f>
        <v>46007</v>
      </c>
      <c r="C809" s="50" t="s">
        <v>4</v>
      </c>
      <c r="D809" s="51" t="s">
        <v>32</v>
      </c>
      <c r="E809" s="50"/>
      <c r="F809" s="50"/>
      <c r="G809" s="50"/>
      <c r="H809" s="50"/>
      <c r="I809" s="50"/>
      <c r="J809" s="50"/>
      <c r="K809" s="52"/>
      <c r="L809" s="50"/>
    </row>
    <row r="810" spans="1:12" s="24" customFormat="1">
      <c r="A810" s="53">
        <v>46008</v>
      </c>
      <c r="B810" s="54">
        <f>Table13[[#This Row],[Date]]</f>
        <v>46008</v>
      </c>
      <c r="C810" s="55" t="s">
        <v>16</v>
      </c>
      <c r="D810" s="59" t="s">
        <v>105</v>
      </c>
      <c r="E810" s="77" t="s">
        <v>18</v>
      </c>
      <c r="F810" s="55" t="s">
        <v>19</v>
      </c>
      <c r="G810" s="55">
        <v>1</v>
      </c>
      <c r="H810" s="55"/>
      <c r="I810" s="55"/>
      <c r="J810" s="55"/>
      <c r="K810" s="57"/>
      <c r="L810" s="55"/>
    </row>
    <row r="811" spans="1:12" s="24" customFormat="1">
      <c r="A811" s="53">
        <v>46008</v>
      </c>
      <c r="B811" s="54">
        <f>Table13[[#This Row],[Date]]</f>
        <v>46008</v>
      </c>
      <c r="C811" s="55" t="s">
        <v>16</v>
      </c>
      <c r="D811" s="59" t="s">
        <v>105</v>
      </c>
      <c r="E811" s="77" t="s">
        <v>21</v>
      </c>
      <c r="F811" s="55" t="s">
        <v>19</v>
      </c>
      <c r="G811" s="55">
        <v>1</v>
      </c>
      <c r="H811" s="55"/>
      <c r="I811" s="55"/>
      <c r="J811" s="55"/>
      <c r="K811" s="57"/>
      <c r="L811" s="55"/>
    </row>
    <row r="812" spans="1:12" s="24" customFormat="1">
      <c r="A812" s="53">
        <v>46008</v>
      </c>
      <c r="B812" s="54">
        <f>Table13[[#This Row],[Date]]</f>
        <v>46008</v>
      </c>
      <c r="C812" s="55" t="s">
        <v>16</v>
      </c>
      <c r="D812" s="59" t="s">
        <v>105</v>
      </c>
      <c r="E812" s="77" t="s">
        <v>49</v>
      </c>
      <c r="F812" s="55" t="s">
        <v>19</v>
      </c>
      <c r="G812" s="55">
        <v>1</v>
      </c>
      <c r="H812" s="55"/>
      <c r="I812" s="55"/>
      <c r="J812" s="55"/>
      <c r="K812" s="57"/>
      <c r="L812" s="55"/>
    </row>
    <row r="813" spans="1:12" s="24" customFormat="1">
      <c r="A813" s="53">
        <v>46008</v>
      </c>
      <c r="B813" s="54">
        <f>Table13[[#This Row],[Date]]</f>
        <v>46008</v>
      </c>
      <c r="C813" s="55" t="s">
        <v>23</v>
      </c>
      <c r="D813" s="61" t="s">
        <v>106</v>
      </c>
      <c r="E813" s="64" t="s">
        <v>28</v>
      </c>
      <c r="F813" s="55" t="s">
        <v>19</v>
      </c>
      <c r="G813" s="55">
        <v>1</v>
      </c>
      <c r="H813" s="55"/>
      <c r="I813" s="55"/>
      <c r="J813" s="55"/>
      <c r="K813" s="57"/>
      <c r="L813" s="55"/>
    </row>
    <row r="814" spans="1:12" s="24" customFormat="1">
      <c r="A814" s="53">
        <v>46008</v>
      </c>
      <c r="B814" s="54">
        <f>Table13[[#This Row],[Date]]</f>
        <v>46008</v>
      </c>
      <c r="C814" s="55" t="s">
        <v>23</v>
      </c>
      <c r="D814" s="61" t="s">
        <v>106</v>
      </c>
      <c r="E814" s="55" t="s">
        <v>107</v>
      </c>
      <c r="F814" s="55" t="s">
        <v>19</v>
      </c>
      <c r="G814" s="55">
        <v>1</v>
      </c>
      <c r="H814" s="55"/>
      <c r="I814" s="55"/>
      <c r="J814" s="55"/>
      <c r="K814" s="57"/>
      <c r="L814" s="55"/>
    </row>
    <row r="815" spans="1:12" s="24" customFormat="1">
      <c r="A815" s="53">
        <v>46008</v>
      </c>
      <c r="B815" s="54">
        <f>Table13[[#This Row],[Date]]</f>
        <v>46008</v>
      </c>
      <c r="C815" s="55" t="s">
        <v>23</v>
      </c>
      <c r="D815" s="61" t="s">
        <v>106</v>
      </c>
      <c r="E815" s="64" t="s">
        <v>41</v>
      </c>
      <c r="F815" s="55" t="s">
        <v>19</v>
      </c>
      <c r="G815" s="55">
        <v>1</v>
      </c>
      <c r="H815" s="55"/>
      <c r="I815" s="55"/>
      <c r="J815" s="55"/>
      <c r="K815" s="57"/>
      <c r="L815" s="55"/>
    </row>
    <row r="816" spans="1:12" s="24" customFormat="1">
      <c r="A816" s="53">
        <v>46008</v>
      </c>
      <c r="B816" s="54">
        <f>Table13[[#This Row],[Date]]</f>
        <v>46008</v>
      </c>
      <c r="C816" s="55" t="s">
        <v>26</v>
      </c>
      <c r="D816" s="61" t="s">
        <v>108</v>
      </c>
      <c r="E816" s="55" t="s">
        <v>28</v>
      </c>
      <c r="F816" s="55" t="s">
        <v>19</v>
      </c>
      <c r="G816" s="55">
        <v>1</v>
      </c>
      <c r="H816" s="55"/>
      <c r="I816" s="55"/>
      <c r="J816" s="55"/>
      <c r="K816" s="57"/>
      <c r="L816" s="55"/>
    </row>
    <row r="817" spans="1:12" s="24" customFormat="1">
      <c r="A817" s="53">
        <v>46008</v>
      </c>
      <c r="B817" s="54">
        <f>Table13[[#This Row],[Date]]</f>
        <v>46008</v>
      </c>
      <c r="C817" s="55" t="s">
        <v>26</v>
      </c>
      <c r="D817" s="61" t="s">
        <v>108</v>
      </c>
      <c r="E817" s="55" t="s">
        <v>107</v>
      </c>
      <c r="F817" s="55" t="s">
        <v>19</v>
      </c>
      <c r="G817" s="55">
        <v>1</v>
      </c>
      <c r="H817" s="55"/>
      <c r="I817" s="55"/>
      <c r="J817" s="55"/>
      <c r="K817" s="57"/>
      <c r="L817" s="55"/>
    </row>
    <row r="818" spans="1:12" s="24" customFormat="1">
      <c r="A818" s="53">
        <v>46008</v>
      </c>
      <c r="B818" s="54">
        <f>Table13[[#This Row],[Date]]</f>
        <v>46008</v>
      </c>
      <c r="C818" s="55" t="s">
        <v>26</v>
      </c>
      <c r="D818" s="61" t="s">
        <v>108</v>
      </c>
      <c r="E818" s="55" t="s">
        <v>35</v>
      </c>
      <c r="F818" s="55" t="s">
        <v>19</v>
      </c>
      <c r="G818" s="55">
        <v>1</v>
      </c>
      <c r="H818" s="55"/>
      <c r="I818" s="55"/>
      <c r="J818" s="55"/>
      <c r="K818" s="57"/>
      <c r="L818" s="55"/>
    </row>
    <row r="819" spans="1:12" s="24" customFormat="1">
      <c r="A819" s="53">
        <v>46008</v>
      </c>
      <c r="B819" s="54">
        <f>Table13[[#This Row],[Date]]</f>
        <v>46008</v>
      </c>
      <c r="C819" s="55" t="s">
        <v>26</v>
      </c>
      <c r="D819" s="61" t="s">
        <v>108</v>
      </c>
      <c r="E819" s="55" t="s">
        <v>109</v>
      </c>
      <c r="F819" s="55" t="s">
        <v>19</v>
      </c>
      <c r="G819" s="55">
        <v>1</v>
      </c>
      <c r="H819" s="55"/>
      <c r="I819" s="55"/>
      <c r="J819" s="55"/>
      <c r="K819" s="57"/>
      <c r="L819" s="55"/>
    </row>
    <row r="820" spans="1:12" s="24" customFormat="1">
      <c r="A820" s="53">
        <v>46009</v>
      </c>
      <c r="B820" s="54">
        <f>Table13[[#This Row],[Date]]</f>
        <v>46009</v>
      </c>
      <c r="C820" s="55" t="s">
        <v>14</v>
      </c>
      <c r="D820" s="59" t="s">
        <v>111</v>
      </c>
      <c r="E820" s="55" t="s">
        <v>18</v>
      </c>
      <c r="F820" s="55" t="s">
        <v>99</v>
      </c>
      <c r="G820" s="55">
        <v>1</v>
      </c>
      <c r="H820" s="55"/>
      <c r="I820" s="55"/>
      <c r="J820" s="55"/>
      <c r="K820" s="57"/>
      <c r="L820" s="55"/>
    </row>
    <row r="821" spans="1:12" s="24" customFormat="1">
      <c r="A821" s="53">
        <v>46009</v>
      </c>
      <c r="B821" s="54">
        <f>Table13[[#This Row],[Date]]</f>
        <v>46009</v>
      </c>
      <c r="C821" s="55" t="s">
        <v>16</v>
      </c>
      <c r="D821" s="59" t="s">
        <v>105</v>
      </c>
      <c r="E821" s="77" t="s">
        <v>47</v>
      </c>
      <c r="F821" s="55" t="s">
        <v>19</v>
      </c>
      <c r="G821" s="55">
        <v>1</v>
      </c>
      <c r="H821" s="55"/>
      <c r="I821" s="55"/>
      <c r="J821" s="55"/>
      <c r="K821" s="57"/>
      <c r="L821" s="55"/>
    </row>
    <row r="822" spans="1:12" s="24" customFormat="1">
      <c r="A822" s="53">
        <v>46009</v>
      </c>
      <c r="B822" s="54">
        <f>Table13[[#This Row],[Date]]</f>
        <v>46009</v>
      </c>
      <c r="C822" s="55" t="s">
        <v>16</v>
      </c>
      <c r="D822" s="59" t="s">
        <v>105</v>
      </c>
      <c r="E822" s="77" t="s">
        <v>53</v>
      </c>
      <c r="F822" s="55" t="s">
        <v>19</v>
      </c>
      <c r="G822" s="55">
        <v>1</v>
      </c>
      <c r="H822" s="55"/>
      <c r="I822" s="55"/>
      <c r="J822" s="55"/>
      <c r="K822" s="57"/>
      <c r="L822" s="55"/>
    </row>
    <row r="823" spans="1:12" s="24" customFormat="1">
      <c r="A823" s="53">
        <v>46009</v>
      </c>
      <c r="B823" s="54">
        <f>Table13[[#This Row],[Date]]</f>
        <v>46009</v>
      </c>
      <c r="C823" s="55" t="s">
        <v>16</v>
      </c>
      <c r="D823" s="59" t="s">
        <v>105</v>
      </c>
      <c r="E823" s="77" t="s">
        <v>41</v>
      </c>
      <c r="F823" s="55" t="s">
        <v>19</v>
      </c>
      <c r="G823" s="55">
        <v>1</v>
      </c>
      <c r="H823" s="55"/>
      <c r="I823" s="55"/>
      <c r="J823" s="55"/>
      <c r="K823" s="57"/>
      <c r="L823" s="55"/>
    </row>
    <row r="824" spans="1:12" s="24" customFormat="1">
      <c r="A824" s="53">
        <v>46009</v>
      </c>
      <c r="B824" s="54">
        <f>Table13[[#This Row],[Date]]</f>
        <v>46009</v>
      </c>
      <c r="C824" s="55" t="s">
        <v>23</v>
      </c>
      <c r="D824" s="59" t="s">
        <v>106</v>
      </c>
      <c r="E824" s="64" t="s">
        <v>18</v>
      </c>
      <c r="F824" s="55" t="s">
        <v>19</v>
      </c>
      <c r="G824" s="55">
        <v>1</v>
      </c>
      <c r="H824" s="55"/>
      <c r="I824" s="55"/>
      <c r="J824" s="55"/>
      <c r="K824" s="57"/>
      <c r="L824" s="55"/>
    </row>
    <row r="825" spans="1:12" s="24" customFormat="1">
      <c r="A825" s="53">
        <v>46009</v>
      </c>
      <c r="B825" s="54">
        <f>Table13[[#This Row],[Date]]</f>
        <v>46009</v>
      </c>
      <c r="C825" s="55" t="s">
        <v>23</v>
      </c>
      <c r="D825" s="59" t="s">
        <v>106</v>
      </c>
      <c r="E825" s="64" t="s">
        <v>21</v>
      </c>
      <c r="F825" s="55" t="s">
        <v>19</v>
      </c>
      <c r="G825" s="55">
        <v>1</v>
      </c>
      <c r="H825" s="55"/>
      <c r="I825" s="55"/>
      <c r="J825" s="55"/>
      <c r="K825" s="57"/>
      <c r="L825" s="55"/>
    </row>
    <row r="826" spans="1:12" s="24" customFormat="1">
      <c r="A826" s="53">
        <v>46009</v>
      </c>
      <c r="B826" s="54">
        <f>Table13[[#This Row],[Date]]</f>
        <v>46009</v>
      </c>
      <c r="C826" s="55" t="s">
        <v>23</v>
      </c>
      <c r="D826" s="59" t="s">
        <v>106</v>
      </c>
      <c r="E826" s="64" t="s">
        <v>49</v>
      </c>
      <c r="F826" s="55" t="s">
        <v>19</v>
      </c>
      <c r="G826" s="55">
        <v>1</v>
      </c>
      <c r="H826" s="55"/>
      <c r="I826" s="55"/>
      <c r="J826" s="55"/>
      <c r="K826" s="57"/>
      <c r="L826" s="55"/>
    </row>
    <row r="827" spans="1:12" s="24" customFormat="1">
      <c r="A827" s="53">
        <v>46009</v>
      </c>
      <c r="B827" s="54">
        <f>Table13[[#This Row],[Date]]</f>
        <v>46009</v>
      </c>
      <c r="C827" s="55" t="s">
        <v>26</v>
      </c>
      <c r="D827" s="59" t="s">
        <v>110</v>
      </c>
      <c r="E827" s="55" t="s">
        <v>18</v>
      </c>
      <c r="F827" s="55" t="s">
        <v>19</v>
      </c>
      <c r="G827" s="55">
        <v>1</v>
      </c>
      <c r="H827" s="55"/>
      <c r="I827" s="55"/>
      <c r="J827" s="55"/>
      <c r="K827" s="57"/>
      <c r="L827" s="55"/>
    </row>
    <row r="828" spans="1:12" s="24" customFormat="1">
      <c r="A828" s="53">
        <v>46009</v>
      </c>
      <c r="B828" s="54">
        <f>Table13[[#This Row],[Date]]</f>
        <v>46009</v>
      </c>
      <c r="C828" s="55" t="s">
        <v>26</v>
      </c>
      <c r="D828" s="59" t="s">
        <v>110</v>
      </c>
      <c r="E828" s="55" t="s">
        <v>21</v>
      </c>
      <c r="F828" s="55" t="s">
        <v>19</v>
      </c>
      <c r="G828" s="55">
        <v>1</v>
      </c>
      <c r="H828" s="55"/>
      <c r="I828" s="55"/>
      <c r="J828" s="55"/>
      <c r="K828" s="57"/>
      <c r="L828" s="55"/>
    </row>
    <row r="829" spans="1:12" s="24" customFormat="1">
      <c r="A829" s="41">
        <v>46010</v>
      </c>
      <c r="B829" s="42">
        <f>Table13[[#This Row],[Date]]</f>
        <v>46010</v>
      </c>
      <c r="C829" s="43"/>
      <c r="D829" s="44" t="s">
        <v>184</v>
      </c>
      <c r="E829" s="43"/>
      <c r="F829" s="43"/>
      <c r="G829" s="43"/>
      <c r="H829" s="43"/>
      <c r="I829" s="43"/>
      <c r="J829" s="43"/>
      <c r="K829" s="45"/>
      <c r="L829" s="43"/>
    </row>
    <row r="830" spans="1:12" s="24" customFormat="1">
      <c r="A830" s="16">
        <v>46011</v>
      </c>
      <c r="B830" s="18">
        <f>Table13[[#This Row],[Date]]</f>
        <v>46011</v>
      </c>
      <c r="C830" s="10" t="s">
        <v>4</v>
      </c>
      <c r="D830" s="9" t="s">
        <v>87</v>
      </c>
      <c r="E830" s="8" t="s">
        <v>72</v>
      </c>
      <c r="F830" s="10" t="s">
        <v>60</v>
      </c>
      <c r="G830" s="10">
        <v>1</v>
      </c>
      <c r="H830" s="10"/>
      <c r="I830" s="10"/>
      <c r="J830" s="10"/>
      <c r="K830" s="13"/>
      <c r="L830" s="10"/>
    </row>
    <row r="831" spans="1:12" s="24" customFormat="1">
      <c r="A831" s="16">
        <v>46011</v>
      </c>
      <c r="B831" s="18">
        <f>Table13[[#This Row],[Date]]</f>
        <v>46011</v>
      </c>
      <c r="C831" s="10" t="s">
        <v>4</v>
      </c>
      <c r="D831" s="9" t="s">
        <v>87</v>
      </c>
      <c r="E831" s="8" t="s">
        <v>76</v>
      </c>
      <c r="F831" s="10" t="s">
        <v>60</v>
      </c>
      <c r="G831" s="10">
        <v>1</v>
      </c>
      <c r="H831" s="10"/>
      <c r="I831" s="10"/>
      <c r="J831" s="10"/>
      <c r="K831" s="13"/>
      <c r="L831" s="10"/>
    </row>
    <row r="832" spans="1:12" s="24" customFormat="1">
      <c r="A832" s="16">
        <v>46011</v>
      </c>
      <c r="B832" s="18">
        <f>Table13[[#This Row],[Date]]</f>
        <v>46011</v>
      </c>
      <c r="C832" s="10" t="s">
        <v>4</v>
      </c>
      <c r="D832" s="9" t="s">
        <v>87</v>
      </c>
      <c r="E832" s="8" t="s">
        <v>28</v>
      </c>
      <c r="F832" s="10" t="s">
        <v>19</v>
      </c>
      <c r="G832" s="10">
        <v>1</v>
      </c>
      <c r="H832" s="10"/>
      <c r="I832" s="10"/>
      <c r="J832" s="10"/>
      <c r="K832" s="13"/>
      <c r="L832" s="10"/>
    </row>
    <row r="833" spans="1:12" s="24" customFormat="1">
      <c r="A833" s="16">
        <v>46011</v>
      </c>
      <c r="B833" s="18">
        <f>Table13[[#This Row],[Date]]</f>
        <v>46011</v>
      </c>
      <c r="C833" s="10" t="s">
        <v>4</v>
      </c>
      <c r="D833" s="9" t="s">
        <v>87</v>
      </c>
      <c r="E833" s="8" t="s">
        <v>107</v>
      </c>
      <c r="F833" s="10" t="s">
        <v>19</v>
      </c>
      <c r="G833" s="10">
        <v>1</v>
      </c>
      <c r="H833" s="10"/>
      <c r="I833" s="10"/>
      <c r="J833" s="10"/>
      <c r="K833" s="13"/>
      <c r="L833" s="10"/>
    </row>
    <row r="834" spans="1:12" s="24" customFormat="1">
      <c r="A834" s="16">
        <v>46012</v>
      </c>
      <c r="B834" s="18">
        <f>Table13[[#This Row],[Date]]</f>
        <v>46012</v>
      </c>
      <c r="C834" s="10" t="s">
        <v>4</v>
      </c>
      <c r="D834" s="12" t="s">
        <v>185</v>
      </c>
      <c r="E834" s="10"/>
      <c r="F834" s="10"/>
      <c r="G834" s="10"/>
      <c r="H834" s="10"/>
      <c r="I834" s="10"/>
      <c r="J834" s="10"/>
      <c r="K834" s="13"/>
      <c r="L834" s="10"/>
    </row>
    <row r="835" spans="1:12" s="24" customFormat="1">
      <c r="A835" s="15">
        <v>46013</v>
      </c>
      <c r="B835" s="54">
        <f>Table13[[#This Row],[Date]]</f>
        <v>46013</v>
      </c>
      <c r="C835" s="55" t="s">
        <v>14</v>
      </c>
      <c r="D835" s="59" t="s">
        <v>124</v>
      </c>
      <c r="E835" s="55" t="s">
        <v>18</v>
      </c>
      <c r="F835" s="55" t="s">
        <v>19</v>
      </c>
      <c r="G835" s="55">
        <v>1</v>
      </c>
      <c r="H835" s="55"/>
      <c r="I835" s="55"/>
      <c r="J835" s="55"/>
      <c r="K835" s="57"/>
      <c r="L835" s="55"/>
    </row>
    <row r="836" spans="1:12" s="24" customFormat="1">
      <c r="A836" s="15">
        <v>46013</v>
      </c>
      <c r="B836" s="54">
        <f>Table13[[#This Row],[Date]]</f>
        <v>46013</v>
      </c>
      <c r="C836" s="55" t="s">
        <v>14</v>
      </c>
      <c r="D836" s="59" t="s">
        <v>145</v>
      </c>
      <c r="E836" s="55" t="s">
        <v>18</v>
      </c>
      <c r="F836" s="55" t="s">
        <v>19</v>
      </c>
      <c r="G836" s="55">
        <v>1</v>
      </c>
      <c r="H836" s="55"/>
      <c r="I836" s="55"/>
      <c r="J836" s="55"/>
      <c r="K836" s="57"/>
      <c r="L836" s="55"/>
    </row>
    <row r="837" spans="1:12" s="24" customFormat="1">
      <c r="A837" s="53">
        <v>46013</v>
      </c>
      <c r="B837" s="54">
        <f>Table13[[#This Row],[Date]]</f>
        <v>46013</v>
      </c>
      <c r="C837" s="55" t="s">
        <v>14</v>
      </c>
      <c r="D837" s="61" t="s">
        <v>125</v>
      </c>
      <c r="E837" s="55" t="s">
        <v>18</v>
      </c>
      <c r="F837" s="55" t="s">
        <v>19</v>
      </c>
      <c r="G837" s="55">
        <v>1</v>
      </c>
      <c r="H837" s="55"/>
      <c r="I837" s="55"/>
      <c r="J837" s="55"/>
      <c r="K837" s="57"/>
      <c r="L837" s="55"/>
    </row>
    <row r="838" spans="1:12" s="24" customFormat="1">
      <c r="A838" s="53">
        <v>46013</v>
      </c>
      <c r="B838" s="54">
        <f>Table13[[#This Row],[Date]]</f>
        <v>46013</v>
      </c>
      <c r="C838" s="55" t="s">
        <v>16</v>
      </c>
      <c r="D838" s="59" t="s">
        <v>119</v>
      </c>
      <c r="E838" s="55" t="s">
        <v>47</v>
      </c>
      <c r="F838" s="55" t="s">
        <v>19</v>
      </c>
      <c r="G838" s="55">
        <v>1</v>
      </c>
      <c r="H838" s="55"/>
      <c r="I838" s="55"/>
      <c r="J838" s="55"/>
      <c r="K838" s="57"/>
      <c r="L838" s="55"/>
    </row>
    <row r="839" spans="1:12" s="24" customFormat="1">
      <c r="A839" s="53">
        <v>46013</v>
      </c>
      <c r="B839" s="54">
        <f>Table13[[#This Row],[Date]]</f>
        <v>46013</v>
      </c>
      <c r="C839" s="55" t="s">
        <v>16</v>
      </c>
      <c r="D839" s="59" t="s">
        <v>119</v>
      </c>
      <c r="E839" s="55" t="s">
        <v>47</v>
      </c>
      <c r="F839" s="55" t="s">
        <v>19</v>
      </c>
      <c r="G839" s="55">
        <v>1</v>
      </c>
      <c r="H839" s="55"/>
      <c r="I839" s="55"/>
      <c r="J839" s="55"/>
      <c r="K839" s="57"/>
      <c r="L839" s="55"/>
    </row>
    <row r="840" spans="1:12" s="24" customFormat="1">
      <c r="A840" s="53">
        <v>46013</v>
      </c>
      <c r="B840" s="54">
        <f>Table13[[#This Row],[Date]]</f>
        <v>46013</v>
      </c>
      <c r="C840" s="55" t="s">
        <v>23</v>
      </c>
      <c r="D840" s="59" t="s">
        <v>114</v>
      </c>
      <c r="E840" s="55" t="s">
        <v>18</v>
      </c>
      <c r="F840" s="55" t="s">
        <v>19</v>
      </c>
      <c r="G840" s="55">
        <v>1</v>
      </c>
      <c r="H840" s="55"/>
      <c r="I840" s="55"/>
      <c r="J840" s="55"/>
      <c r="K840" s="57"/>
      <c r="L840" s="55"/>
    </row>
    <row r="841" spans="1:12" s="24" customFormat="1">
      <c r="A841" s="53">
        <v>46013</v>
      </c>
      <c r="B841" s="54">
        <f>Table13[[#This Row],[Date]]</f>
        <v>46013</v>
      </c>
      <c r="C841" s="55" t="s">
        <v>23</v>
      </c>
      <c r="D841" s="59" t="s">
        <v>114</v>
      </c>
      <c r="E841" s="55" t="s">
        <v>21</v>
      </c>
      <c r="F841" s="55" t="s">
        <v>19</v>
      </c>
      <c r="G841" s="55">
        <v>1</v>
      </c>
      <c r="H841" s="55"/>
      <c r="I841" s="55"/>
      <c r="J841" s="55"/>
      <c r="K841" s="57"/>
      <c r="L841" s="55"/>
    </row>
    <row r="842" spans="1:12" s="24" customFormat="1">
      <c r="A842" s="53">
        <v>46013</v>
      </c>
      <c r="B842" s="54">
        <f>Table13[[#This Row],[Date]]</f>
        <v>46013</v>
      </c>
      <c r="C842" s="55" t="s">
        <v>23</v>
      </c>
      <c r="D842" s="59" t="s">
        <v>121</v>
      </c>
      <c r="E842" s="55" t="s">
        <v>18</v>
      </c>
      <c r="F842" s="55" t="s">
        <v>19</v>
      </c>
      <c r="G842" s="55">
        <v>1</v>
      </c>
      <c r="H842" s="55"/>
      <c r="I842" s="55"/>
      <c r="J842" s="55"/>
      <c r="K842" s="57"/>
      <c r="L842" s="55"/>
    </row>
    <row r="843" spans="1:12" s="24" customFormat="1">
      <c r="A843" s="53">
        <v>46013</v>
      </c>
      <c r="B843" s="54">
        <f>Table13[[#This Row],[Date]]</f>
        <v>46013</v>
      </c>
      <c r="C843" s="55" t="s">
        <v>23</v>
      </c>
      <c r="D843" s="132" t="s">
        <v>122</v>
      </c>
      <c r="E843" s="55" t="s">
        <v>18</v>
      </c>
      <c r="F843" s="55" t="s">
        <v>19</v>
      </c>
      <c r="G843" s="55">
        <v>1</v>
      </c>
      <c r="H843" s="55"/>
      <c r="I843" s="55"/>
      <c r="J843" s="55"/>
      <c r="K843" s="57"/>
      <c r="L843" s="55"/>
    </row>
    <row r="844" spans="1:12" s="24" customFormat="1">
      <c r="A844" s="53">
        <v>46013</v>
      </c>
      <c r="B844" s="54">
        <f>Table13[[#This Row],[Date]]</f>
        <v>46013</v>
      </c>
      <c r="C844" s="55" t="s">
        <v>26</v>
      </c>
      <c r="D844" s="61" t="s">
        <v>123</v>
      </c>
      <c r="E844" s="55" t="s">
        <v>18</v>
      </c>
      <c r="F844" s="55" t="s">
        <v>19</v>
      </c>
      <c r="G844" s="55">
        <v>1</v>
      </c>
      <c r="H844" s="55"/>
      <c r="I844" s="55"/>
      <c r="J844" s="55"/>
      <c r="K844" s="57"/>
      <c r="L844" s="55"/>
    </row>
    <row r="845" spans="1:12" s="24" customFormat="1">
      <c r="A845" s="53">
        <v>46013</v>
      </c>
      <c r="B845" s="54">
        <f>Table13[[#This Row],[Date]]</f>
        <v>46013</v>
      </c>
      <c r="C845" s="55" t="s">
        <v>26</v>
      </c>
      <c r="D845" s="61" t="s">
        <v>123</v>
      </c>
      <c r="E845" s="55" t="s">
        <v>21</v>
      </c>
      <c r="F845" s="55" t="s">
        <v>19</v>
      </c>
      <c r="G845" s="55">
        <v>1</v>
      </c>
      <c r="H845" s="55"/>
      <c r="I845" s="55"/>
      <c r="J845" s="55"/>
      <c r="K845" s="57"/>
      <c r="L845" s="55"/>
    </row>
    <row r="846" spans="1:12" s="24" customFormat="1">
      <c r="A846" s="53">
        <v>46013</v>
      </c>
      <c r="B846" s="54">
        <f>Table13[[#This Row],[Date]]</f>
        <v>46013</v>
      </c>
      <c r="C846" s="55" t="s">
        <v>26</v>
      </c>
      <c r="D846" s="61" t="s">
        <v>123</v>
      </c>
      <c r="E846" s="55" t="s">
        <v>47</v>
      </c>
      <c r="F846" s="55" t="s">
        <v>19</v>
      </c>
      <c r="G846" s="55">
        <v>1</v>
      </c>
      <c r="H846" s="55"/>
      <c r="I846" s="55"/>
      <c r="J846" s="55"/>
      <c r="K846" s="57"/>
      <c r="L846" s="55"/>
    </row>
    <row r="847" spans="1:12" s="24" customFormat="1">
      <c r="A847" s="53">
        <v>46013</v>
      </c>
      <c r="B847" s="54">
        <f>Table13[[#This Row],[Date]]</f>
        <v>46013</v>
      </c>
      <c r="C847" s="55" t="s">
        <v>26</v>
      </c>
      <c r="D847" s="61" t="s">
        <v>115</v>
      </c>
      <c r="E847" s="64" t="s">
        <v>18</v>
      </c>
      <c r="F847" s="55" t="s">
        <v>19</v>
      </c>
      <c r="G847" s="55">
        <v>1</v>
      </c>
      <c r="H847" s="55"/>
      <c r="I847" s="55"/>
      <c r="J847" s="55"/>
      <c r="K847" s="57"/>
      <c r="L847" s="55"/>
    </row>
    <row r="848" spans="1:12" s="24" customFormat="1">
      <c r="A848" s="53">
        <v>46014</v>
      </c>
      <c r="B848" s="54">
        <f>Table13[[#This Row],[Date]]</f>
        <v>46014</v>
      </c>
      <c r="C848" s="55" t="s">
        <v>14</v>
      </c>
      <c r="D848" s="59" t="s">
        <v>130</v>
      </c>
      <c r="E848" s="55" t="s">
        <v>18</v>
      </c>
      <c r="F848" s="55" t="s">
        <v>19</v>
      </c>
      <c r="G848" s="55">
        <v>1</v>
      </c>
      <c r="H848" s="55"/>
      <c r="I848" s="55"/>
      <c r="J848" s="55"/>
      <c r="K848" s="57"/>
      <c r="L848" s="55"/>
    </row>
    <row r="849" spans="1:12" s="24" customFormat="1">
      <c r="A849" s="53">
        <v>46014</v>
      </c>
      <c r="B849" s="54">
        <f>Table13[[#This Row],[Date]]</f>
        <v>46014</v>
      </c>
      <c r="C849" s="55" t="s">
        <v>14</v>
      </c>
      <c r="D849" s="59" t="s">
        <v>131</v>
      </c>
      <c r="E849" s="64" t="s">
        <v>18</v>
      </c>
      <c r="F849" s="55" t="s">
        <v>19</v>
      </c>
      <c r="G849" s="55">
        <v>1</v>
      </c>
      <c r="H849" s="55"/>
      <c r="I849" s="55"/>
      <c r="J849" s="55"/>
      <c r="K849" s="57"/>
      <c r="L849" s="55"/>
    </row>
    <row r="850" spans="1:12" s="24" customFormat="1">
      <c r="A850" s="53">
        <v>46014</v>
      </c>
      <c r="B850" s="54">
        <f>Table13[[#This Row],[Date]]</f>
        <v>46014</v>
      </c>
      <c r="C850" s="55" t="s">
        <v>186</v>
      </c>
      <c r="D850" s="59" t="s">
        <v>104</v>
      </c>
      <c r="E850" s="55" t="s">
        <v>18</v>
      </c>
      <c r="F850" s="55" t="s">
        <v>19</v>
      </c>
      <c r="G850" s="55">
        <v>1</v>
      </c>
      <c r="H850" s="55"/>
      <c r="I850" s="55"/>
      <c r="J850" s="55"/>
      <c r="K850" s="57"/>
      <c r="L850" s="55"/>
    </row>
    <row r="851" spans="1:12" s="24" customFormat="1">
      <c r="A851" s="53">
        <v>46014</v>
      </c>
      <c r="B851" s="54">
        <f>Table13[[#This Row],[Date]]</f>
        <v>46014</v>
      </c>
      <c r="C851" s="55" t="s">
        <v>186</v>
      </c>
      <c r="D851" s="59" t="s">
        <v>104</v>
      </c>
      <c r="E851" s="55" t="s">
        <v>21</v>
      </c>
      <c r="F851" s="55" t="s">
        <v>19</v>
      </c>
      <c r="G851" s="55">
        <v>1</v>
      </c>
      <c r="H851" s="55"/>
      <c r="I851" s="55"/>
      <c r="J851" s="55"/>
      <c r="K851" s="57"/>
      <c r="L851" s="55"/>
    </row>
    <row r="852" spans="1:12" s="24" customFormat="1">
      <c r="A852" s="53">
        <v>46014</v>
      </c>
      <c r="B852" s="54">
        <f>Table13[[#This Row],[Date]]</f>
        <v>46014</v>
      </c>
      <c r="C852" s="55" t="s">
        <v>16</v>
      </c>
      <c r="D852" s="59" t="s">
        <v>119</v>
      </c>
      <c r="E852" s="55" t="s">
        <v>18</v>
      </c>
      <c r="F852" s="55" t="s">
        <v>19</v>
      </c>
      <c r="G852" s="55">
        <v>1</v>
      </c>
      <c r="H852" s="55"/>
      <c r="I852" s="55"/>
      <c r="J852" s="55"/>
      <c r="K852" s="57"/>
      <c r="L852" s="55"/>
    </row>
    <row r="853" spans="1:12" s="24" customFormat="1">
      <c r="A853" s="53">
        <v>46014</v>
      </c>
      <c r="B853" s="54">
        <f>Table13[[#This Row],[Date]]</f>
        <v>46014</v>
      </c>
      <c r="C853" s="43" t="s">
        <v>187</v>
      </c>
      <c r="D853" s="59" t="s">
        <v>133</v>
      </c>
      <c r="E853" s="55" t="s">
        <v>21</v>
      </c>
      <c r="F853" s="55" t="s">
        <v>19</v>
      </c>
      <c r="G853" s="55">
        <v>1</v>
      </c>
      <c r="H853" s="55"/>
      <c r="I853" s="55"/>
      <c r="J853" s="55"/>
      <c r="K853" s="57"/>
      <c r="L853" s="55"/>
    </row>
    <row r="854" spans="1:12" s="24" customFormat="1">
      <c r="A854" s="53">
        <v>46014</v>
      </c>
      <c r="B854" s="54">
        <f>Table13[[#This Row],[Date]]</f>
        <v>46014</v>
      </c>
      <c r="C854" s="43" t="s">
        <v>187</v>
      </c>
      <c r="D854" s="59" t="s">
        <v>134</v>
      </c>
      <c r="E854" s="55" t="s">
        <v>18</v>
      </c>
      <c r="F854" s="55" t="s">
        <v>19</v>
      </c>
      <c r="G854" s="55">
        <v>1</v>
      </c>
      <c r="H854" s="55"/>
      <c r="I854" s="55"/>
      <c r="J854" s="55"/>
      <c r="K854" s="57"/>
      <c r="L854" s="55"/>
    </row>
    <row r="855" spans="1:12" s="24" customFormat="1">
      <c r="A855" s="53">
        <v>46014</v>
      </c>
      <c r="B855" s="54">
        <f>Table13[[#This Row],[Date]]</f>
        <v>46014</v>
      </c>
      <c r="C855" s="55" t="s">
        <v>16</v>
      </c>
      <c r="D855" s="59" t="s">
        <v>135</v>
      </c>
      <c r="E855" s="77" t="s">
        <v>47</v>
      </c>
      <c r="F855" s="55" t="s">
        <v>19</v>
      </c>
      <c r="G855" s="55">
        <v>1</v>
      </c>
      <c r="H855" s="55"/>
      <c r="I855" s="55"/>
      <c r="J855" s="55"/>
      <c r="K855" s="57"/>
      <c r="L855" s="55"/>
    </row>
    <row r="856" spans="1:12" s="24" customFormat="1">
      <c r="A856" s="53">
        <v>46014</v>
      </c>
      <c r="B856" s="54">
        <f>Table13[[#This Row],[Date]]</f>
        <v>46014</v>
      </c>
      <c r="C856" s="55" t="s">
        <v>16</v>
      </c>
      <c r="D856" s="59" t="s">
        <v>135</v>
      </c>
      <c r="E856" s="77" t="s">
        <v>53</v>
      </c>
      <c r="F856" s="55" t="s">
        <v>19</v>
      </c>
      <c r="G856" s="55">
        <v>1</v>
      </c>
      <c r="H856" s="55"/>
      <c r="I856" s="55"/>
      <c r="J856" s="55"/>
      <c r="K856" s="57"/>
      <c r="L856" s="55"/>
    </row>
    <row r="857" spans="1:12" s="24" customFormat="1">
      <c r="A857" s="53">
        <v>46015</v>
      </c>
      <c r="B857" s="54">
        <f>Table13[[#This Row],[Date]]</f>
        <v>46015</v>
      </c>
      <c r="C857" s="55" t="s">
        <v>16</v>
      </c>
      <c r="D857" s="59" t="s">
        <v>136</v>
      </c>
      <c r="E857" s="55" t="s">
        <v>18</v>
      </c>
      <c r="F857" s="55" t="s">
        <v>19</v>
      </c>
      <c r="G857" s="55">
        <v>1</v>
      </c>
      <c r="H857" s="55"/>
      <c r="I857" s="55"/>
      <c r="J857" s="55"/>
      <c r="K857" s="57"/>
      <c r="L857" s="55"/>
    </row>
    <row r="858" spans="1:12" s="24" customFormat="1" ht="16.149999999999999" customHeight="1">
      <c r="A858" s="53">
        <v>46015</v>
      </c>
      <c r="B858" s="54">
        <f>Table13[[#This Row],[Date]]</f>
        <v>46015</v>
      </c>
      <c r="C858" s="55" t="s">
        <v>16</v>
      </c>
      <c r="D858" s="59" t="s">
        <v>137</v>
      </c>
      <c r="E858" s="55" t="s">
        <v>18</v>
      </c>
      <c r="F858" s="55" t="s">
        <v>19</v>
      </c>
      <c r="G858" s="55">
        <v>1</v>
      </c>
      <c r="H858" s="55"/>
      <c r="I858" s="55"/>
      <c r="J858" s="55"/>
      <c r="K858" s="57"/>
      <c r="L858" s="55"/>
    </row>
    <row r="859" spans="1:12" s="24" customFormat="1">
      <c r="A859" s="53">
        <v>46015</v>
      </c>
      <c r="B859" s="54">
        <f>Table13[[#This Row],[Date]]</f>
        <v>46015</v>
      </c>
      <c r="C859" s="55" t="s">
        <v>16</v>
      </c>
      <c r="D859" s="59" t="s">
        <v>138</v>
      </c>
      <c r="E859" s="55" t="s">
        <v>18</v>
      </c>
      <c r="F859" s="55" t="s">
        <v>19</v>
      </c>
      <c r="G859" s="55">
        <v>1</v>
      </c>
      <c r="H859" s="55"/>
      <c r="I859" s="55"/>
      <c r="J859" s="55"/>
      <c r="K859" s="57"/>
      <c r="L859" s="55"/>
    </row>
    <row r="860" spans="1:12" s="24" customFormat="1">
      <c r="A860" s="53">
        <v>46015</v>
      </c>
      <c r="B860" s="54">
        <f>Table13[[#This Row],[Date]]</f>
        <v>46015</v>
      </c>
      <c r="C860" s="55" t="s">
        <v>23</v>
      </c>
      <c r="D860" s="59" t="s">
        <v>139</v>
      </c>
      <c r="E860" s="55" t="s">
        <v>18</v>
      </c>
      <c r="F860" s="55" t="s">
        <v>19</v>
      </c>
      <c r="G860" s="55">
        <v>1</v>
      </c>
      <c r="H860" s="55"/>
      <c r="I860" s="55"/>
      <c r="J860" s="55"/>
      <c r="K860" s="57"/>
      <c r="L860" s="55"/>
    </row>
    <row r="861" spans="1:12" s="24" customFormat="1">
      <c r="A861" s="53">
        <v>46015</v>
      </c>
      <c r="B861" s="54">
        <f>Table13[[#This Row],[Date]]</f>
        <v>46015</v>
      </c>
      <c r="C861" s="55" t="s">
        <v>23</v>
      </c>
      <c r="D861" s="59" t="s">
        <v>140</v>
      </c>
      <c r="E861" s="55" t="s">
        <v>18</v>
      </c>
      <c r="F861" s="55" t="s">
        <v>19</v>
      </c>
      <c r="G861" s="55">
        <v>1</v>
      </c>
      <c r="H861" s="55"/>
      <c r="I861" s="55"/>
      <c r="J861" s="55"/>
      <c r="K861" s="57"/>
      <c r="L861" s="55"/>
    </row>
    <row r="862" spans="1:12" s="24" customFormat="1">
      <c r="A862" s="53">
        <v>46015</v>
      </c>
      <c r="B862" s="54">
        <f>Table13[[#This Row],[Date]]</f>
        <v>46015</v>
      </c>
      <c r="C862" s="55" t="s">
        <v>23</v>
      </c>
      <c r="D862" s="59" t="s">
        <v>141</v>
      </c>
      <c r="E862" s="55" t="s">
        <v>18</v>
      </c>
      <c r="F862" s="55" t="s">
        <v>19</v>
      </c>
      <c r="G862" s="55">
        <v>1</v>
      </c>
      <c r="H862" s="55"/>
      <c r="I862" s="55"/>
      <c r="J862" s="55"/>
      <c r="K862" s="57"/>
      <c r="L862" s="55"/>
    </row>
    <row r="863" spans="1:12" s="24" customFormat="1">
      <c r="A863" s="53">
        <v>46015</v>
      </c>
      <c r="B863" s="54">
        <f>Table13[[#This Row],[Date]]</f>
        <v>46015</v>
      </c>
      <c r="C863" s="55" t="s">
        <v>23</v>
      </c>
      <c r="D863" s="59" t="s">
        <v>142</v>
      </c>
      <c r="E863" s="55" t="s">
        <v>18</v>
      </c>
      <c r="F863" s="55" t="s">
        <v>19</v>
      </c>
      <c r="G863" s="55">
        <v>1</v>
      </c>
      <c r="H863" s="55"/>
      <c r="I863" s="55"/>
      <c r="J863" s="55"/>
      <c r="K863" s="57"/>
      <c r="L863" s="55"/>
    </row>
    <row r="864" spans="1:12" s="24" customFormat="1">
      <c r="A864" s="53">
        <v>46015</v>
      </c>
      <c r="B864" s="54">
        <f>Table13[[#This Row],[Date]]</f>
        <v>46015</v>
      </c>
      <c r="C864" s="55" t="s">
        <v>14</v>
      </c>
      <c r="D864" s="61" t="s">
        <v>188</v>
      </c>
      <c r="E864" s="55" t="s">
        <v>18</v>
      </c>
      <c r="F864" s="55" t="s">
        <v>19</v>
      </c>
      <c r="G864" s="55">
        <v>1</v>
      </c>
      <c r="H864" s="55"/>
      <c r="I864" s="55"/>
      <c r="J864" s="55"/>
      <c r="K864" s="57"/>
      <c r="L864" s="55"/>
    </row>
    <row r="865" spans="1:12" s="24" customFormat="1">
      <c r="A865" s="41">
        <v>46016</v>
      </c>
      <c r="B865" s="42">
        <f>Table13[[#This Row],[Date]]</f>
        <v>46016</v>
      </c>
      <c r="C865" s="43"/>
      <c r="D865" s="44" t="s">
        <v>189</v>
      </c>
      <c r="E865" s="43"/>
      <c r="F865" s="43"/>
      <c r="G865" s="43"/>
      <c r="H865" s="43"/>
      <c r="I865" s="43"/>
      <c r="J865" s="43"/>
      <c r="K865" s="45"/>
      <c r="L865" s="279"/>
    </row>
    <row r="866" spans="1:12" s="24" customFormat="1">
      <c r="A866" s="41">
        <v>46017</v>
      </c>
      <c r="B866" s="42">
        <f>Table13[[#This Row],[Date]]</f>
        <v>46017</v>
      </c>
      <c r="C866" s="43"/>
      <c r="D866" s="72" t="s">
        <v>173</v>
      </c>
      <c r="E866" s="43"/>
      <c r="F866" s="43"/>
      <c r="G866" s="43"/>
      <c r="H866" s="43"/>
      <c r="I866" s="43"/>
      <c r="J866" s="43"/>
      <c r="K866" s="45"/>
      <c r="L866" s="279"/>
    </row>
    <row r="867" spans="1:12" s="24" customFormat="1">
      <c r="A867" s="16">
        <v>46018</v>
      </c>
      <c r="B867" s="18">
        <f>Table13[[#This Row],[Date]]</f>
        <v>46018</v>
      </c>
      <c r="C867" s="10" t="s">
        <v>14</v>
      </c>
      <c r="D867" s="9" t="s">
        <v>144</v>
      </c>
      <c r="E867" s="10" t="s">
        <v>18</v>
      </c>
      <c r="F867" s="10" t="s">
        <v>19</v>
      </c>
      <c r="G867" s="10">
        <v>1</v>
      </c>
      <c r="H867" s="10"/>
      <c r="I867" s="10"/>
      <c r="J867" s="10"/>
      <c r="K867" s="13"/>
      <c r="L867" s="10"/>
    </row>
    <row r="868" spans="1:12" s="24" customFormat="1">
      <c r="A868" s="16">
        <v>46018</v>
      </c>
      <c r="B868" s="18">
        <f>Table13[[#This Row],[Date]]</f>
        <v>46018</v>
      </c>
      <c r="C868" s="10" t="s">
        <v>14</v>
      </c>
      <c r="D868" s="9" t="s">
        <v>144</v>
      </c>
      <c r="E868" s="10" t="s">
        <v>21</v>
      </c>
      <c r="F868" s="10" t="s">
        <v>19</v>
      </c>
      <c r="G868" s="10">
        <v>1</v>
      </c>
      <c r="H868" s="10"/>
      <c r="I868" s="10"/>
      <c r="J868" s="10"/>
      <c r="K868" s="13"/>
      <c r="L868" s="10"/>
    </row>
    <row r="869" spans="1:12" s="24" customFormat="1">
      <c r="A869" s="16">
        <v>46018</v>
      </c>
      <c r="B869" s="18">
        <f>Table13[[#This Row],[Date]]</f>
        <v>46018</v>
      </c>
      <c r="C869" s="10" t="s">
        <v>23</v>
      </c>
      <c r="D869" s="9" t="s">
        <v>143</v>
      </c>
      <c r="E869" s="10" t="s">
        <v>41</v>
      </c>
      <c r="F869" s="10" t="s">
        <v>19</v>
      </c>
      <c r="G869" s="10">
        <v>1</v>
      </c>
      <c r="H869" s="10"/>
      <c r="I869" s="10"/>
      <c r="J869" s="10"/>
      <c r="K869" s="13"/>
      <c r="L869" s="10"/>
    </row>
    <row r="870" spans="1:12" s="24" customFormat="1">
      <c r="A870" s="16">
        <v>46018</v>
      </c>
      <c r="B870" s="18">
        <f>Table13[[#This Row],[Date]]</f>
        <v>46018</v>
      </c>
      <c r="C870" s="10" t="s">
        <v>23</v>
      </c>
      <c r="D870" s="9" t="s">
        <v>143</v>
      </c>
      <c r="E870" s="10" t="s">
        <v>42</v>
      </c>
      <c r="F870" s="10" t="s">
        <v>19</v>
      </c>
      <c r="G870" s="10">
        <v>1</v>
      </c>
      <c r="H870" s="10"/>
      <c r="I870" s="10"/>
      <c r="J870" s="10"/>
      <c r="K870" s="13"/>
      <c r="L870" s="10"/>
    </row>
    <row r="871" spans="1:12" s="24" customFormat="1">
      <c r="A871" s="16">
        <v>46019</v>
      </c>
      <c r="B871" s="18">
        <f>Table13[[#This Row],[Date]]</f>
        <v>46019</v>
      </c>
      <c r="C871" s="10" t="s">
        <v>4</v>
      </c>
      <c r="D871" s="9" t="s">
        <v>92</v>
      </c>
      <c r="E871" s="10" t="s">
        <v>118</v>
      </c>
      <c r="F871" s="10" t="s">
        <v>19</v>
      </c>
      <c r="G871" s="10">
        <v>1</v>
      </c>
      <c r="H871" s="10"/>
      <c r="I871" s="10"/>
      <c r="J871" s="10"/>
      <c r="K871" s="13"/>
      <c r="L871" s="10"/>
    </row>
    <row r="872" spans="1:12" s="24" customFormat="1">
      <c r="A872" s="16">
        <v>46019</v>
      </c>
      <c r="B872" s="18">
        <f>Table13[[#This Row],[Date]]</f>
        <v>46019</v>
      </c>
      <c r="C872" s="10" t="s">
        <v>4</v>
      </c>
      <c r="D872" s="9" t="s">
        <v>92</v>
      </c>
      <c r="E872" s="10" t="s">
        <v>47</v>
      </c>
      <c r="F872" s="10" t="s">
        <v>19</v>
      </c>
      <c r="G872" s="10">
        <v>1</v>
      </c>
      <c r="H872" s="10"/>
      <c r="I872" s="10"/>
      <c r="J872" s="10"/>
      <c r="K872" s="13"/>
      <c r="L872" s="10"/>
    </row>
    <row r="873" spans="1:12" s="24" customFormat="1">
      <c r="A873" s="53">
        <v>46020</v>
      </c>
      <c r="B873" s="54">
        <f>Table13[[#This Row],[Date]]</f>
        <v>46020</v>
      </c>
      <c r="C873" s="55" t="s">
        <v>23</v>
      </c>
      <c r="D873" s="59" t="s">
        <v>146</v>
      </c>
      <c r="E873" s="55" t="s">
        <v>18</v>
      </c>
      <c r="F873" s="55" t="s">
        <v>19</v>
      </c>
      <c r="G873" s="55">
        <v>1</v>
      </c>
      <c r="H873" s="55"/>
      <c r="I873" s="55"/>
      <c r="J873" s="55"/>
      <c r="K873" s="57"/>
      <c r="L873" s="55"/>
    </row>
    <row r="874" spans="1:12" s="24" customFormat="1">
      <c r="A874" s="53">
        <v>46020</v>
      </c>
      <c r="B874" s="54">
        <f>Table13[[#This Row],[Date]]</f>
        <v>46020</v>
      </c>
      <c r="C874" s="55" t="s">
        <v>23</v>
      </c>
      <c r="D874" s="59" t="s">
        <v>146</v>
      </c>
      <c r="E874" s="55" t="s">
        <v>21</v>
      </c>
      <c r="F874" s="55" t="s">
        <v>19</v>
      </c>
      <c r="G874" s="55">
        <v>1</v>
      </c>
      <c r="H874" s="55"/>
      <c r="I874" s="55"/>
      <c r="J874" s="55"/>
      <c r="K874" s="57"/>
      <c r="L874" s="55"/>
    </row>
    <row r="875" spans="1:12" s="24" customFormat="1">
      <c r="A875" s="53">
        <v>46020</v>
      </c>
      <c r="B875" s="54">
        <f>Table13[[#This Row],[Date]]</f>
        <v>46020</v>
      </c>
      <c r="C875" s="55" t="s">
        <v>23</v>
      </c>
      <c r="D875" s="59" t="s">
        <v>146</v>
      </c>
      <c r="E875" s="55" t="s">
        <v>147</v>
      </c>
      <c r="F875" s="55" t="s">
        <v>19</v>
      </c>
      <c r="G875" s="55">
        <v>1</v>
      </c>
      <c r="H875" s="55"/>
      <c r="I875" s="55"/>
      <c r="J875" s="55"/>
      <c r="K875" s="57"/>
      <c r="L875" s="55"/>
    </row>
    <row r="876" spans="1:12" s="24" customFormat="1">
      <c r="A876" s="53">
        <v>46020</v>
      </c>
      <c r="B876" s="54">
        <f>Table13[[#This Row],[Date]]</f>
        <v>46020</v>
      </c>
      <c r="C876" s="55" t="s">
        <v>23</v>
      </c>
      <c r="D876" s="59" t="s">
        <v>146</v>
      </c>
      <c r="E876" s="55" t="s">
        <v>148</v>
      </c>
      <c r="F876" s="55" t="s">
        <v>19</v>
      </c>
      <c r="G876" s="55">
        <v>1</v>
      </c>
      <c r="H876" s="1"/>
      <c r="I876" s="1"/>
      <c r="J876" s="1"/>
      <c r="K876" s="3"/>
      <c r="L876" s="1"/>
    </row>
    <row r="877" spans="1:12" s="24" customFormat="1">
      <c r="A877" s="53">
        <v>46020</v>
      </c>
      <c r="B877" s="54">
        <f>Table13[[#This Row],[Date]]</f>
        <v>46020</v>
      </c>
      <c r="C877" s="55" t="s">
        <v>26</v>
      </c>
      <c r="D877" s="59" t="s">
        <v>128</v>
      </c>
      <c r="E877" s="55" t="s">
        <v>18</v>
      </c>
      <c r="F877" s="55" t="s">
        <v>19</v>
      </c>
      <c r="G877" s="55">
        <v>1</v>
      </c>
      <c r="H877" s="55"/>
      <c r="I877" s="55"/>
      <c r="J877" s="55"/>
      <c r="K877" s="57"/>
      <c r="L877" s="55"/>
    </row>
    <row r="878" spans="1:12" s="24" customFormat="1">
      <c r="A878" s="15">
        <v>46020</v>
      </c>
      <c r="B878" s="17">
        <f>Table13[[#This Row],[Date]]</f>
        <v>46020</v>
      </c>
      <c r="C878" s="1" t="s">
        <v>26</v>
      </c>
      <c r="D878" s="135" t="s">
        <v>129</v>
      </c>
      <c r="E878" s="1" t="s">
        <v>21</v>
      </c>
      <c r="F878" s="1" t="s">
        <v>19</v>
      </c>
      <c r="G878" s="1">
        <v>1</v>
      </c>
      <c r="H878" s="1"/>
      <c r="I878" s="1"/>
      <c r="J878" s="1"/>
      <c r="K878" s="3"/>
      <c r="L878" s="1"/>
    </row>
    <row r="879" spans="1:12" s="24" customFormat="1">
      <c r="A879" s="48">
        <v>46021</v>
      </c>
      <c r="B879" s="49">
        <f>Table13[[#This Row],[Date]]</f>
        <v>46021</v>
      </c>
      <c r="C879" s="50" t="s">
        <v>149</v>
      </c>
      <c r="D879" s="51" t="s">
        <v>150</v>
      </c>
      <c r="E879" s="50"/>
      <c r="F879" s="50"/>
      <c r="G879" s="50"/>
      <c r="H879" s="50"/>
      <c r="I879" s="50"/>
      <c r="J879" s="50"/>
      <c r="K879" s="52"/>
      <c r="L879" s="50"/>
    </row>
    <row r="880" spans="1:12" s="24" customFormat="1">
      <c r="A880" s="53">
        <v>46021</v>
      </c>
      <c r="B880" s="54">
        <f>Table13[[#This Row],[Date]]</f>
        <v>46021</v>
      </c>
      <c r="C880" s="55"/>
      <c r="D880" s="61" t="s">
        <v>179</v>
      </c>
      <c r="E880" s="55" t="s">
        <v>47</v>
      </c>
      <c r="F880" s="55" t="s">
        <v>19</v>
      </c>
      <c r="G880" s="55">
        <v>1</v>
      </c>
      <c r="H880" s="55"/>
      <c r="I880" s="55"/>
      <c r="J880" s="55"/>
      <c r="K880" s="57"/>
      <c r="L880" s="55"/>
    </row>
    <row r="881" spans="1:12" s="24" customFormat="1">
      <c r="A881" s="48">
        <v>46022</v>
      </c>
      <c r="B881" s="49">
        <f>Table13[[#This Row],[Date]]</f>
        <v>46022</v>
      </c>
      <c r="C881" s="50" t="s">
        <v>23</v>
      </c>
      <c r="D881" s="255" t="s">
        <v>32</v>
      </c>
      <c r="E881" s="50"/>
      <c r="F881" s="50"/>
      <c r="G881" s="50"/>
      <c r="H881" s="50"/>
      <c r="I881" s="50"/>
      <c r="J881" s="50"/>
      <c r="K881" s="52"/>
      <c r="L881" s="50"/>
    </row>
    <row r="882" spans="1:12" s="24" customFormat="1" ht="13.15" customHeight="1">
      <c r="A882" s="41">
        <v>46023</v>
      </c>
      <c r="B882" s="42">
        <f>Table13[[#This Row],[Date]]</f>
        <v>46023</v>
      </c>
      <c r="C882" s="43"/>
      <c r="D882" s="44" t="s">
        <v>190</v>
      </c>
      <c r="E882" s="43"/>
      <c r="F882" s="43"/>
      <c r="G882" s="43"/>
      <c r="H882" s="43"/>
      <c r="I882" s="43"/>
      <c r="J882" s="43"/>
      <c r="K882" s="45"/>
      <c r="L882" s="43"/>
    </row>
    <row r="883" spans="1:12" s="24" customFormat="1">
      <c r="A883" s="41">
        <v>46024</v>
      </c>
      <c r="B883" s="42">
        <f>Table13[[#This Row],[Date]]</f>
        <v>46024</v>
      </c>
      <c r="C883" s="43"/>
      <c r="D883" s="44" t="s">
        <v>190</v>
      </c>
      <c r="E883" s="43"/>
      <c r="F883" s="43"/>
      <c r="G883" s="43"/>
      <c r="H883" s="43"/>
      <c r="I883" s="43"/>
      <c r="J883" s="43"/>
      <c r="K883" s="45"/>
      <c r="L883" s="43"/>
    </row>
    <row r="884" spans="1:12" s="24" customFormat="1">
      <c r="A884" s="16">
        <v>46025</v>
      </c>
      <c r="B884" s="18">
        <f>Table13[[#This Row],[Date]]</f>
        <v>46025</v>
      </c>
      <c r="C884" s="10" t="s">
        <v>14</v>
      </c>
      <c r="D884" s="9" t="s">
        <v>56</v>
      </c>
      <c r="E884" s="10" t="s">
        <v>18</v>
      </c>
      <c r="F884" s="10" t="s">
        <v>19</v>
      </c>
      <c r="G884" s="10">
        <v>1</v>
      </c>
      <c r="H884" s="10"/>
      <c r="I884" s="10"/>
      <c r="J884" s="10"/>
      <c r="K884" s="13"/>
      <c r="L884" s="10"/>
    </row>
    <row r="885" spans="1:12" s="24" customFormat="1">
      <c r="A885" s="16">
        <v>46025</v>
      </c>
      <c r="B885" s="18">
        <f>Table13[[#This Row],[Date]]</f>
        <v>46025</v>
      </c>
      <c r="C885" s="10" t="s">
        <v>14</v>
      </c>
      <c r="D885" s="9" t="s">
        <v>57</v>
      </c>
      <c r="E885" s="10" t="s">
        <v>18</v>
      </c>
      <c r="F885" s="10" t="s">
        <v>19</v>
      </c>
      <c r="G885" s="10">
        <v>1</v>
      </c>
      <c r="H885" s="10"/>
      <c r="I885" s="10"/>
      <c r="J885" s="10"/>
      <c r="K885" s="13"/>
      <c r="L885" s="10"/>
    </row>
    <row r="886" spans="1:12" s="24" customFormat="1">
      <c r="A886" s="16">
        <v>46025</v>
      </c>
      <c r="B886" s="18">
        <f>Table13[[#This Row],[Date]]</f>
        <v>46025</v>
      </c>
      <c r="C886" s="10" t="s">
        <v>4</v>
      </c>
      <c r="D886" s="9" t="s">
        <v>58</v>
      </c>
      <c r="E886" s="10" t="s">
        <v>59</v>
      </c>
      <c r="F886" s="10" t="s">
        <v>60</v>
      </c>
      <c r="G886" s="10">
        <v>1</v>
      </c>
      <c r="H886" s="10"/>
      <c r="I886" s="10"/>
      <c r="J886" s="10"/>
      <c r="K886" s="13"/>
      <c r="L886" s="10"/>
    </row>
    <row r="887" spans="1:12" s="24" customFormat="1">
      <c r="A887" s="16">
        <v>46025</v>
      </c>
      <c r="B887" s="18">
        <f>Table13[[#This Row],[Date]]</f>
        <v>46025</v>
      </c>
      <c r="C887" s="10" t="s">
        <v>4</v>
      </c>
      <c r="D887" s="9" t="s">
        <v>58</v>
      </c>
      <c r="E887" s="10" t="s">
        <v>61</v>
      </c>
      <c r="F887" s="10" t="s">
        <v>60</v>
      </c>
      <c r="G887" s="10">
        <v>1</v>
      </c>
      <c r="H887" s="10"/>
      <c r="I887" s="10"/>
      <c r="J887" s="10"/>
      <c r="K887" s="13"/>
      <c r="L887" s="10"/>
    </row>
    <row r="888" spans="1:12" s="24" customFormat="1">
      <c r="A888" s="16">
        <v>46025</v>
      </c>
      <c r="B888" s="18">
        <f>Table13[[#This Row],[Date]]</f>
        <v>46025</v>
      </c>
      <c r="C888" s="10" t="s">
        <v>4</v>
      </c>
      <c r="D888" s="9" t="s">
        <v>58</v>
      </c>
      <c r="E888" s="8" t="s">
        <v>18</v>
      </c>
      <c r="F888" s="10" t="s">
        <v>19</v>
      </c>
      <c r="G888" s="10">
        <v>1</v>
      </c>
      <c r="H888" s="10"/>
      <c r="I888" s="10"/>
      <c r="J888" s="10"/>
      <c r="K888" s="13"/>
      <c r="L888" s="10"/>
    </row>
    <row r="889" spans="1:12" s="24" customFormat="1">
      <c r="A889" s="16">
        <v>46025</v>
      </c>
      <c r="B889" s="18">
        <f>Table13[[#This Row],[Date]]</f>
        <v>46025</v>
      </c>
      <c r="C889" s="10" t="s">
        <v>4</v>
      </c>
      <c r="D889" s="9" t="s">
        <v>58</v>
      </c>
      <c r="E889" s="8" t="s">
        <v>21</v>
      </c>
      <c r="F889" s="10" t="s">
        <v>19</v>
      </c>
      <c r="G889" s="10">
        <v>1</v>
      </c>
      <c r="H889" s="10"/>
      <c r="I889" s="10"/>
      <c r="J889" s="10"/>
      <c r="K889" s="13"/>
      <c r="L889" s="10"/>
    </row>
    <row r="890" spans="1:12" s="24" customFormat="1">
      <c r="A890" s="16">
        <v>46025</v>
      </c>
      <c r="B890" s="18">
        <f>Table13[[#This Row],[Date]]</f>
        <v>46025</v>
      </c>
      <c r="C890" s="10" t="s">
        <v>4</v>
      </c>
      <c r="D890" s="9" t="s">
        <v>58</v>
      </c>
      <c r="E890" s="8" t="s">
        <v>49</v>
      </c>
      <c r="F890" s="10" t="s">
        <v>19</v>
      </c>
      <c r="G890" s="10">
        <v>1</v>
      </c>
      <c r="H890" s="10"/>
      <c r="I890" s="10"/>
      <c r="J890" s="10"/>
      <c r="K890" s="13"/>
      <c r="L890" s="10"/>
    </row>
    <row r="891" spans="1:12" s="24" customFormat="1">
      <c r="A891" s="16">
        <v>46025</v>
      </c>
      <c r="B891" s="18">
        <f>Table13[[#This Row],[Date]]</f>
        <v>46025</v>
      </c>
      <c r="C891" s="10" t="s">
        <v>4</v>
      </c>
      <c r="D891" s="9" t="s">
        <v>58</v>
      </c>
      <c r="E891" s="8" t="s">
        <v>41</v>
      </c>
      <c r="F891" s="10" t="s">
        <v>19</v>
      </c>
      <c r="G891" s="10">
        <v>1</v>
      </c>
      <c r="H891" s="10"/>
      <c r="I891" s="10"/>
      <c r="J891" s="10"/>
      <c r="K891" s="13"/>
      <c r="L891" s="10"/>
    </row>
    <row r="892" spans="1:12" s="24" customFormat="1" ht="28.9">
      <c r="A892" s="16">
        <v>46026</v>
      </c>
      <c r="B892" s="18">
        <f>Table13[[#This Row],[Date]]</f>
        <v>46026</v>
      </c>
      <c r="C892" s="10" t="s">
        <v>16</v>
      </c>
      <c r="D892" s="9" t="s">
        <v>62</v>
      </c>
      <c r="E892" s="10" t="s">
        <v>18</v>
      </c>
      <c r="F892" s="10" t="s">
        <v>19</v>
      </c>
      <c r="G892" s="10">
        <v>1</v>
      </c>
      <c r="H892" s="10"/>
      <c r="I892" s="10"/>
      <c r="J892" s="10"/>
      <c r="K892" s="13"/>
      <c r="L892" s="10"/>
    </row>
    <row r="893" spans="1:12" s="24" customFormat="1">
      <c r="A893" s="16">
        <v>46026</v>
      </c>
      <c r="B893" s="18">
        <f>Table13[[#This Row],[Date]]</f>
        <v>46026</v>
      </c>
      <c r="C893" s="10" t="s">
        <v>16</v>
      </c>
      <c r="D893" s="9" t="s">
        <v>63</v>
      </c>
      <c r="E893" s="10" t="s">
        <v>18</v>
      </c>
      <c r="F893" s="10" t="s">
        <v>19</v>
      </c>
      <c r="G893" s="10">
        <v>1</v>
      </c>
      <c r="H893" s="10"/>
      <c r="I893" s="10"/>
      <c r="J893" s="10"/>
      <c r="K893" s="13"/>
      <c r="L893" s="10"/>
    </row>
    <row r="894" spans="1:12" s="24" customFormat="1">
      <c r="A894" s="16">
        <v>46026</v>
      </c>
      <c r="B894" s="18">
        <f>Table13[[#This Row],[Date]]</f>
        <v>46026</v>
      </c>
      <c r="C894" s="10" t="s">
        <v>4</v>
      </c>
      <c r="D894" s="11" t="s">
        <v>58</v>
      </c>
      <c r="E894" s="8" t="s">
        <v>42</v>
      </c>
      <c r="F894" s="10" t="s">
        <v>19</v>
      </c>
      <c r="G894" s="10">
        <v>1</v>
      </c>
      <c r="H894" s="10"/>
      <c r="I894" s="10"/>
      <c r="J894" s="10"/>
      <c r="K894" s="13"/>
      <c r="L894" s="10"/>
    </row>
    <row r="895" spans="1:12" s="24" customFormat="1">
      <c r="A895" s="16">
        <v>46026</v>
      </c>
      <c r="B895" s="18">
        <f>Table13[[#This Row],[Date]]</f>
        <v>46026</v>
      </c>
      <c r="C895" s="10" t="s">
        <v>4</v>
      </c>
      <c r="D895" s="9" t="s">
        <v>58</v>
      </c>
      <c r="E895" s="10" t="s">
        <v>64</v>
      </c>
      <c r="F895" s="10" t="s">
        <v>19</v>
      </c>
      <c r="G895" s="10">
        <v>1</v>
      </c>
      <c r="H895" s="10"/>
      <c r="I895" s="10"/>
      <c r="J895" s="10"/>
      <c r="K895" s="13"/>
      <c r="L895" s="10"/>
    </row>
    <row r="896" spans="1:12" s="24" customFormat="1">
      <c r="A896" s="16">
        <v>46026</v>
      </c>
      <c r="B896" s="18">
        <f>Table13[[#This Row],[Date]]</f>
        <v>46026</v>
      </c>
      <c r="C896" s="10" t="s">
        <v>4</v>
      </c>
      <c r="D896" s="12" t="s">
        <v>58</v>
      </c>
      <c r="E896" s="10" t="s">
        <v>34</v>
      </c>
      <c r="F896" s="10" t="s">
        <v>19</v>
      </c>
      <c r="G896" s="10">
        <v>1</v>
      </c>
      <c r="H896" s="10"/>
      <c r="I896" s="10"/>
      <c r="J896" s="10"/>
      <c r="K896" s="13"/>
      <c r="L896" s="10"/>
    </row>
    <row r="897" spans="1:12" s="24" customFormat="1">
      <c r="A897" s="16">
        <v>46026</v>
      </c>
      <c r="B897" s="18">
        <f>Table13[[#This Row],[Date]]</f>
        <v>46026</v>
      </c>
      <c r="C897" s="10" t="s">
        <v>4</v>
      </c>
      <c r="D897" s="12" t="s">
        <v>58</v>
      </c>
      <c r="E897" s="10" t="s">
        <v>43</v>
      </c>
      <c r="F897" s="10" t="s">
        <v>19</v>
      </c>
      <c r="G897" s="10">
        <v>1</v>
      </c>
      <c r="H897" s="10"/>
      <c r="I897" s="10"/>
      <c r="J897" s="10"/>
      <c r="K897" s="13"/>
      <c r="L897" s="10"/>
    </row>
    <row r="898" spans="1:12" s="24" customFormat="1">
      <c r="A898" s="41">
        <v>46026</v>
      </c>
      <c r="B898" s="42">
        <f>Table13[[#This Row],[Date]]</f>
        <v>46026</v>
      </c>
      <c r="C898" s="43"/>
      <c r="D898" s="44" t="s">
        <v>191</v>
      </c>
      <c r="E898" s="43"/>
      <c r="F898" s="43"/>
      <c r="G898" s="43"/>
      <c r="H898" s="43"/>
      <c r="I898" s="43"/>
      <c r="J898" s="43"/>
      <c r="K898" s="45"/>
      <c r="L898" s="43"/>
    </row>
    <row r="899" spans="1:12" s="24" customFormat="1">
      <c r="A899" s="53">
        <v>46027</v>
      </c>
      <c r="B899" s="54">
        <f>Table13[[#This Row],[Date]]</f>
        <v>46027</v>
      </c>
      <c r="C899" s="55" t="s">
        <v>16</v>
      </c>
      <c r="D899" s="61" t="s">
        <v>17</v>
      </c>
      <c r="E899" s="55" t="s">
        <v>18</v>
      </c>
      <c r="F899" s="55" t="s">
        <v>19</v>
      </c>
      <c r="G899" s="55">
        <v>1</v>
      </c>
      <c r="H899" s="55"/>
      <c r="I899" s="55"/>
      <c r="J899" s="55"/>
      <c r="K899" s="57"/>
      <c r="L899" s="55"/>
    </row>
    <row r="900" spans="1:12" s="24" customFormat="1">
      <c r="A900" s="53">
        <v>46027</v>
      </c>
      <c r="B900" s="54">
        <f>Table13[[#This Row],[Date]]</f>
        <v>46027</v>
      </c>
      <c r="C900" s="55" t="s">
        <v>16</v>
      </c>
      <c r="D900" s="59" t="s">
        <v>20</v>
      </c>
      <c r="E900" s="55" t="s">
        <v>21</v>
      </c>
      <c r="F900" s="55" t="s">
        <v>19</v>
      </c>
      <c r="G900" s="55">
        <v>1</v>
      </c>
      <c r="H900" s="55"/>
      <c r="I900" s="55"/>
      <c r="J900" s="55"/>
      <c r="K900" s="57"/>
      <c r="L900" s="55"/>
    </row>
    <row r="901" spans="1:12" s="24" customFormat="1">
      <c r="A901" s="53">
        <v>46027</v>
      </c>
      <c r="B901" s="54">
        <f>Table13[[#This Row],[Date]]</f>
        <v>46027</v>
      </c>
      <c r="C901" s="55" t="s">
        <v>23</v>
      </c>
      <c r="D901" s="91" t="s">
        <v>24</v>
      </c>
      <c r="E901" s="64" t="s">
        <v>18</v>
      </c>
      <c r="F901" s="55" t="s">
        <v>19</v>
      </c>
      <c r="G901" s="55">
        <v>1</v>
      </c>
      <c r="H901" s="55"/>
      <c r="I901" s="55"/>
      <c r="J901" s="55"/>
      <c r="K901" s="57"/>
      <c r="L901" s="55"/>
    </row>
    <row r="902" spans="1:12" s="24" customFormat="1">
      <c r="A902" s="53">
        <v>46027</v>
      </c>
      <c r="B902" s="54">
        <f>Table13[[#This Row],[Date]]</f>
        <v>46027</v>
      </c>
      <c r="C902" s="55" t="s">
        <v>23</v>
      </c>
      <c r="D902" s="91" t="s">
        <v>25</v>
      </c>
      <c r="E902" s="64" t="s">
        <v>18</v>
      </c>
      <c r="F902" s="55" t="s">
        <v>19</v>
      </c>
      <c r="G902" s="55">
        <v>1</v>
      </c>
      <c r="H902" s="55"/>
      <c r="I902" s="55"/>
      <c r="J902" s="55"/>
      <c r="K902" s="57"/>
      <c r="L902" s="55"/>
    </row>
    <row r="903" spans="1:12" s="24" customFormat="1">
      <c r="A903" s="53">
        <v>46027</v>
      </c>
      <c r="B903" s="54">
        <f>Table13[[#This Row],[Date]]</f>
        <v>46027</v>
      </c>
      <c r="C903" s="55" t="s">
        <v>23</v>
      </c>
      <c r="D903" s="91" t="s">
        <v>25</v>
      </c>
      <c r="E903" s="64" t="s">
        <v>21</v>
      </c>
      <c r="F903" s="55" t="s">
        <v>19</v>
      </c>
      <c r="G903" s="55">
        <v>1</v>
      </c>
      <c r="H903" s="55"/>
      <c r="I903" s="55"/>
      <c r="J903" s="55"/>
      <c r="K903" s="57"/>
      <c r="L903" s="55"/>
    </row>
    <row r="904" spans="1:12" s="24" customFormat="1">
      <c r="A904" s="53">
        <v>46027</v>
      </c>
      <c r="B904" s="54">
        <f>Table13[[#This Row],[Date]]</f>
        <v>46027</v>
      </c>
      <c r="C904" s="55" t="s">
        <v>26</v>
      </c>
      <c r="D904" s="74" t="s">
        <v>27</v>
      </c>
      <c r="E904" s="55" t="s">
        <v>18</v>
      </c>
      <c r="F904" s="55" t="s">
        <v>19</v>
      </c>
      <c r="G904" s="55">
        <v>1</v>
      </c>
      <c r="H904" s="55"/>
      <c r="I904" s="55"/>
      <c r="J904" s="55"/>
      <c r="K904" s="57"/>
      <c r="L904" s="55" t="s">
        <v>192</v>
      </c>
    </row>
    <row r="905" spans="1:12" s="24" customFormat="1">
      <c r="A905" s="53">
        <v>46027</v>
      </c>
      <c r="B905" s="54">
        <f>Table13[[#This Row],[Date]]</f>
        <v>46027</v>
      </c>
      <c r="C905" s="55" t="s">
        <v>26</v>
      </c>
      <c r="D905" s="74" t="s">
        <v>27</v>
      </c>
      <c r="E905" s="55" t="s">
        <v>28</v>
      </c>
      <c r="F905" s="55" t="s">
        <v>19</v>
      </c>
      <c r="G905" s="55">
        <v>1</v>
      </c>
      <c r="H905" s="55"/>
      <c r="I905" s="55"/>
      <c r="J905" s="55"/>
      <c r="K905" s="57"/>
      <c r="L905" s="55" t="s">
        <v>192</v>
      </c>
    </row>
    <row r="906" spans="1:12" s="24" customFormat="1">
      <c r="A906" s="53">
        <v>46027</v>
      </c>
      <c r="B906" s="54">
        <f>Table13[[#This Row],[Date]]</f>
        <v>46027</v>
      </c>
      <c r="C906" s="55" t="s">
        <v>26</v>
      </c>
      <c r="D906" s="74" t="s">
        <v>29</v>
      </c>
      <c r="E906" s="55" t="s">
        <v>18</v>
      </c>
      <c r="F906" s="55" t="s">
        <v>19</v>
      </c>
      <c r="G906" s="55">
        <v>1</v>
      </c>
      <c r="H906" s="55"/>
      <c r="I906" s="55"/>
      <c r="J906" s="55"/>
      <c r="K906" s="57"/>
      <c r="L906" s="55" t="s">
        <v>192</v>
      </c>
    </row>
    <row r="907" spans="1:12" s="24" customFormat="1">
      <c r="A907" s="53">
        <v>46027</v>
      </c>
      <c r="B907" s="54">
        <f>Table13[[#This Row],[Date]]</f>
        <v>46027</v>
      </c>
      <c r="C907" s="55" t="s">
        <v>26</v>
      </c>
      <c r="D907" s="74" t="s">
        <v>29</v>
      </c>
      <c r="E907" s="55" t="s">
        <v>28</v>
      </c>
      <c r="F907" s="55" t="s">
        <v>19</v>
      </c>
      <c r="G907" s="55">
        <v>1</v>
      </c>
      <c r="H907" s="55"/>
      <c r="I907" s="55"/>
      <c r="J907" s="55"/>
      <c r="K907" s="57"/>
      <c r="L907" s="55" t="s">
        <v>192</v>
      </c>
    </row>
    <row r="908" spans="1:12" s="24" customFormat="1">
      <c r="A908" s="53">
        <v>46028</v>
      </c>
      <c r="B908" s="54">
        <f>Table13[[#This Row],[Date]]</f>
        <v>46028</v>
      </c>
      <c r="C908" s="55" t="s">
        <v>26</v>
      </c>
      <c r="D908" s="74" t="s">
        <v>30</v>
      </c>
      <c r="E908" s="55" t="s">
        <v>18</v>
      </c>
      <c r="F908" s="55" t="s">
        <v>19</v>
      </c>
      <c r="G908" s="55">
        <v>1</v>
      </c>
      <c r="H908" s="55"/>
      <c r="I908" s="55"/>
      <c r="J908" s="55"/>
      <c r="K908" s="57"/>
      <c r="L908" s="55" t="s">
        <v>192</v>
      </c>
    </row>
    <row r="909" spans="1:12" s="24" customFormat="1">
      <c r="A909" s="53">
        <v>46028</v>
      </c>
      <c r="B909" s="54">
        <f>Table13[[#This Row],[Date]]</f>
        <v>46028</v>
      </c>
      <c r="C909" s="55" t="s">
        <v>26</v>
      </c>
      <c r="D909" s="74" t="s">
        <v>30</v>
      </c>
      <c r="E909" s="55" t="s">
        <v>28</v>
      </c>
      <c r="F909" s="55" t="s">
        <v>19</v>
      </c>
      <c r="G909" s="55">
        <v>1</v>
      </c>
      <c r="H909" s="55"/>
      <c r="I909" s="55"/>
      <c r="J909" s="55"/>
      <c r="K909" s="57"/>
      <c r="L909" s="55" t="s">
        <v>192</v>
      </c>
    </row>
    <row r="910" spans="1:12" s="24" customFormat="1">
      <c r="A910" s="53">
        <v>46028</v>
      </c>
      <c r="B910" s="54">
        <f>Table13[[#This Row],[Date]]</f>
        <v>46028</v>
      </c>
      <c r="C910" s="55" t="s">
        <v>26</v>
      </c>
      <c r="D910" s="74" t="s">
        <v>31</v>
      </c>
      <c r="E910" s="55" t="s">
        <v>18</v>
      </c>
      <c r="F910" s="55" t="s">
        <v>19</v>
      </c>
      <c r="G910" s="55">
        <v>1</v>
      </c>
      <c r="H910" s="55"/>
      <c r="I910" s="55"/>
      <c r="J910" s="55"/>
      <c r="K910" s="57"/>
      <c r="L910" s="55" t="s">
        <v>192</v>
      </c>
    </row>
    <row r="911" spans="1:12" s="24" customFormat="1">
      <c r="A911" s="53">
        <v>46028</v>
      </c>
      <c r="B911" s="54">
        <f>Table13[[#This Row],[Date]]</f>
        <v>46028</v>
      </c>
      <c r="C911" s="55" t="s">
        <v>26</v>
      </c>
      <c r="D911" s="74" t="s">
        <v>31</v>
      </c>
      <c r="E911" s="55" t="s">
        <v>28</v>
      </c>
      <c r="F911" s="55" t="s">
        <v>19</v>
      </c>
      <c r="G911" s="55">
        <v>1</v>
      </c>
      <c r="H911" s="55"/>
      <c r="I911" s="55"/>
      <c r="J911" s="55"/>
      <c r="K911" s="57"/>
      <c r="L911" s="55" t="s">
        <v>192</v>
      </c>
    </row>
    <row r="912" spans="1:12" s="24" customFormat="1">
      <c r="A912" s="48">
        <v>46028</v>
      </c>
      <c r="B912" s="49">
        <f>Table13[[#This Row],[Date]]</f>
        <v>46028</v>
      </c>
      <c r="C912" s="50" t="s">
        <v>4</v>
      </c>
      <c r="D912" s="51" t="s">
        <v>32</v>
      </c>
      <c r="E912" s="50"/>
      <c r="F912" s="50"/>
      <c r="G912" s="50"/>
      <c r="H912" s="50"/>
      <c r="I912" s="50"/>
      <c r="J912" s="50"/>
      <c r="K912" s="52"/>
      <c r="L912" s="50"/>
    </row>
    <row r="913" spans="1:12" s="24" customFormat="1">
      <c r="A913" s="53">
        <v>46029</v>
      </c>
      <c r="B913" s="54">
        <f>Table13[[#This Row],[Date]]</f>
        <v>46029</v>
      </c>
      <c r="C913" s="55" t="s">
        <v>14</v>
      </c>
      <c r="D913" s="91" t="s">
        <v>33</v>
      </c>
      <c r="E913" s="77" t="s">
        <v>18</v>
      </c>
      <c r="F913" s="55" t="s">
        <v>19</v>
      </c>
      <c r="G913" s="55">
        <v>1</v>
      </c>
      <c r="H913" s="55"/>
      <c r="I913" s="55"/>
      <c r="J913" s="55"/>
      <c r="K913" s="57"/>
      <c r="L913" s="55" t="s">
        <v>193</v>
      </c>
    </row>
    <row r="914" spans="1:12" s="24" customFormat="1">
      <c r="A914" s="53">
        <v>46029</v>
      </c>
      <c r="B914" s="54">
        <f>Table13[[#This Row],[Date]]</f>
        <v>46029</v>
      </c>
      <c r="C914" s="55" t="s">
        <v>14</v>
      </c>
      <c r="D914" s="91" t="s">
        <v>33</v>
      </c>
      <c r="E914" s="55" t="s">
        <v>21</v>
      </c>
      <c r="F914" s="55" t="s">
        <v>19</v>
      </c>
      <c r="G914" s="55">
        <v>1</v>
      </c>
      <c r="H914" s="55"/>
      <c r="I914" s="55"/>
      <c r="J914" s="55"/>
      <c r="K914" s="57"/>
      <c r="L914" s="55" t="s">
        <v>193</v>
      </c>
    </row>
    <row r="915" spans="1:12" s="24" customFormat="1">
      <c r="A915" s="53">
        <v>46029</v>
      </c>
      <c r="B915" s="54">
        <f>Table13[[#This Row],[Date]]</f>
        <v>46029</v>
      </c>
      <c r="C915" s="55" t="s">
        <v>14</v>
      </c>
      <c r="D915" s="156" t="s">
        <v>33</v>
      </c>
      <c r="E915" s="77" t="s">
        <v>34</v>
      </c>
      <c r="F915" s="55" t="s">
        <v>19</v>
      </c>
      <c r="G915" s="55">
        <v>1</v>
      </c>
      <c r="H915" s="55"/>
      <c r="I915" s="55"/>
      <c r="J915" s="55"/>
      <c r="K915" s="57"/>
      <c r="L915" s="55" t="s">
        <v>193</v>
      </c>
    </row>
    <row r="916" spans="1:12" s="24" customFormat="1">
      <c r="A916" s="53">
        <v>46029</v>
      </c>
      <c r="B916" s="54">
        <f>Table13[[#This Row],[Date]]</f>
        <v>46029</v>
      </c>
      <c r="C916" s="55" t="s">
        <v>14</v>
      </c>
      <c r="D916" s="156" t="s">
        <v>33</v>
      </c>
      <c r="E916" s="77" t="s">
        <v>35</v>
      </c>
      <c r="F916" s="55" t="s">
        <v>19</v>
      </c>
      <c r="G916" s="55">
        <v>1</v>
      </c>
      <c r="H916" s="55"/>
      <c r="I916" s="55"/>
      <c r="J916" s="55"/>
      <c r="K916" s="57"/>
      <c r="L916" s="55" t="s">
        <v>193</v>
      </c>
    </row>
    <row r="917" spans="1:12" s="24" customFormat="1">
      <c r="A917" s="15">
        <v>46029</v>
      </c>
      <c r="B917" s="104">
        <f>Table13[[#This Row],[Date]]</f>
        <v>46029</v>
      </c>
      <c r="C917" s="105" t="s">
        <v>16</v>
      </c>
      <c r="D917" s="276" t="s">
        <v>22</v>
      </c>
      <c r="E917" s="107" t="s">
        <v>18</v>
      </c>
      <c r="F917" s="105" t="s">
        <v>19</v>
      </c>
      <c r="G917" s="105">
        <v>1</v>
      </c>
      <c r="H917" s="105"/>
      <c r="I917" s="105"/>
      <c r="J917" s="105"/>
      <c r="K917" s="108"/>
      <c r="L917" s="105"/>
    </row>
    <row r="918" spans="1:12" s="24" customFormat="1">
      <c r="A918" s="15">
        <v>46029</v>
      </c>
      <c r="B918" s="17">
        <f>Table13[[#This Row],[Date]]</f>
        <v>46029</v>
      </c>
      <c r="C918" s="1" t="s">
        <v>23</v>
      </c>
      <c r="D918" s="275" t="s">
        <v>38</v>
      </c>
      <c r="E918" s="1" t="s">
        <v>18</v>
      </c>
      <c r="F918" s="1" t="s">
        <v>19</v>
      </c>
      <c r="G918" s="1">
        <v>1</v>
      </c>
      <c r="H918" s="1"/>
      <c r="I918" s="1"/>
      <c r="J918" s="1"/>
      <c r="K918" s="3"/>
      <c r="L918" s="1"/>
    </row>
    <row r="919" spans="1:12" s="24" customFormat="1">
      <c r="A919" s="53">
        <v>46029</v>
      </c>
      <c r="B919" s="54">
        <f>Table13[[#This Row],[Date]]</f>
        <v>46029</v>
      </c>
      <c r="C919" s="55" t="s">
        <v>26</v>
      </c>
      <c r="D919" s="154" t="s">
        <v>39</v>
      </c>
      <c r="E919" s="55" t="s">
        <v>18</v>
      </c>
      <c r="F919" s="55" t="s">
        <v>19</v>
      </c>
      <c r="G919" s="55">
        <v>1</v>
      </c>
      <c r="H919" s="55"/>
      <c r="I919" s="55"/>
      <c r="J919" s="55"/>
      <c r="K919" s="57"/>
      <c r="L919" s="55" t="s">
        <v>192</v>
      </c>
    </row>
    <row r="920" spans="1:12" s="24" customFormat="1">
      <c r="A920" s="53">
        <v>46029</v>
      </c>
      <c r="B920" s="54">
        <f>Table13[[#This Row],[Date]]</f>
        <v>46029</v>
      </c>
      <c r="C920" s="55" t="s">
        <v>26</v>
      </c>
      <c r="D920" s="154" t="s">
        <v>39</v>
      </c>
      <c r="E920" s="55" t="s">
        <v>28</v>
      </c>
      <c r="F920" s="55" t="s">
        <v>19</v>
      </c>
      <c r="G920" s="55">
        <v>1</v>
      </c>
      <c r="H920" s="55"/>
      <c r="I920" s="55"/>
      <c r="J920" s="55"/>
      <c r="K920" s="57"/>
      <c r="L920" s="55" t="s">
        <v>192</v>
      </c>
    </row>
    <row r="921" spans="1:12">
      <c r="A921" s="53">
        <v>46029</v>
      </c>
      <c r="B921" s="54">
        <f>Table13[[#This Row],[Date]]</f>
        <v>46029</v>
      </c>
      <c r="C921" s="55" t="s">
        <v>26</v>
      </c>
      <c r="D921" s="74" t="s">
        <v>40</v>
      </c>
      <c r="E921" s="55" t="s">
        <v>18</v>
      </c>
      <c r="F921" s="55" t="s">
        <v>19</v>
      </c>
      <c r="G921" s="55">
        <v>1</v>
      </c>
      <c r="H921" s="55"/>
      <c r="I921" s="55"/>
      <c r="J921" s="55"/>
      <c r="K921" s="57"/>
      <c r="L921" s="55" t="s">
        <v>192</v>
      </c>
    </row>
    <row r="922" spans="1:12">
      <c r="A922" s="53">
        <v>46029</v>
      </c>
      <c r="B922" s="54">
        <f>Table13[[#This Row],[Date]]</f>
        <v>46029</v>
      </c>
      <c r="C922" s="55" t="s">
        <v>26</v>
      </c>
      <c r="D922" s="74" t="s">
        <v>40</v>
      </c>
      <c r="E922" s="55" t="s">
        <v>28</v>
      </c>
      <c r="F922" s="55" t="s">
        <v>19</v>
      </c>
      <c r="G922" s="55">
        <v>1</v>
      </c>
      <c r="H922" s="55"/>
      <c r="I922" s="55"/>
      <c r="J922" s="55"/>
      <c r="K922" s="57"/>
      <c r="L922" s="55" t="s">
        <v>192</v>
      </c>
    </row>
    <row r="923" spans="1:12">
      <c r="A923" s="53">
        <v>46030</v>
      </c>
      <c r="B923" s="54">
        <f>Table13[[#This Row],[Date]]</f>
        <v>46030</v>
      </c>
      <c r="C923" s="55" t="s">
        <v>14</v>
      </c>
      <c r="D923" s="91" t="s">
        <v>33</v>
      </c>
      <c r="E923" s="64" t="s">
        <v>41</v>
      </c>
      <c r="F923" s="55" t="s">
        <v>19</v>
      </c>
      <c r="G923" s="55">
        <v>1</v>
      </c>
      <c r="H923" s="55"/>
      <c r="I923" s="55"/>
      <c r="J923" s="55"/>
      <c r="K923" s="57"/>
      <c r="L923" s="55" t="s">
        <v>193</v>
      </c>
    </row>
    <row r="924" spans="1:12" s="24" customFormat="1">
      <c r="A924" s="53">
        <v>46030</v>
      </c>
      <c r="B924" s="54">
        <f>Table13[[#This Row],[Date]]</f>
        <v>46030</v>
      </c>
      <c r="C924" s="55" t="s">
        <v>14</v>
      </c>
      <c r="D924" s="156" t="s">
        <v>33</v>
      </c>
      <c r="E924" s="55" t="s">
        <v>42</v>
      </c>
      <c r="F924" s="55" t="s">
        <v>19</v>
      </c>
      <c r="G924" s="55">
        <v>1</v>
      </c>
      <c r="H924" s="55"/>
      <c r="I924" s="55"/>
      <c r="J924" s="55"/>
      <c r="K924" s="57"/>
      <c r="L924" s="55" t="s">
        <v>193</v>
      </c>
    </row>
    <row r="925" spans="1:12" s="24" customFormat="1">
      <c r="A925" s="53">
        <v>46030</v>
      </c>
      <c r="B925" s="54">
        <f>Table13[[#This Row],[Date]]</f>
        <v>46030</v>
      </c>
      <c r="C925" s="55" t="s">
        <v>14</v>
      </c>
      <c r="D925" s="156" t="s">
        <v>33</v>
      </c>
      <c r="E925" s="55" t="s">
        <v>43</v>
      </c>
      <c r="F925" s="55" t="s">
        <v>19</v>
      </c>
      <c r="G925" s="55">
        <v>1</v>
      </c>
      <c r="H925" s="55"/>
      <c r="I925" s="55"/>
      <c r="J925" s="55"/>
      <c r="K925" s="57"/>
      <c r="L925" s="55" t="s">
        <v>193</v>
      </c>
    </row>
    <row r="926" spans="1:12" s="24" customFormat="1">
      <c r="A926" s="53">
        <v>46030</v>
      </c>
      <c r="B926" s="54">
        <f>Table13[[#This Row],[Date]]</f>
        <v>46030</v>
      </c>
      <c r="C926" s="55" t="s">
        <v>14</v>
      </c>
      <c r="D926" s="156" t="s">
        <v>33</v>
      </c>
      <c r="E926" s="64" t="s">
        <v>44</v>
      </c>
      <c r="F926" s="55" t="s">
        <v>19</v>
      </c>
      <c r="G926" s="55">
        <v>1</v>
      </c>
      <c r="H926" s="55"/>
      <c r="I926" s="55"/>
      <c r="J926" s="55"/>
      <c r="K926" s="57"/>
      <c r="L926" s="55" t="s">
        <v>193</v>
      </c>
    </row>
    <row r="927" spans="1:12" s="24" customFormat="1">
      <c r="A927" s="53">
        <v>46030</v>
      </c>
      <c r="B927" s="54">
        <f>Table13[[#This Row],[Date]]</f>
        <v>46030</v>
      </c>
      <c r="C927" s="55" t="s">
        <v>14</v>
      </c>
      <c r="D927" s="156" t="s">
        <v>33</v>
      </c>
      <c r="E927" s="64" t="s">
        <v>45</v>
      </c>
      <c r="F927" s="55" t="s">
        <v>19</v>
      </c>
      <c r="G927" s="55">
        <v>1</v>
      </c>
      <c r="H927" s="55"/>
      <c r="I927" s="55"/>
      <c r="J927" s="55"/>
      <c r="K927" s="57"/>
      <c r="L927" s="55" t="s">
        <v>193</v>
      </c>
    </row>
    <row r="928" spans="1:12" s="24" customFormat="1">
      <c r="A928" s="53">
        <v>46030</v>
      </c>
      <c r="B928" s="54">
        <f>Table13[[#This Row],[Date]]</f>
        <v>46030</v>
      </c>
      <c r="C928" s="55" t="s">
        <v>16</v>
      </c>
      <c r="D928" s="70" t="s">
        <v>46</v>
      </c>
      <c r="E928" s="64" t="s">
        <v>18</v>
      </c>
      <c r="F928" s="55" t="s">
        <v>19</v>
      </c>
      <c r="G928" s="55">
        <v>1</v>
      </c>
      <c r="H928" s="55"/>
      <c r="I928" s="55"/>
      <c r="J928" s="55"/>
      <c r="K928" s="57"/>
      <c r="L928" s="55"/>
    </row>
    <row r="929" spans="1:12" s="24" customFormat="1">
      <c r="A929" s="53">
        <v>46030</v>
      </c>
      <c r="B929" s="54">
        <f>Table13[[#This Row],[Date]]</f>
        <v>46030</v>
      </c>
      <c r="C929" s="55" t="s">
        <v>16</v>
      </c>
      <c r="D929" s="70" t="s">
        <v>46</v>
      </c>
      <c r="E929" s="64" t="s">
        <v>21</v>
      </c>
      <c r="F929" s="55" t="s">
        <v>19</v>
      </c>
      <c r="G929" s="55">
        <v>1</v>
      </c>
      <c r="H929" s="55"/>
      <c r="I929" s="55"/>
      <c r="J929" s="55"/>
      <c r="K929" s="57"/>
      <c r="L929" s="55"/>
    </row>
    <row r="930" spans="1:12" s="24" customFormat="1">
      <c r="A930" s="53">
        <v>46030</v>
      </c>
      <c r="B930" s="54">
        <f>Table13[[#This Row],[Date]]</f>
        <v>46030</v>
      </c>
      <c r="C930" s="55" t="s">
        <v>16</v>
      </c>
      <c r="D930" s="70" t="s">
        <v>46</v>
      </c>
      <c r="E930" s="64" t="s">
        <v>47</v>
      </c>
      <c r="F930" s="55" t="s">
        <v>19</v>
      </c>
      <c r="G930" s="55">
        <v>1</v>
      </c>
      <c r="H930" s="55"/>
      <c r="I930" s="55"/>
      <c r="J930" s="55"/>
      <c r="K930" s="57"/>
      <c r="L930" s="55"/>
    </row>
    <row r="931" spans="1:12" s="24" customFormat="1">
      <c r="A931" s="53">
        <v>46030</v>
      </c>
      <c r="B931" s="54">
        <f>Table13[[#This Row],[Date]]</f>
        <v>46030</v>
      </c>
      <c r="C931" s="55" t="s">
        <v>26</v>
      </c>
      <c r="D931" s="75" t="s">
        <v>48</v>
      </c>
      <c r="E931" s="64" t="s">
        <v>18</v>
      </c>
      <c r="F931" s="55" t="s">
        <v>19</v>
      </c>
      <c r="G931" s="55">
        <v>1</v>
      </c>
      <c r="H931" s="55"/>
      <c r="I931" s="55"/>
      <c r="J931" s="55"/>
      <c r="K931" s="57"/>
      <c r="L931" s="55" t="s">
        <v>192</v>
      </c>
    </row>
    <row r="932" spans="1:12" s="24" customFormat="1">
      <c r="A932" s="53">
        <v>46030</v>
      </c>
      <c r="B932" s="54">
        <f>Table13[[#This Row],[Date]]</f>
        <v>46030</v>
      </c>
      <c r="C932" s="55" t="s">
        <v>26</v>
      </c>
      <c r="D932" s="75" t="s">
        <v>48</v>
      </c>
      <c r="E932" s="64" t="s">
        <v>21</v>
      </c>
      <c r="F932" s="55" t="s">
        <v>19</v>
      </c>
      <c r="G932" s="55">
        <v>1</v>
      </c>
      <c r="H932" s="55"/>
      <c r="I932" s="55"/>
      <c r="J932" s="55"/>
      <c r="K932" s="57"/>
      <c r="L932" s="55" t="s">
        <v>192</v>
      </c>
    </row>
    <row r="933" spans="1:12" s="24" customFormat="1">
      <c r="A933" s="53">
        <v>46030</v>
      </c>
      <c r="B933" s="54">
        <f>Table13[[#This Row],[Date]]</f>
        <v>46030</v>
      </c>
      <c r="C933" s="55" t="s">
        <v>26</v>
      </c>
      <c r="D933" s="75" t="s">
        <v>48</v>
      </c>
      <c r="E933" s="64" t="s">
        <v>49</v>
      </c>
      <c r="F933" s="55" t="s">
        <v>19</v>
      </c>
      <c r="G933" s="55">
        <v>1</v>
      </c>
      <c r="H933" s="55"/>
      <c r="I933" s="55"/>
      <c r="J933" s="55"/>
      <c r="K933" s="57"/>
      <c r="L933" s="55" t="s">
        <v>192</v>
      </c>
    </row>
    <row r="934" spans="1:12" s="24" customFormat="1">
      <c r="A934" s="53">
        <v>46030</v>
      </c>
      <c r="B934" s="54">
        <f>Table13[[#This Row],[Date]]</f>
        <v>46030</v>
      </c>
      <c r="C934" s="55" t="s">
        <v>26</v>
      </c>
      <c r="D934" s="75" t="s">
        <v>48</v>
      </c>
      <c r="E934" s="64" t="s">
        <v>41</v>
      </c>
      <c r="F934" s="55" t="s">
        <v>19</v>
      </c>
      <c r="G934" s="55">
        <v>1</v>
      </c>
      <c r="H934" s="55"/>
      <c r="I934" s="55"/>
      <c r="J934" s="55"/>
      <c r="K934" s="57"/>
      <c r="L934" s="55" t="s">
        <v>192</v>
      </c>
    </row>
    <row r="935" spans="1:12" s="24" customFormat="1">
      <c r="A935" s="53">
        <v>46031</v>
      </c>
      <c r="B935" s="54">
        <f>Table13[[#This Row],[Date]]</f>
        <v>46031</v>
      </c>
      <c r="C935" s="55" t="s">
        <v>16</v>
      </c>
      <c r="D935" s="160" t="s">
        <v>50</v>
      </c>
      <c r="E935" s="64" t="s">
        <v>47</v>
      </c>
      <c r="F935" s="55" t="s">
        <v>19</v>
      </c>
      <c r="G935" s="55">
        <v>1</v>
      </c>
      <c r="H935" s="55"/>
      <c r="I935" s="55"/>
      <c r="J935" s="55"/>
      <c r="K935" s="57"/>
      <c r="L935" s="55"/>
    </row>
    <row r="936" spans="1:12" s="24" customFormat="1">
      <c r="A936" s="53">
        <v>46031</v>
      </c>
      <c r="B936" s="54">
        <f>Table13[[#This Row],[Date]]</f>
        <v>46031</v>
      </c>
      <c r="C936" s="55" t="s">
        <v>16</v>
      </c>
      <c r="D936" s="118" t="s">
        <v>50</v>
      </c>
      <c r="E936" s="64" t="s">
        <v>18</v>
      </c>
      <c r="F936" s="55" t="s">
        <v>19</v>
      </c>
      <c r="G936" s="55">
        <v>1</v>
      </c>
      <c r="H936" s="55"/>
      <c r="I936" s="55"/>
      <c r="J936" s="55"/>
      <c r="K936" s="57"/>
      <c r="L936" s="55"/>
    </row>
    <row r="937" spans="1:12" s="24" customFormat="1">
      <c r="A937" s="53">
        <v>46031</v>
      </c>
      <c r="B937" s="54">
        <f>Table13[[#This Row],[Date]]</f>
        <v>46031</v>
      </c>
      <c r="C937" s="55" t="s">
        <v>16</v>
      </c>
      <c r="D937" s="118" t="s">
        <v>50</v>
      </c>
      <c r="E937" s="64" t="s">
        <v>21</v>
      </c>
      <c r="F937" s="55" t="s">
        <v>19</v>
      </c>
      <c r="G937" s="55">
        <v>1</v>
      </c>
      <c r="H937" s="55"/>
      <c r="I937" s="55"/>
      <c r="J937" s="55"/>
      <c r="K937" s="57"/>
      <c r="L937" s="55"/>
    </row>
    <row r="938" spans="1:12" s="24" customFormat="1">
      <c r="A938" s="103">
        <v>46031</v>
      </c>
      <c r="B938" s="104">
        <f>Table13[[#This Row],[Date]]</f>
        <v>46031</v>
      </c>
      <c r="C938" s="105" t="s">
        <v>16</v>
      </c>
      <c r="D938" s="128" t="s">
        <v>51</v>
      </c>
      <c r="E938" s="105" t="s">
        <v>18</v>
      </c>
      <c r="F938" s="105" t="s">
        <v>19</v>
      </c>
      <c r="G938" s="105">
        <v>1</v>
      </c>
      <c r="H938" s="105"/>
      <c r="I938" s="105"/>
      <c r="J938" s="105"/>
      <c r="K938" s="108"/>
      <c r="L938" s="105"/>
    </row>
    <row r="939" spans="1:12" s="24" customFormat="1">
      <c r="A939" s="53">
        <v>46031</v>
      </c>
      <c r="B939" s="54">
        <f>Table13[[#This Row],[Date]]</f>
        <v>46031</v>
      </c>
      <c r="C939" s="55" t="s">
        <v>23</v>
      </c>
      <c r="D939" s="70" t="s">
        <v>82</v>
      </c>
      <c r="E939" s="55" t="s">
        <v>18</v>
      </c>
      <c r="F939" s="55" t="s">
        <v>19</v>
      </c>
      <c r="G939" s="55">
        <v>1</v>
      </c>
      <c r="H939" s="55"/>
      <c r="I939" s="55"/>
      <c r="J939" s="55"/>
      <c r="K939" s="57"/>
      <c r="L939" s="55"/>
    </row>
    <row r="940" spans="1:12" s="24" customFormat="1">
      <c r="A940" s="53">
        <v>46031</v>
      </c>
      <c r="B940" s="54">
        <f>Table13[[#This Row],[Date]]</f>
        <v>46031</v>
      </c>
      <c r="C940" s="55" t="s">
        <v>23</v>
      </c>
      <c r="D940" s="163" t="s">
        <v>52</v>
      </c>
      <c r="E940" s="64" t="s">
        <v>47</v>
      </c>
      <c r="F940" s="55" t="s">
        <v>19</v>
      </c>
      <c r="G940" s="55">
        <v>1</v>
      </c>
      <c r="H940" s="55"/>
      <c r="I940" s="55"/>
      <c r="J940" s="55"/>
      <c r="K940" s="57"/>
      <c r="L940" s="55"/>
    </row>
    <row r="941" spans="1:12" s="24" customFormat="1">
      <c r="A941" s="53">
        <v>46031</v>
      </c>
      <c r="B941" s="54">
        <f>Table13[[#This Row],[Date]]</f>
        <v>46031</v>
      </c>
      <c r="C941" s="55" t="s">
        <v>23</v>
      </c>
      <c r="D941" s="156" t="s">
        <v>54</v>
      </c>
      <c r="E941" s="64" t="s">
        <v>18</v>
      </c>
      <c r="F941" s="55" t="s">
        <v>19</v>
      </c>
      <c r="G941" s="55">
        <v>1</v>
      </c>
      <c r="H941" s="55"/>
      <c r="I941" s="55"/>
      <c r="J941" s="55"/>
      <c r="K941" s="57"/>
      <c r="L941" s="55"/>
    </row>
    <row r="942" spans="1:12" s="24" customFormat="1">
      <c r="A942" s="53">
        <v>46031</v>
      </c>
      <c r="B942" s="54">
        <f>Table13[[#This Row],[Date]]</f>
        <v>46031</v>
      </c>
      <c r="C942" s="55" t="s">
        <v>23</v>
      </c>
      <c r="D942" s="156" t="s">
        <v>54</v>
      </c>
      <c r="E942" s="64" t="s">
        <v>21</v>
      </c>
      <c r="F942" s="55" t="s">
        <v>19</v>
      </c>
      <c r="G942" s="55">
        <v>1</v>
      </c>
      <c r="H942" s="55"/>
      <c r="I942" s="55"/>
      <c r="J942" s="55"/>
      <c r="K942" s="57"/>
      <c r="L942" s="55"/>
    </row>
    <row r="943" spans="1:12" s="24" customFormat="1">
      <c r="A943" s="53">
        <v>46031</v>
      </c>
      <c r="B943" s="54">
        <f>Table13[[#This Row],[Date]]</f>
        <v>46031</v>
      </c>
      <c r="C943" s="55" t="s">
        <v>26</v>
      </c>
      <c r="D943" s="75" t="s">
        <v>55</v>
      </c>
      <c r="E943" s="64" t="s">
        <v>18</v>
      </c>
      <c r="F943" s="55" t="s">
        <v>19</v>
      </c>
      <c r="G943" s="55">
        <v>1</v>
      </c>
      <c r="H943" s="55"/>
      <c r="I943" s="55"/>
      <c r="J943" s="55"/>
      <c r="K943" s="57"/>
      <c r="L943" s="55"/>
    </row>
    <row r="944" spans="1:12" s="24" customFormat="1">
      <c r="A944" s="53">
        <v>46031</v>
      </c>
      <c r="B944" s="54">
        <f>Table13[[#This Row],[Date]]</f>
        <v>46031</v>
      </c>
      <c r="C944" s="55" t="s">
        <v>26</v>
      </c>
      <c r="D944" s="75" t="s">
        <v>55</v>
      </c>
      <c r="E944" s="64" t="s">
        <v>21</v>
      </c>
      <c r="F944" s="55" t="s">
        <v>19</v>
      </c>
      <c r="G944" s="55">
        <v>1</v>
      </c>
      <c r="H944" s="55"/>
      <c r="I944" s="55"/>
      <c r="J944" s="55"/>
      <c r="K944" s="57"/>
      <c r="L944" s="55"/>
    </row>
    <row r="945" spans="1:12" s="24" customFormat="1">
      <c r="A945" s="53">
        <v>46031</v>
      </c>
      <c r="B945" s="54">
        <f>Table13[[#This Row],[Date]]</f>
        <v>46031</v>
      </c>
      <c r="C945" s="55"/>
      <c r="D945" s="163" t="s">
        <v>52</v>
      </c>
      <c r="E945" s="64" t="s">
        <v>53</v>
      </c>
      <c r="F945" s="55" t="s">
        <v>19</v>
      </c>
      <c r="G945" s="55">
        <v>1</v>
      </c>
      <c r="H945" s="63"/>
      <c r="I945" s="63"/>
      <c r="J945" s="63"/>
      <c r="K945" s="71"/>
      <c r="L945" s="55"/>
    </row>
    <row r="946" spans="1:12" s="24" customFormat="1">
      <c r="A946" s="16">
        <v>46032</v>
      </c>
      <c r="B946" s="18">
        <f>Table13[[#This Row],[Date]]</f>
        <v>46032</v>
      </c>
      <c r="C946" s="10" t="s">
        <v>4</v>
      </c>
      <c r="D946" s="11" t="s">
        <v>87</v>
      </c>
      <c r="E946" s="10" t="s">
        <v>88</v>
      </c>
      <c r="F946" s="10" t="s">
        <v>19</v>
      </c>
      <c r="G946" s="10">
        <v>1</v>
      </c>
      <c r="H946" s="10"/>
      <c r="I946" s="10"/>
      <c r="J946" s="10"/>
      <c r="K946" s="13"/>
      <c r="L946" s="10"/>
    </row>
    <row r="947" spans="1:12" s="24" customFormat="1">
      <c r="A947" s="16">
        <v>46032</v>
      </c>
      <c r="B947" s="18">
        <f>Table13[[#This Row],[Date]]</f>
        <v>46032</v>
      </c>
      <c r="C947" s="10" t="s">
        <v>4</v>
      </c>
      <c r="D947" s="11" t="s">
        <v>87</v>
      </c>
      <c r="E947" s="10" t="s">
        <v>89</v>
      </c>
      <c r="F947" s="10" t="s">
        <v>19</v>
      </c>
      <c r="G947" s="10">
        <v>1</v>
      </c>
      <c r="H947" s="10"/>
      <c r="I947" s="10"/>
      <c r="J947" s="10"/>
      <c r="K947" s="13"/>
      <c r="L947" s="10"/>
    </row>
    <row r="948" spans="1:12" s="24" customFormat="1">
      <c r="A948" s="16">
        <v>46032</v>
      </c>
      <c r="B948" s="18">
        <f>Table13[[#This Row],[Date]]</f>
        <v>46032</v>
      </c>
      <c r="C948" s="10" t="s">
        <v>4</v>
      </c>
      <c r="D948" s="11" t="s">
        <v>87</v>
      </c>
      <c r="E948" s="10" t="s">
        <v>90</v>
      </c>
      <c r="F948" s="10" t="s">
        <v>19</v>
      </c>
      <c r="G948" s="10">
        <v>1</v>
      </c>
      <c r="H948" s="10"/>
      <c r="I948" s="10"/>
      <c r="J948" s="10"/>
      <c r="K948" s="13"/>
      <c r="L948" s="10"/>
    </row>
    <row r="949" spans="1:12" s="24" customFormat="1">
      <c r="A949" s="16">
        <v>46032</v>
      </c>
      <c r="B949" s="18">
        <f>Table13[[#This Row],[Date]]</f>
        <v>46032</v>
      </c>
      <c r="C949" s="10" t="s">
        <v>4</v>
      </c>
      <c r="D949" s="11" t="s">
        <v>87</v>
      </c>
      <c r="E949" s="10" t="s">
        <v>91</v>
      </c>
      <c r="F949" s="10" t="s">
        <v>19</v>
      </c>
      <c r="G949" s="10">
        <v>1</v>
      </c>
      <c r="H949" s="10"/>
      <c r="I949" s="10"/>
      <c r="J949" s="10"/>
      <c r="K949" s="13"/>
      <c r="L949" s="10"/>
    </row>
    <row r="950" spans="1:12" s="24" customFormat="1">
      <c r="A950" s="16">
        <v>46033</v>
      </c>
      <c r="B950" s="18">
        <f>Table13[[#This Row],[Date]]</f>
        <v>46033</v>
      </c>
      <c r="C950" s="10" t="s">
        <v>23</v>
      </c>
      <c r="D950" s="9" t="s">
        <v>86</v>
      </c>
      <c r="E950" s="10" t="s">
        <v>18</v>
      </c>
      <c r="F950" s="10" t="s">
        <v>19</v>
      </c>
      <c r="G950" s="10">
        <v>1</v>
      </c>
      <c r="H950" s="10"/>
      <c r="I950" s="10"/>
      <c r="J950" s="10"/>
      <c r="K950" s="13"/>
      <c r="L950" s="10"/>
    </row>
    <row r="951" spans="1:12" s="24" customFormat="1">
      <c r="A951" s="16">
        <v>46033</v>
      </c>
      <c r="B951" s="18">
        <f>Table13[[#This Row],[Date]]</f>
        <v>46033</v>
      </c>
      <c r="C951" s="10" t="s">
        <v>23</v>
      </c>
      <c r="D951" s="9" t="s">
        <v>86</v>
      </c>
      <c r="E951" s="10" t="s">
        <v>21</v>
      </c>
      <c r="F951" s="10" t="s">
        <v>19</v>
      </c>
      <c r="G951" s="10">
        <v>1</v>
      </c>
      <c r="H951" s="10"/>
      <c r="I951" s="10"/>
      <c r="J951" s="10"/>
      <c r="K951" s="13"/>
      <c r="L951" s="10"/>
    </row>
    <row r="952" spans="1:12" s="24" customFormat="1">
      <c r="A952" s="16">
        <v>46033</v>
      </c>
      <c r="B952" s="18">
        <f>Table13[[#This Row],[Date]]</f>
        <v>46033</v>
      </c>
      <c r="C952" s="10" t="s">
        <v>23</v>
      </c>
      <c r="D952" s="9" t="s">
        <v>86</v>
      </c>
      <c r="E952" s="10" t="s">
        <v>49</v>
      </c>
      <c r="F952" s="10" t="s">
        <v>19</v>
      </c>
      <c r="G952" s="10">
        <v>1</v>
      </c>
      <c r="H952" s="10"/>
      <c r="I952" s="10"/>
      <c r="J952" s="10"/>
      <c r="K952" s="13"/>
      <c r="L952" s="10"/>
    </row>
    <row r="953" spans="1:12" s="24" customFormat="1">
      <c r="A953" s="16">
        <v>46033</v>
      </c>
      <c r="B953" s="18">
        <f>Table13[[#This Row],[Date]]</f>
        <v>46033</v>
      </c>
      <c r="C953" s="10" t="s">
        <v>4</v>
      </c>
      <c r="D953" s="9" t="s">
        <v>92</v>
      </c>
      <c r="E953" s="10" t="s">
        <v>118</v>
      </c>
      <c r="F953" s="10" t="s">
        <v>19</v>
      </c>
      <c r="G953" s="10">
        <v>1</v>
      </c>
      <c r="H953" s="10"/>
      <c r="I953" s="10"/>
      <c r="J953" s="10"/>
      <c r="K953" s="13"/>
      <c r="L953" s="10"/>
    </row>
    <row r="954" spans="1:12" s="24" customFormat="1">
      <c r="A954" s="16">
        <v>46033</v>
      </c>
      <c r="B954" s="18">
        <f>Table13[[#This Row],[Date]]</f>
        <v>46033</v>
      </c>
      <c r="C954" s="10" t="s">
        <v>4</v>
      </c>
      <c r="D954" s="9" t="s">
        <v>92</v>
      </c>
      <c r="E954" s="10" t="s">
        <v>47</v>
      </c>
      <c r="F954" s="10" t="s">
        <v>19</v>
      </c>
      <c r="G954" s="10">
        <v>1</v>
      </c>
      <c r="H954" s="10"/>
      <c r="I954" s="10"/>
      <c r="J954" s="10"/>
      <c r="K954" s="13"/>
      <c r="L954" s="10"/>
    </row>
    <row r="955" spans="1:12" s="24" customFormat="1">
      <c r="A955" s="15">
        <v>46034</v>
      </c>
      <c r="B955" s="17">
        <f>Table13[[#This Row],[Date]]</f>
        <v>46034</v>
      </c>
      <c r="C955" s="1" t="s">
        <v>14</v>
      </c>
      <c r="D955" s="135" t="s">
        <v>65</v>
      </c>
      <c r="E955" s="1" t="s">
        <v>18</v>
      </c>
      <c r="F955" s="1" t="s">
        <v>19</v>
      </c>
      <c r="G955" s="1">
        <v>1</v>
      </c>
      <c r="H955" s="1"/>
      <c r="I955" s="1"/>
      <c r="J955" s="1"/>
      <c r="K955" s="3"/>
      <c r="L955" s="1"/>
    </row>
    <row r="956" spans="1:12" s="24" customFormat="1">
      <c r="A956" s="15">
        <v>46034</v>
      </c>
      <c r="B956" s="17">
        <f>Table13[[#This Row],[Date]]</f>
        <v>46034</v>
      </c>
      <c r="C956" s="1" t="s">
        <v>14</v>
      </c>
      <c r="D956" s="152" t="s">
        <v>66</v>
      </c>
      <c r="E956" s="150" t="s">
        <v>18</v>
      </c>
      <c r="F956" s="1" t="s">
        <v>19</v>
      </c>
      <c r="G956" s="1">
        <v>1</v>
      </c>
      <c r="H956" s="1"/>
      <c r="I956" s="1"/>
      <c r="J956" s="1"/>
      <c r="K956" s="3"/>
      <c r="L956" s="1"/>
    </row>
    <row r="957" spans="1:12" s="24" customFormat="1" ht="17.45" customHeight="1">
      <c r="A957" s="15">
        <v>46034</v>
      </c>
      <c r="B957" s="17">
        <f>Table13[[#This Row],[Date]]</f>
        <v>46034</v>
      </c>
      <c r="C957" s="1" t="s">
        <v>14</v>
      </c>
      <c r="D957" s="2" t="s">
        <v>194</v>
      </c>
      <c r="E957" s="1" t="s">
        <v>18</v>
      </c>
      <c r="F957" s="1" t="s">
        <v>19</v>
      </c>
      <c r="G957" s="1">
        <v>1</v>
      </c>
      <c r="H957" s="1"/>
      <c r="I957" s="1"/>
      <c r="J957" s="1"/>
      <c r="K957" s="3"/>
      <c r="L957" s="1"/>
    </row>
    <row r="958" spans="1:12" s="24" customFormat="1" ht="13.15" customHeight="1">
      <c r="A958" s="15">
        <v>46034</v>
      </c>
      <c r="B958" s="17">
        <f>Table13[[#This Row],[Date]]</f>
        <v>46034</v>
      </c>
      <c r="C958" s="1" t="s">
        <v>23</v>
      </c>
      <c r="D958" s="135" t="s">
        <v>68</v>
      </c>
      <c r="E958" s="204" t="s">
        <v>18</v>
      </c>
      <c r="F958" s="1" t="s">
        <v>19</v>
      </c>
      <c r="G958" s="1">
        <v>1</v>
      </c>
      <c r="H958" s="1"/>
      <c r="I958" s="1"/>
      <c r="J958" s="1"/>
      <c r="K958" s="3"/>
      <c r="L958" s="1"/>
    </row>
    <row r="959" spans="1:12" s="24" customFormat="1">
      <c r="A959" s="15">
        <v>46034</v>
      </c>
      <c r="B959" s="17">
        <f>Table13[[#This Row],[Date]]</f>
        <v>46034</v>
      </c>
      <c r="C959" s="1" t="s">
        <v>23</v>
      </c>
      <c r="D959" s="135" t="s">
        <v>68</v>
      </c>
      <c r="E959" s="204" t="s">
        <v>21</v>
      </c>
      <c r="F959" s="1" t="s">
        <v>19</v>
      </c>
      <c r="G959" s="1">
        <v>1</v>
      </c>
      <c r="H959" s="1"/>
      <c r="I959" s="1"/>
      <c r="J959" s="1"/>
      <c r="K959" s="3"/>
      <c r="L959" s="1"/>
    </row>
    <row r="960" spans="1:12" s="24" customFormat="1">
      <c r="A960" s="15">
        <v>46034</v>
      </c>
      <c r="B960" s="17">
        <f>Table13[[#This Row],[Date]]</f>
        <v>46034</v>
      </c>
      <c r="C960" s="1" t="s">
        <v>23</v>
      </c>
      <c r="D960" s="304" t="s">
        <v>68</v>
      </c>
      <c r="E960" s="204" t="s">
        <v>49</v>
      </c>
      <c r="F960" s="1" t="s">
        <v>19</v>
      </c>
      <c r="G960" s="1">
        <v>1</v>
      </c>
      <c r="H960" s="1"/>
      <c r="I960" s="1"/>
      <c r="J960" s="1"/>
      <c r="K960" s="3"/>
      <c r="L960" s="1"/>
    </row>
    <row r="961" spans="1:12" s="24" customFormat="1">
      <c r="A961" s="15">
        <v>46034</v>
      </c>
      <c r="B961" s="17">
        <f>Table13[[#This Row],[Date]]</f>
        <v>46034</v>
      </c>
      <c r="C961" s="1" t="s">
        <v>23</v>
      </c>
      <c r="D961" s="304" t="s">
        <v>68</v>
      </c>
      <c r="E961" s="204" t="s">
        <v>41</v>
      </c>
      <c r="F961" s="1" t="s">
        <v>19</v>
      </c>
      <c r="G961" s="1">
        <v>1</v>
      </c>
      <c r="H961" s="1"/>
      <c r="I961" s="1"/>
      <c r="J961" s="1"/>
      <c r="K961" s="3"/>
      <c r="L961" s="1"/>
    </row>
    <row r="962" spans="1:12" s="24" customFormat="1">
      <c r="A962" s="15">
        <v>46034</v>
      </c>
      <c r="B962" s="17">
        <f>Table13[[#This Row],[Date]]</f>
        <v>46034</v>
      </c>
      <c r="C962" s="1" t="s">
        <v>26</v>
      </c>
      <c r="D962" s="2" t="s">
        <v>69</v>
      </c>
      <c r="E962" s="204" t="s">
        <v>18</v>
      </c>
      <c r="F962" s="1" t="s">
        <v>19</v>
      </c>
      <c r="G962" s="1">
        <v>1</v>
      </c>
      <c r="H962" s="1"/>
      <c r="I962" s="1"/>
      <c r="J962" s="1"/>
      <c r="K962" s="3"/>
      <c r="L962" s="1"/>
    </row>
    <row r="963" spans="1:12" s="24" customFormat="1">
      <c r="A963" s="15">
        <v>46034</v>
      </c>
      <c r="B963" s="17">
        <f>Table13[[#This Row],[Date]]</f>
        <v>46034</v>
      </c>
      <c r="C963" s="1" t="s">
        <v>26</v>
      </c>
      <c r="D963" s="2" t="s">
        <v>69</v>
      </c>
      <c r="E963" s="205" t="s">
        <v>21</v>
      </c>
      <c r="F963" s="1" t="s">
        <v>19</v>
      </c>
      <c r="G963" s="1">
        <v>1</v>
      </c>
      <c r="H963" s="1"/>
      <c r="I963" s="1"/>
      <c r="J963" s="1"/>
      <c r="K963" s="3"/>
      <c r="L963" s="1"/>
    </row>
    <row r="964" spans="1:12" s="24" customFormat="1">
      <c r="A964" s="15">
        <v>46034</v>
      </c>
      <c r="B964" s="17">
        <f>Table13[[#This Row],[Date]]</f>
        <v>46034</v>
      </c>
      <c r="C964" s="1" t="s">
        <v>26</v>
      </c>
      <c r="D964" s="305" t="s">
        <v>69</v>
      </c>
      <c r="E964" s="204" t="s">
        <v>49</v>
      </c>
      <c r="F964" s="1" t="s">
        <v>19</v>
      </c>
      <c r="G964" s="1">
        <v>1</v>
      </c>
      <c r="H964" s="1"/>
      <c r="I964" s="1"/>
      <c r="J964" s="1"/>
      <c r="K964" s="3"/>
      <c r="L964" s="1"/>
    </row>
    <row r="965" spans="1:12" s="24" customFormat="1">
      <c r="A965" s="15">
        <v>46034</v>
      </c>
      <c r="B965" s="17">
        <f>Table13[[#This Row],[Date]]</f>
        <v>46034</v>
      </c>
      <c r="C965" s="1" t="s">
        <v>26</v>
      </c>
      <c r="D965" s="2" t="s">
        <v>69</v>
      </c>
      <c r="E965" s="204" t="s">
        <v>41</v>
      </c>
      <c r="F965" s="1" t="s">
        <v>19</v>
      </c>
      <c r="G965" s="1">
        <v>1</v>
      </c>
      <c r="H965" s="1"/>
      <c r="I965" s="1"/>
      <c r="J965" s="1"/>
      <c r="K965" s="3"/>
      <c r="L965" s="1"/>
    </row>
    <row r="966" spans="1:12" s="24" customFormat="1">
      <c r="A966" s="15">
        <v>46035</v>
      </c>
      <c r="B966" s="17">
        <f>Table13[[#This Row],[Date]]</f>
        <v>46035</v>
      </c>
      <c r="C966" s="1" t="s">
        <v>14</v>
      </c>
      <c r="D966" s="304" t="s">
        <v>104</v>
      </c>
      <c r="E966" s="1" t="s">
        <v>59</v>
      </c>
      <c r="F966" s="1" t="s">
        <v>60</v>
      </c>
      <c r="G966" s="1">
        <v>1</v>
      </c>
      <c r="H966" s="1"/>
      <c r="I966" s="1"/>
      <c r="J966" s="1"/>
      <c r="K966" s="3"/>
      <c r="L966" s="1"/>
    </row>
    <row r="967" spans="1:12" s="24" customFormat="1">
      <c r="A967" s="15">
        <v>46035</v>
      </c>
      <c r="B967" s="17">
        <f>Table13[[#This Row],[Date]]</f>
        <v>46035</v>
      </c>
      <c r="C967" s="1" t="s">
        <v>14</v>
      </c>
      <c r="D967" s="135" t="s">
        <v>104</v>
      </c>
      <c r="E967" s="1" t="s">
        <v>61</v>
      </c>
      <c r="F967" s="1" t="s">
        <v>60</v>
      </c>
      <c r="G967" s="1">
        <v>1</v>
      </c>
      <c r="H967" s="1"/>
      <c r="I967" s="1"/>
      <c r="J967" s="1"/>
      <c r="K967" s="3"/>
      <c r="L967" s="1"/>
    </row>
    <row r="968" spans="1:12" s="24" customFormat="1">
      <c r="A968" s="15">
        <v>46035</v>
      </c>
      <c r="B968" s="17">
        <f>Table13[[#This Row],[Date]]</f>
        <v>46035</v>
      </c>
      <c r="C968" s="1"/>
      <c r="D968" s="2" t="s">
        <v>195</v>
      </c>
      <c r="E968" s="1" t="s">
        <v>18</v>
      </c>
      <c r="F968" s="1" t="s">
        <v>99</v>
      </c>
      <c r="G968" s="1">
        <v>1</v>
      </c>
      <c r="H968" s="1"/>
      <c r="I968" s="1"/>
      <c r="J968" s="1"/>
      <c r="K968" s="3"/>
      <c r="L968" s="1"/>
    </row>
    <row r="969" spans="1:12" s="24" customFormat="1">
      <c r="A969" s="15">
        <v>46035</v>
      </c>
      <c r="B969" s="17">
        <f>Table13[[#This Row],[Date]]</f>
        <v>46035</v>
      </c>
      <c r="C969" s="1" t="s">
        <v>26</v>
      </c>
      <c r="D969" s="2" t="s">
        <v>70</v>
      </c>
      <c r="E969" s="204" t="s">
        <v>18</v>
      </c>
      <c r="F969" s="1" t="s">
        <v>19</v>
      </c>
      <c r="G969" s="1">
        <v>1</v>
      </c>
      <c r="H969" s="1"/>
      <c r="I969" s="1"/>
      <c r="J969" s="1"/>
      <c r="K969" s="3"/>
      <c r="L969" s="1"/>
    </row>
    <row r="970" spans="1:12" s="24" customFormat="1">
      <c r="A970" s="15">
        <v>46035</v>
      </c>
      <c r="B970" s="17">
        <f>Table13[[#This Row],[Date]]</f>
        <v>46035</v>
      </c>
      <c r="C970" s="1" t="s">
        <v>26</v>
      </c>
      <c r="D970" s="305" t="s">
        <v>70</v>
      </c>
      <c r="E970" s="204" t="s">
        <v>21</v>
      </c>
      <c r="F970" s="1" t="s">
        <v>19</v>
      </c>
      <c r="G970" s="1">
        <v>1</v>
      </c>
      <c r="H970" s="1"/>
      <c r="I970" s="1"/>
      <c r="J970" s="1"/>
      <c r="K970" s="3"/>
      <c r="L970" s="1"/>
    </row>
    <row r="971" spans="1:12" s="24" customFormat="1">
      <c r="A971" s="15">
        <v>46035</v>
      </c>
      <c r="B971" s="17">
        <f>Table13[[#This Row],[Date]]</f>
        <v>46035</v>
      </c>
      <c r="C971" s="1" t="s">
        <v>26</v>
      </c>
      <c r="D971" s="305" t="s">
        <v>70</v>
      </c>
      <c r="E971" s="204" t="s">
        <v>49</v>
      </c>
      <c r="F971" s="1" t="s">
        <v>19</v>
      </c>
      <c r="G971" s="1">
        <v>1</v>
      </c>
      <c r="H971" s="1"/>
      <c r="I971" s="1"/>
      <c r="J971" s="1"/>
      <c r="K971" s="3"/>
      <c r="L971" s="1"/>
    </row>
    <row r="972" spans="1:12" s="24" customFormat="1">
      <c r="A972" s="15">
        <v>46035</v>
      </c>
      <c r="B972" s="17">
        <f>Table13[[#This Row],[Date]]</f>
        <v>46035</v>
      </c>
      <c r="C972" s="1" t="s">
        <v>26</v>
      </c>
      <c r="D972" s="305" t="s">
        <v>70</v>
      </c>
      <c r="E972" s="204" t="s">
        <v>41</v>
      </c>
      <c r="F972" s="1" t="s">
        <v>19</v>
      </c>
      <c r="G972" s="1">
        <v>1</v>
      </c>
      <c r="H972" s="1"/>
      <c r="I972" s="1"/>
      <c r="J972" s="1"/>
      <c r="K972" s="3"/>
      <c r="L972" s="1"/>
    </row>
    <row r="973" spans="1:12" s="24" customFormat="1">
      <c r="A973" s="48">
        <v>46035</v>
      </c>
      <c r="B973" s="49">
        <f>Table13[[#This Row],[Date]]</f>
        <v>46035</v>
      </c>
      <c r="C973" s="50" t="s">
        <v>4</v>
      </c>
      <c r="D973" s="51" t="s">
        <v>32</v>
      </c>
      <c r="E973" s="50"/>
      <c r="F973" s="50"/>
      <c r="G973" s="50"/>
      <c r="H973" s="50"/>
      <c r="I973" s="50"/>
      <c r="J973" s="50"/>
      <c r="K973" s="52"/>
      <c r="L973" s="50"/>
    </row>
    <row r="974" spans="1:12" s="24" customFormat="1">
      <c r="A974" s="15">
        <v>46035</v>
      </c>
      <c r="B974" s="17">
        <f>Table13[[#This Row],[Date]]</f>
        <v>46035</v>
      </c>
      <c r="C974" s="55" t="s">
        <v>23</v>
      </c>
      <c r="D974" s="59" t="s">
        <v>36</v>
      </c>
      <c r="E974" s="63" t="s">
        <v>18</v>
      </c>
      <c r="F974" s="55" t="s">
        <v>19</v>
      </c>
      <c r="G974" s="55">
        <v>1</v>
      </c>
      <c r="H974" s="1"/>
      <c r="I974" s="1"/>
      <c r="J974" s="1"/>
      <c r="K974" s="3"/>
      <c r="L974" s="1"/>
    </row>
    <row r="975" spans="1:12" s="24" customFormat="1">
      <c r="A975" s="53">
        <v>46035</v>
      </c>
      <c r="B975" s="54">
        <f>Table13[[#This Row],[Date]]</f>
        <v>46035</v>
      </c>
      <c r="C975" s="55" t="s">
        <v>14</v>
      </c>
      <c r="D975" s="70" t="s">
        <v>97</v>
      </c>
      <c r="E975" s="55" t="s">
        <v>18</v>
      </c>
      <c r="F975" s="55" t="s">
        <v>19</v>
      </c>
      <c r="G975" s="55">
        <v>1</v>
      </c>
      <c r="H975" s="55"/>
      <c r="I975" s="55"/>
      <c r="J975" s="55"/>
      <c r="K975" s="57"/>
      <c r="L975" s="55"/>
    </row>
    <row r="976" spans="1:12" s="24" customFormat="1">
      <c r="A976" s="15">
        <v>46036</v>
      </c>
      <c r="B976" s="17">
        <f>Table13[[#This Row],[Date]]</f>
        <v>46036</v>
      </c>
      <c r="C976" s="1" t="s">
        <v>23</v>
      </c>
      <c r="D976" s="135" t="s">
        <v>68</v>
      </c>
      <c r="E976" s="1" t="s">
        <v>47</v>
      </c>
      <c r="F976" s="1" t="s">
        <v>19</v>
      </c>
      <c r="G976" s="1">
        <v>1</v>
      </c>
      <c r="H976" s="1"/>
      <c r="I976" s="1"/>
      <c r="J976" s="1"/>
      <c r="K976" s="3"/>
      <c r="L976" s="1"/>
    </row>
    <row r="977" spans="1:12" s="24" customFormat="1">
      <c r="A977" s="15">
        <v>46036</v>
      </c>
      <c r="B977" s="17">
        <f>Table13[[#This Row],[Date]]</f>
        <v>46036</v>
      </c>
      <c r="C977" s="1" t="s">
        <v>26</v>
      </c>
      <c r="D977" s="305" t="s">
        <v>75</v>
      </c>
      <c r="E977" s="1" t="s">
        <v>18</v>
      </c>
      <c r="F977" s="1" t="s">
        <v>19</v>
      </c>
      <c r="G977" s="1">
        <v>1</v>
      </c>
      <c r="H977" s="1"/>
      <c r="I977" s="1"/>
      <c r="J977" s="1"/>
      <c r="K977" s="3"/>
      <c r="L977" s="1"/>
    </row>
    <row r="978" spans="1:12" s="24" customFormat="1">
      <c r="A978" s="15">
        <v>46036</v>
      </c>
      <c r="B978" s="17">
        <f>Table13[[#This Row],[Date]]</f>
        <v>46036</v>
      </c>
      <c r="C978" s="1" t="s">
        <v>26</v>
      </c>
      <c r="D978" s="2" t="s">
        <v>75</v>
      </c>
      <c r="E978" s="1" t="s">
        <v>21</v>
      </c>
      <c r="F978" s="1" t="s">
        <v>19</v>
      </c>
      <c r="G978" s="1">
        <v>1</v>
      </c>
      <c r="H978" s="1"/>
      <c r="I978" s="1"/>
      <c r="J978" s="1"/>
      <c r="K978" s="3"/>
      <c r="L978" s="1"/>
    </row>
    <row r="979" spans="1:12" s="24" customFormat="1">
      <c r="A979" s="15">
        <v>46036</v>
      </c>
      <c r="B979" s="17">
        <f>Table13[[#This Row],[Date]]</f>
        <v>46036</v>
      </c>
      <c r="C979" s="1" t="s">
        <v>26</v>
      </c>
      <c r="D979" s="2" t="s">
        <v>75</v>
      </c>
      <c r="E979" s="1" t="s">
        <v>28</v>
      </c>
      <c r="F979" s="1" t="s">
        <v>19</v>
      </c>
      <c r="G979" s="1">
        <v>1</v>
      </c>
      <c r="H979" s="1"/>
      <c r="I979" s="1"/>
      <c r="J979" s="1"/>
      <c r="K979" s="3"/>
      <c r="L979" s="1"/>
    </row>
    <row r="980" spans="1:12" s="24" customFormat="1">
      <c r="A980" s="15">
        <v>46036</v>
      </c>
      <c r="B980" s="17">
        <f>Table13[[#This Row],[Date]]</f>
        <v>46036</v>
      </c>
      <c r="C980" s="1" t="s">
        <v>4</v>
      </c>
      <c r="D980" s="304" t="s">
        <v>79</v>
      </c>
      <c r="E980" s="204" t="s">
        <v>18</v>
      </c>
      <c r="F980" s="1" t="s">
        <v>19</v>
      </c>
      <c r="G980" s="1">
        <v>1</v>
      </c>
      <c r="H980" s="1"/>
      <c r="I980" s="1"/>
      <c r="J980" s="1"/>
      <c r="K980" s="3" t="s">
        <v>196</v>
      </c>
      <c r="L980" s="1" t="s">
        <v>197</v>
      </c>
    </row>
    <row r="981" spans="1:12" s="24" customFormat="1">
      <c r="A981" s="15">
        <v>46036</v>
      </c>
      <c r="B981" s="17">
        <f>Table13[[#This Row],[Date]]</f>
        <v>46036</v>
      </c>
      <c r="C981" s="1" t="s">
        <v>4</v>
      </c>
      <c r="D981" s="304" t="s">
        <v>79</v>
      </c>
      <c r="E981" s="1" t="s">
        <v>21</v>
      </c>
      <c r="F981" s="1" t="s">
        <v>19</v>
      </c>
      <c r="G981" s="1">
        <v>1</v>
      </c>
      <c r="H981" s="1"/>
      <c r="I981" s="1"/>
      <c r="J981" s="1"/>
      <c r="K981" s="3" t="s">
        <v>196</v>
      </c>
      <c r="L981" s="1" t="s">
        <v>197</v>
      </c>
    </row>
    <row r="982" spans="1:12" s="24" customFormat="1">
      <c r="A982" s="15">
        <v>46036</v>
      </c>
      <c r="B982" s="17">
        <f>Table13[[#This Row],[Date]]</f>
        <v>46036</v>
      </c>
      <c r="C982" s="1" t="s">
        <v>4</v>
      </c>
      <c r="D982" s="304" t="s">
        <v>80</v>
      </c>
      <c r="E982" s="204" t="s">
        <v>18</v>
      </c>
      <c r="F982" s="1" t="s">
        <v>19</v>
      </c>
      <c r="G982" s="1">
        <v>1</v>
      </c>
      <c r="H982" s="1"/>
      <c r="I982" s="1"/>
      <c r="J982" s="1"/>
      <c r="K982" s="3" t="s">
        <v>196</v>
      </c>
      <c r="L982" s="1" t="s">
        <v>197</v>
      </c>
    </row>
    <row r="983" spans="1:12" s="24" customFormat="1">
      <c r="A983" s="15">
        <v>46036</v>
      </c>
      <c r="B983" s="17">
        <f>Table13[[#This Row],[Date]]</f>
        <v>46036</v>
      </c>
      <c r="C983" s="1" t="s">
        <v>4</v>
      </c>
      <c r="D983" s="135" t="s">
        <v>80</v>
      </c>
      <c r="E983" s="1" t="s">
        <v>21</v>
      </c>
      <c r="F983" s="1" t="s">
        <v>19</v>
      </c>
      <c r="G983" s="1">
        <v>1</v>
      </c>
      <c r="H983" s="1"/>
      <c r="I983" s="1"/>
      <c r="J983" s="1"/>
      <c r="K983" s="3" t="s">
        <v>196</v>
      </c>
      <c r="L983" s="1" t="s">
        <v>197</v>
      </c>
    </row>
    <row r="984" spans="1:12" s="24" customFormat="1">
      <c r="A984" s="15">
        <v>46037</v>
      </c>
      <c r="B984" s="17">
        <f>Table13[[#This Row],[Date]]</f>
        <v>46037</v>
      </c>
      <c r="C984" s="1" t="s">
        <v>26</v>
      </c>
      <c r="D984" s="2" t="s">
        <v>78</v>
      </c>
      <c r="E984" s="150" t="s">
        <v>18</v>
      </c>
      <c r="F984" s="1" t="s">
        <v>19</v>
      </c>
      <c r="G984" s="1">
        <v>1</v>
      </c>
      <c r="H984" s="1"/>
      <c r="I984" s="1"/>
      <c r="J984" s="1"/>
      <c r="K984" s="3"/>
      <c r="L984" s="1"/>
    </row>
    <row r="985" spans="1:12" s="24" customFormat="1">
      <c r="A985" s="15">
        <v>46037</v>
      </c>
      <c r="B985" s="17">
        <f>Table13[[#This Row],[Date]]</f>
        <v>46037</v>
      </c>
      <c r="C985" s="1" t="s">
        <v>26</v>
      </c>
      <c r="D985" s="305" t="s">
        <v>78</v>
      </c>
      <c r="E985" s="1" t="s">
        <v>21</v>
      </c>
      <c r="F985" s="1" t="s">
        <v>19</v>
      </c>
      <c r="G985" s="1">
        <v>1</v>
      </c>
      <c r="H985" s="1"/>
      <c r="I985" s="1"/>
      <c r="J985" s="1"/>
      <c r="K985" s="3"/>
      <c r="L985" s="1"/>
    </row>
    <row r="986" spans="1:12" s="24" customFormat="1">
      <c r="A986" s="15">
        <v>46037</v>
      </c>
      <c r="B986" s="17">
        <f>Table13[[#This Row],[Date]]</f>
        <v>46037</v>
      </c>
      <c r="C986" s="1" t="s">
        <v>26</v>
      </c>
      <c r="D986" s="2" t="s">
        <v>78</v>
      </c>
      <c r="E986" s="1" t="s">
        <v>28</v>
      </c>
      <c r="F986" s="1" t="s">
        <v>19</v>
      </c>
      <c r="G986" s="1">
        <v>1</v>
      </c>
      <c r="H986" s="1"/>
      <c r="I986" s="1"/>
      <c r="J986" s="1"/>
      <c r="K986" s="3"/>
      <c r="L986" s="1"/>
    </row>
    <row r="987" spans="1:12" s="24" customFormat="1">
      <c r="A987" s="15">
        <v>46037</v>
      </c>
      <c r="B987" s="17">
        <f>Table13[[#This Row],[Date]]</f>
        <v>46037</v>
      </c>
      <c r="C987" s="1" t="s">
        <v>4</v>
      </c>
      <c r="D987" s="304" t="s">
        <v>71</v>
      </c>
      <c r="E987" s="1" t="s">
        <v>59</v>
      </c>
      <c r="F987" s="1" t="s">
        <v>60</v>
      </c>
      <c r="G987" s="1">
        <v>1</v>
      </c>
      <c r="H987" s="1"/>
      <c r="I987" s="1"/>
      <c r="J987" s="1"/>
      <c r="K987" s="3" t="s">
        <v>196</v>
      </c>
      <c r="L987" s="1" t="s">
        <v>197</v>
      </c>
    </row>
    <row r="988" spans="1:12" s="24" customFormat="1">
      <c r="A988" s="15">
        <v>46037</v>
      </c>
      <c r="B988" s="17">
        <f>Table13[[#This Row],[Date]]</f>
        <v>46037</v>
      </c>
      <c r="C988" s="1" t="s">
        <v>4</v>
      </c>
      <c r="D988" s="135" t="s">
        <v>71</v>
      </c>
      <c r="E988" s="1" t="s">
        <v>72</v>
      </c>
      <c r="F988" s="1" t="s">
        <v>60</v>
      </c>
      <c r="G988" s="1">
        <v>1</v>
      </c>
      <c r="H988" s="1"/>
      <c r="I988" s="1"/>
      <c r="J988" s="1"/>
      <c r="K988" s="3" t="s">
        <v>196</v>
      </c>
      <c r="L988" s="1" t="s">
        <v>197</v>
      </c>
    </row>
    <row r="989" spans="1:12" s="24" customFormat="1">
      <c r="A989" s="15">
        <v>46037</v>
      </c>
      <c r="B989" s="17">
        <f>Table13[[#This Row],[Date]]</f>
        <v>46037</v>
      </c>
      <c r="C989" s="1" t="s">
        <v>4</v>
      </c>
      <c r="D989" s="135" t="s">
        <v>71</v>
      </c>
      <c r="E989" s="1" t="s">
        <v>73</v>
      </c>
      <c r="F989" s="1" t="s">
        <v>60</v>
      </c>
      <c r="G989" s="1">
        <v>1</v>
      </c>
      <c r="H989" s="1"/>
      <c r="I989" s="1"/>
      <c r="J989" s="1"/>
      <c r="K989" s="3" t="s">
        <v>196</v>
      </c>
      <c r="L989" s="1" t="s">
        <v>197</v>
      </c>
    </row>
    <row r="990" spans="1:12" s="24" customFormat="1">
      <c r="A990" s="15">
        <v>46038</v>
      </c>
      <c r="B990" s="17">
        <f>Table13[[#This Row],[Date]]</f>
        <v>46038</v>
      </c>
      <c r="C990" s="1" t="s">
        <v>14</v>
      </c>
      <c r="D990" s="2" t="s">
        <v>112</v>
      </c>
      <c r="E990" s="1" t="s">
        <v>18</v>
      </c>
      <c r="F990" s="1" t="s">
        <v>99</v>
      </c>
      <c r="G990" s="1">
        <v>1</v>
      </c>
      <c r="H990" s="1"/>
      <c r="I990" s="1"/>
      <c r="J990" s="1"/>
      <c r="K990" s="3"/>
      <c r="L990" s="1"/>
    </row>
    <row r="991" spans="1:12" s="24" customFormat="1">
      <c r="A991" s="15">
        <v>46038</v>
      </c>
      <c r="B991" s="17">
        <f>Table13[[#This Row],[Date]]</f>
        <v>46038</v>
      </c>
      <c r="C991" s="1" t="s">
        <v>26</v>
      </c>
      <c r="D991" s="2" t="s">
        <v>85</v>
      </c>
      <c r="E991" s="306" t="s">
        <v>18</v>
      </c>
      <c r="F991" s="1" t="s">
        <v>19</v>
      </c>
      <c r="G991" s="1">
        <v>1</v>
      </c>
      <c r="H991" s="1"/>
      <c r="I991" s="1"/>
      <c r="J991" s="1"/>
      <c r="K991" s="3"/>
      <c r="L991" s="1"/>
    </row>
    <row r="992" spans="1:12" s="24" customFormat="1">
      <c r="A992" s="15">
        <v>46038</v>
      </c>
      <c r="B992" s="17">
        <f>Table13[[#This Row],[Date]]</f>
        <v>46038</v>
      </c>
      <c r="C992" s="1" t="s">
        <v>26</v>
      </c>
      <c r="D992" s="305" t="s">
        <v>85</v>
      </c>
      <c r="E992" s="306" t="s">
        <v>21</v>
      </c>
      <c r="F992" s="1" t="s">
        <v>19</v>
      </c>
      <c r="G992" s="1">
        <v>1</v>
      </c>
      <c r="H992" s="1"/>
      <c r="I992" s="1"/>
      <c r="J992" s="1"/>
      <c r="K992" s="3"/>
      <c r="L992" s="1"/>
    </row>
    <row r="993" spans="1:12" s="24" customFormat="1">
      <c r="A993" s="15">
        <v>46038</v>
      </c>
      <c r="B993" s="17">
        <f>Table13[[#This Row],[Date]]</f>
        <v>46038</v>
      </c>
      <c r="C993" s="1" t="s">
        <v>4</v>
      </c>
      <c r="D993" s="304" t="s">
        <v>71</v>
      </c>
      <c r="E993" s="1" t="s">
        <v>61</v>
      </c>
      <c r="F993" s="1" t="s">
        <v>60</v>
      </c>
      <c r="G993" s="1">
        <v>1</v>
      </c>
      <c r="H993" s="1"/>
      <c r="I993" s="1"/>
      <c r="J993" s="1"/>
      <c r="K993" s="3"/>
      <c r="L993" s="1"/>
    </row>
    <row r="994" spans="1:12" s="24" customFormat="1" ht="12.6" customHeight="1">
      <c r="A994" s="15">
        <v>46038</v>
      </c>
      <c r="B994" s="17">
        <f>Table13[[#This Row],[Date]]</f>
        <v>46038</v>
      </c>
      <c r="C994" s="1" t="s">
        <v>4</v>
      </c>
      <c r="D994" s="304" t="s">
        <v>71</v>
      </c>
      <c r="E994" s="1" t="s">
        <v>76</v>
      </c>
      <c r="F994" s="1" t="s">
        <v>60</v>
      </c>
      <c r="G994" s="1">
        <v>1</v>
      </c>
      <c r="H994" s="1"/>
      <c r="I994" s="1"/>
      <c r="J994" s="1"/>
      <c r="K994" s="3"/>
      <c r="L994" s="1"/>
    </row>
    <row r="995" spans="1:12" s="24" customFormat="1" ht="18" customHeight="1">
      <c r="A995" s="15">
        <v>46038</v>
      </c>
      <c r="B995" s="17">
        <f>Table13[[#This Row],[Date]]</f>
        <v>46038</v>
      </c>
      <c r="C995" s="1" t="s">
        <v>4</v>
      </c>
      <c r="D995" s="135" t="s">
        <v>71</v>
      </c>
      <c r="E995" s="1" t="s">
        <v>77</v>
      </c>
      <c r="F995" s="1" t="s">
        <v>60</v>
      </c>
      <c r="G995" s="1">
        <v>1</v>
      </c>
      <c r="H995" s="1"/>
      <c r="I995" s="1"/>
      <c r="J995" s="1"/>
      <c r="K995" s="3"/>
      <c r="L995" s="1"/>
    </row>
    <row r="996" spans="1:12" s="24" customFormat="1">
      <c r="A996" s="16">
        <v>46039</v>
      </c>
      <c r="B996" s="18">
        <f>Table13[[#This Row],[Date]]</f>
        <v>46039</v>
      </c>
      <c r="C996" s="10" t="s">
        <v>4</v>
      </c>
      <c r="D996" s="9" t="s">
        <v>87</v>
      </c>
      <c r="E996" s="308" t="s">
        <v>72</v>
      </c>
      <c r="F996" s="10" t="s">
        <v>60</v>
      </c>
      <c r="G996" s="10">
        <v>1</v>
      </c>
      <c r="H996" s="10"/>
      <c r="I996" s="10"/>
      <c r="J996" s="10"/>
      <c r="K996" s="13"/>
      <c r="L996" s="10"/>
    </row>
    <row r="997" spans="1:12" s="24" customFormat="1">
      <c r="A997" s="16">
        <v>46039</v>
      </c>
      <c r="B997" s="18">
        <f>Table13[[#This Row],[Date]]</f>
        <v>46039</v>
      </c>
      <c r="C997" s="10" t="s">
        <v>4</v>
      </c>
      <c r="D997" s="7" t="s">
        <v>87</v>
      </c>
      <c r="E997" s="8" t="s">
        <v>76</v>
      </c>
      <c r="F997" s="10" t="s">
        <v>60</v>
      </c>
      <c r="G997" s="10">
        <v>1</v>
      </c>
      <c r="H997" s="10"/>
      <c r="I997" s="10"/>
      <c r="J997" s="10"/>
      <c r="K997" s="13"/>
      <c r="L997" s="10"/>
    </row>
    <row r="998" spans="1:12" s="24" customFormat="1">
      <c r="A998" s="16">
        <v>46039</v>
      </c>
      <c r="B998" s="18">
        <f>Table13[[#This Row],[Date]]</f>
        <v>46039</v>
      </c>
      <c r="C998" s="10" t="s">
        <v>4</v>
      </c>
      <c r="D998" s="9" t="s">
        <v>87</v>
      </c>
      <c r="E998" s="8" t="s">
        <v>28</v>
      </c>
      <c r="F998" s="10" t="s">
        <v>19</v>
      </c>
      <c r="G998" s="10">
        <v>1</v>
      </c>
      <c r="H998" s="10"/>
      <c r="I998" s="10"/>
      <c r="J998" s="10"/>
      <c r="K998" s="13"/>
      <c r="L998" s="10"/>
    </row>
    <row r="999" spans="1:12" s="24" customFormat="1">
      <c r="A999" s="16">
        <v>46039</v>
      </c>
      <c r="B999" s="18">
        <f>Table13[[#This Row],[Date]]</f>
        <v>46039</v>
      </c>
      <c r="C999" s="10" t="s">
        <v>4</v>
      </c>
      <c r="D999" s="7" t="s">
        <v>87</v>
      </c>
      <c r="E999" s="8" t="s">
        <v>107</v>
      </c>
      <c r="F999" s="10" t="s">
        <v>19</v>
      </c>
      <c r="G999" s="10">
        <v>1</v>
      </c>
      <c r="H999" s="10"/>
      <c r="I999" s="10"/>
      <c r="J999" s="10"/>
      <c r="K999" s="13"/>
      <c r="L999" s="10"/>
    </row>
    <row r="1000" spans="1:12" s="24" customFormat="1">
      <c r="A1000" s="16">
        <v>46039</v>
      </c>
      <c r="B1000" s="18">
        <f>Table13[[#This Row],[Date]]</f>
        <v>46039</v>
      </c>
      <c r="C1000" s="10" t="s">
        <v>4</v>
      </c>
      <c r="D1000" s="12" t="s">
        <v>116</v>
      </c>
      <c r="E1000" s="10" t="s">
        <v>18</v>
      </c>
      <c r="F1000" s="10" t="s">
        <v>99</v>
      </c>
      <c r="G1000" s="10">
        <v>1</v>
      </c>
      <c r="H1000" s="10"/>
      <c r="I1000" s="10"/>
      <c r="J1000" s="10"/>
      <c r="K1000" s="13"/>
      <c r="L1000" s="10"/>
    </row>
    <row r="1001" spans="1:12" s="24" customFormat="1">
      <c r="A1001" s="16">
        <v>46040</v>
      </c>
      <c r="B1001" s="18">
        <f>Table13[[#This Row],[Date]]</f>
        <v>46040</v>
      </c>
      <c r="C1001" s="10" t="s">
        <v>4</v>
      </c>
      <c r="D1001" s="9" t="s">
        <v>92</v>
      </c>
      <c r="E1001" s="10" t="s">
        <v>93</v>
      </c>
      <c r="F1001" s="10" t="s">
        <v>19</v>
      </c>
      <c r="G1001" s="10">
        <v>1</v>
      </c>
      <c r="H1001" s="10"/>
      <c r="I1001" s="10"/>
      <c r="J1001" s="10"/>
      <c r="K1001" s="13"/>
      <c r="L1001" s="10"/>
    </row>
    <row r="1002" spans="1:12" s="24" customFormat="1">
      <c r="A1002" s="16">
        <v>46040</v>
      </c>
      <c r="B1002" s="18">
        <f>Table13[[#This Row],[Date]]</f>
        <v>46040</v>
      </c>
      <c r="C1002" s="10" t="s">
        <v>4</v>
      </c>
      <c r="D1002" s="9" t="s">
        <v>92</v>
      </c>
      <c r="E1002" s="10" t="s">
        <v>94</v>
      </c>
      <c r="F1002" s="10" t="s">
        <v>19</v>
      </c>
      <c r="G1002" s="10">
        <v>1</v>
      </c>
      <c r="H1002" s="10"/>
      <c r="I1002" s="10"/>
      <c r="J1002" s="10"/>
      <c r="K1002" s="13"/>
      <c r="L1002" s="10"/>
    </row>
    <row r="1003" spans="1:12" s="24" customFormat="1">
      <c r="A1003" s="16">
        <v>46040</v>
      </c>
      <c r="B1003" s="18">
        <f>Table13[[#This Row],[Date]]</f>
        <v>46040</v>
      </c>
      <c r="C1003" s="10" t="s">
        <v>4</v>
      </c>
      <c r="D1003" s="9" t="s">
        <v>92</v>
      </c>
      <c r="E1003" s="10" t="s">
        <v>95</v>
      </c>
      <c r="F1003" s="10" t="s">
        <v>19</v>
      </c>
      <c r="G1003" s="10">
        <v>1</v>
      </c>
      <c r="H1003" s="10"/>
      <c r="I1003" s="10"/>
      <c r="J1003" s="10"/>
      <c r="K1003" s="13"/>
      <c r="L1003" s="10"/>
    </row>
    <row r="1004" spans="1:12" s="24" customFormat="1">
      <c r="A1004" s="53">
        <v>46041</v>
      </c>
      <c r="B1004" s="54">
        <f>Table13[[#This Row],[Date]]</f>
        <v>46041</v>
      </c>
      <c r="C1004" s="55" t="s">
        <v>14</v>
      </c>
      <c r="D1004" s="59" t="s">
        <v>96</v>
      </c>
      <c r="E1004" s="55" t="s">
        <v>18</v>
      </c>
      <c r="F1004" s="55" t="s">
        <v>19</v>
      </c>
      <c r="G1004" s="55">
        <v>1</v>
      </c>
      <c r="H1004" s="55"/>
      <c r="I1004" s="55"/>
      <c r="J1004" s="55"/>
      <c r="K1004" s="57"/>
      <c r="L1004" s="55"/>
    </row>
    <row r="1005" spans="1:12" s="24" customFormat="1">
      <c r="A1005" s="53">
        <v>46041</v>
      </c>
      <c r="B1005" s="54">
        <f>Table13[[#This Row],[Date]]</f>
        <v>46041</v>
      </c>
      <c r="C1005" s="55" t="s">
        <v>14</v>
      </c>
      <c r="D1005" s="122" t="s">
        <v>100</v>
      </c>
      <c r="E1005" s="55" t="s">
        <v>18</v>
      </c>
      <c r="F1005" s="55" t="s">
        <v>19</v>
      </c>
      <c r="G1005" s="55">
        <v>1</v>
      </c>
      <c r="H1005" s="55"/>
      <c r="I1005" s="55"/>
      <c r="J1005" s="55"/>
      <c r="K1005" s="57"/>
      <c r="L1005" s="55"/>
    </row>
    <row r="1006" spans="1:12" s="24" customFormat="1">
      <c r="A1006" s="53">
        <v>46041</v>
      </c>
      <c r="B1006" s="54">
        <f>Table13[[#This Row],[Date]]</f>
        <v>46041</v>
      </c>
      <c r="C1006" s="55" t="s">
        <v>16</v>
      </c>
      <c r="D1006" s="59" t="s">
        <v>101</v>
      </c>
      <c r="E1006" s="64" t="s">
        <v>18</v>
      </c>
      <c r="F1006" s="55" t="s">
        <v>19</v>
      </c>
      <c r="G1006" s="55">
        <v>1</v>
      </c>
      <c r="H1006" s="55"/>
      <c r="I1006" s="55"/>
      <c r="J1006" s="55"/>
      <c r="K1006" s="57"/>
      <c r="L1006" s="55"/>
    </row>
    <row r="1007" spans="1:12" s="24" customFormat="1">
      <c r="A1007" s="53">
        <v>46041</v>
      </c>
      <c r="B1007" s="54">
        <f>Table13[[#This Row],[Date]]</f>
        <v>46041</v>
      </c>
      <c r="C1007" s="55" t="s">
        <v>16</v>
      </c>
      <c r="D1007" s="59" t="s">
        <v>101</v>
      </c>
      <c r="E1007" s="64" t="s">
        <v>21</v>
      </c>
      <c r="F1007" s="55" t="s">
        <v>19</v>
      </c>
      <c r="G1007" s="55">
        <v>1</v>
      </c>
      <c r="H1007" s="55"/>
      <c r="I1007" s="55"/>
      <c r="J1007" s="55"/>
      <c r="K1007" s="57"/>
      <c r="L1007" s="55"/>
    </row>
    <row r="1008" spans="1:12" s="24" customFormat="1">
      <c r="A1008" s="53">
        <v>46041</v>
      </c>
      <c r="B1008" s="54">
        <f>Table13[[#This Row],[Date]]</f>
        <v>46041</v>
      </c>
      <c r="C1008" s="55" t="s">
        <v>16</v>
      </c>
      <c r="D1008" s="70" t="s">
        <v>101</v>
      </c>
      <c r="E1008" s="55" t="s">
        <v>47</v>
      </c>
      <c r="F1008" s="55" t="s">
        <v>19</v>
      </c>
      <c r="G1008" s="55">
        <v>1</v>
      </c>
      <c r="H1008" s="55"/>
      <c r="I1008" s="55"/>
      <c r="J1008" s="55"/>
      <c r="K1008" s="57"/>
      <c r="L1008" s="55"/>
    </row>
    <row r="1009" spans="1:12" s="24" customFormat="1">
      <c r="A1009" s="53">
        <v>46041</v>
      </c>
      <c r="B1009" s="54">
        <f>Table13[[#This Row],[Date]]</f>
        <v>46041</v>
      </c>
      <c r="C1009" s="55" t="s">
        <v>16</v>
      </c>
      <c r="D1009" s="75" t="s">
        <v>74</v>
      </c>
      <c r="E1009" s="55" t="s">
        <v>47</v>
      </c>
      <c r="F1009" s="55" t="s">
        <v>19</v>
      </c>
      <c r="G1009" s="55">
        <v>1</v>
      </c>
      <c r="H1009" s="55"/>
      <c r="I1009" s="55"/>
      <c r="J1009" s="55"/>
      <c r="K1009" s="57"/>
      <c r="L1009" s="55"/>
    </row>
    <row r="1010" spans="1:12" s="24" customFormat="1">
      <c r="A1010" s="53">
        <v>46041</v>
      </c>
      <c r="B1010" s="54">
        <f>Table13[[#This Row],[Date]]</f>
        <v>46041</v>
      </c>
      <c r="C1010" s="55" t="s">
        <v>16</v>
      </c>
      <c r="D1010" s="75" t="s">
        <v>74</v>
      </c>
      <c r="E1010" s="55" t="s">
        <v>53</v>
      </c>
      <c r="F1010" s="55" t="s">
        <v>19</v>
      </c>
      <c r="G1010" s="55">
        <v>1</v>
      </c>
      <c r="H1010" s="55"/>
      <c r="I1010" s="55"/>
      <c r="J1010" s="55"/>
      <c r="K1010" s="57"/>
      <c r="L1010" s="55"/>
    </row>
    <row r="1011" spans="1:12" s="24" customFormat="1">
      <c r="A1011" s="53">
        <v>46041</v>
      </c>
      <c r="B1011" s="54">
        <f>Table13[[#This Row],[Date]]</f>
        <v>46041</v>
      </c>
      <c r="C1011" s="55" t="s">
        <v>16</v>
      </c>
      <c r="D1011" s="61" t="s">
        <v>74</v>
      </c>
      <c r="E1011" s="55" t="s">
        <v>42</v>
      </c>
      <c r="F1011" s="55" t="s">
        <v>19</v>
      </c>
      <c r="G1011" s="55">
        <v>1</v>
      </c>
      <c r="H1011" s="55"/>
      <c r="I1011" s="55"/>
      <c r="J1011" s="55"/>
      <c r="K1011" s="57"/>
      <c r="L1011" s="55"/>
    </row>
    <row r="1012" spans="1:12" s="24" customFormat="1">
      <c r="A1012" s="53">
        <v>46041</v>
      </c>
      <c r="B1012" s="54">
        <f>Table13[[#This Row],[Date]]</f>
        <v>46041</v>
      </c>
      <c r="C1012" s="55" t="s">
        <v>26</v>
      </c>
      <c r="D1012" s="61" t="s">
        <v>102</v>
      </c>
      <c r="E1012" s="64" t="s">
        <v>18</v>
      </c>
      <c r="F1012" s="55" t="s">
        <v>19</v>
      </c>
      <c r="G1012" s="55">
        <v>1</v>
      </c>
      <c r="H1012" s="55"/>
      <c r="I1012" s="55"/>
      <c r="J1012" s="55"/>
      <c r="K1012" s="57"/>
      <c r="L1012" s="55"/>
    </row>
    <row r="1013" spans="1:12" s="24" customFormat="1">
      <c r="A1013" s="53">
        <v>46041</v>
      </c>
      <c r="B1013" s="54">
        <f>Table13[[#This Row],[Date]]</f>
        <v>46041</v>
      </c>
      <c r="C1013" s="55" t="s">
        <v>26</v>
      </c>
      <c r="D1013" s="61" t="s">
        <v>103</v>
      </c>
      <c r="E1013" s="55" t="s">
        <v>18</v>
      </c>
      <c r="F1013" s="55" t="s">
        <v>19</v>
      </c>
      <c r="G1013" s="55">
        <v>1</v>
      </c>
      <c r="H1013" s="55"/>
      <c r="I1013" s="55"/>
      <c r="J1013" s="55"/>
      <c r="K1013" s="57"/>
      <c r="L1013" s="55"/>
    </row>
    <row r="1014" spans="1:12" s="24" customFormat="1">
      <c r="A1014" s="53">
        <v>46041</v>
      </c>
      <c r="B1014" s="54">
        <f>Table13[[#This Row],[Date]]</f>
        <v>46041</v>
      </c>
      <c r="C1014" s="55" t="s">
        <v>26</v>
      </c>
      <c r="D1014" s="75" t="s">
        <v>103</v>
      </c>
      <c r="E1014" s="55" t="s">
        <v>21</v>
      </c>
      <c r="F1014" s="55" t="s">
        <v>19</v>
      </c>
      <c r="G1014" s="55">
        <v>1</v>
      </c>
      <c r="H1014" s="55"/>
      <c r="I1014" s="55"/>
      <c r="J1014" s="55"/>
      <c r="K1014" s="57"/>
      <c r="L1014" s="55"/>
    </row>
    <row r="1015" spans="1:12" s="24" customFormat="1">
      <c r="A1015" s="103">
        <v>46041</v>
      </c>
      <c r="B1015" s="104">
        <f>Table13[[#This Row],[Date]]</f>
        <v>46041</v>
      </c>
      <c r="C1015" s="105" t="s">
        <v>26</v>
      </c>
      <c r="D1015" s="212" t="s">
        <v>84</v>
      </c>
      <c r="E1015" s="105" t="s">
        <v>47</v>
      </c>
      <c r="F1015" s="105" t="s">
        <v>19</v>
      </c>
      <c r="G1015" s="105">
        <v>1</v>
      </c>
      <c r="H1015" s="105"/>
      <c r="I1015" s="105"/>
      <c r="J1015" s="105"/>
      <c r="K1015" s="108"/>
      <c r="L1015" s="105"/>
    </row>
    <row r="1016" spans="1:12" s="24" customFormat="1">
      <c r="A1016" s="15">
        <v>46042</v>
      </c>
      <c r="B1016" s="17">
        <f>Table13[[#This Row],[Date]]</f>
        <v>46042</v>
      </c>
      <c r="C1016" s="1" t="s">
        <v>23</v>
      </c>
      <c r="D1016" s="135" t="s">
        <v>114</v>
      </c>
      <c r="E1016" s="1" t="s">
        <v>18</v>
      </c>
      <c r="F1016" s="1" t="s">
        <v>19</v>
      </c>
      <c r="G1016" s="1">
        <v>1</v>
      </c>
      <c r="H1016" s="1"/>
      <c r="I1016" s="1"/>
      <c r="J1016" s="1"/>
      <c r="K1016" s="3"/>
      <c r="L1016" s="1"/>
    </row>
    <row r="1017" spans="1:12" s="24" customFormat="1">
      <c r="A1017" s="15">
        <v>46042</v>
      </c>
      <c r="B1017" s="17">
        <f>Table13[[#This Row],[Date]]</f>
        <v>46042</v>
      </c>
      <c r="C1017" s="1" t="s">
        <v>23</v>
      </c>
      <c r="D1017" s="135" t="s">
        <v>114</v>
      </c>
      <c r="E1017" s="1" t="s">
        <v>21</v>
      </c>
      <c r="F1017" s="1" t="s">
        <v>19</v>
      </c>
      <c r="G1017" s="1">
        <v>1</v>
      </c>
      <c r="H1017" s="1"/>
      <c r="I1017" s="1"/>
      <c r="J1017" s="1"/>
      <c r="K1017" s="3"/>
      <c r="L1017" s="1"/>
    </row>
    <row r="1018" spans="1:12" s="24" customFormat="1">
      <c r="A1018" s="53">
        <v>46042</v>
      </c>
      <c r="B1018" s="54">
        <f>Table13[[#This Row],[Date]]</f>
        <v>46042</v>
      </c>
      <c r="C1018" s="55" t="s">
        <v>14</v>
      </c>
      <c r="D1018" s="70" t="s">
        <v>104</v>
      </c>
      <c r="E1018" s="55" t="s">
        <v>72</v>
      </c>
      <c r="F1018" s="55" t="s">
        <v>60</v>
      </c>
      <c r="G1018" s="55">
        <v>1</v>
      </c>
      <c r="H1018" s="55"/>
      <c r="I1018" s="55"/>
      <c r="J1018" s="55"/>
      <c r="K1018" s="57"/>
      <c r="L1018" s="55"/>
    </row>
    <row r="1019" spans="1:12" s="24" customFormat="1">
      <c r="A1019" s="53">
        <v>46042</v>
      </c>
      <c r="B1019" s="54">
        <f>Table13[[#This Row],[Date]]</f>
        <v>46042</v>
      </c>
      <c r="C1019" s="55" t="s">
        <v>14</v>
      </c>
      <c r="D1019" s="70" t="s">
        <v>104</v>
      </c>
      <c r="E1019" s="55" t="s">
        <v>76</v>
      </c>
      <c r="F1019" s="55" t="s">
        <v>60</v>
      </c>
      <c r="G1019" s="55">
        <v>1</v>
      </c>
      <c r="H1019" s="55"/>
      <c r="I1019" s="55"/>
      <c r="J1019" s="55"/>
      <c r="K1019" s="57"/>
      <c r="L1019" s="55"/>
    </row>
    <row r="1020" spans="1:12" s="24" customFormat="1">
      <c r="A1020" s="53">
        <v>46042</v>
      </c>
      <c r="B1020" s="54">
        <f>Table13[[#This Row],[Date]]</f>
        <v>46042</v>
      </c>
      <c r="C1020" s="55" t="s">
        <v>16</v>
      </c>
      <c r="D1020" s="61" t="s">
        <v>74</v>
      </c>
      <c r="E1020" s="1" t="s">
        <v>18</v>
      </c>
      <c r="F1020" s="1" t="s">
        <v>19</v>
      </c>
      <c r="G1020" s="1">
        <v>1</v>
      </c>
      <c r="H1020" s="55"/>
      <c r="I1020" s="55"/>
      <c r="J1020" s="55"/>
      <c r="K1020" s="57"/>
      <c r="L1020" s="55"/>
    </row>
    <row r="1021" spans="1:12" s="24" customFormat="1">
      <c r="A1021" s="53">
        <v>46042</v>
      </c>
      <c r="B1021" s="54">
        <f>Table13[[#This Row],[Date]]</f>
        <v>46042</v>
      </c>
      <c r="C1021" s="55" t="s">
        <v>16</v>
      </c>
      <c r="D1021" s="61" t="s">
        <v>74</v>
      </c>
      <c r="E1021" s="1" t="s">
        <v>21</v>
      </c>
      <c r="F1021" s="1" t="s">
        <v>19</v>
      </c>
      <c r="G1021" s="1">
        <v>1</v>
      </c>
      <c r="H1021" s="55"/>
      <c r="I1021" s="55"/>
      <c r="J1021" s="55"/>
      <c r="K1021" s="57"/>
      <c r="L1021" s="55"/>
    </row>
    <row r="1022" spans="1:12" s="24" customFormat="1">
      <c r="A1022" s="53">
        <v>46042</v>
      </c>
      <c r="B1022" s="54">
        <f>Table13[[#This Row],[Date]]</f>
        <v>46042</v>
      </c>
      <c r="C1022" s="55" t="s">
        <v>16</v>
      </c>
      <c r="D1022" s="61" t="s">
        <v>74</v>
      </c>
      <c r="E1022" s="1" t="s">
        <v>49</v>
      </c>
      <c r="F1022" s="1" t="s">
        <v>19</v>
      </c>
      <c r="G1022" s="1">
        <v>1</v>
      </c>
      <c r="H1022" s="55"/>
      <c r="I1022" s="55"/>
      <c r="J1022" s="55"/>
      <c r="K1022" s="57"/>
      <c r="L1022" s="55"/>
    </row>
    <row r="1023" spans="1:12" s="24" customFormat="1">
      <c r="A1023" s="53">
        <v>46042</v>
      </c>
      <c r="B1023" s="54">
        <f>Table13[[#This Row],[Date]]</f>
        <v>46042</v>
      </c>
      <c r="C1023" s="55" t="s">
        <v>16</v>
      </c>
      <c r="D1023" s="61" t="s">
        <v>74</v>
      </c>
      <c r="E1023" s="1" t="s">
        <v>41</v>
      </c>
      <c r="F1023" s="1" t="s">
        <v>19</v>
      </c>
      <c r="G1023" s="1">
        <v>1</v>
      </c>
      <c r="H1023" s="55"/>
      <c r="I1023" s="55"/>
      <c r="J1023" s="55"/>
      <c r="K1023" s="57"/>
      <c r="L1023" s="55"/>
    </row>
    <row r="1024" spans="1:12" s="24" customFormat="1">
      <c r="A1024" s="48">
        <v>46042</v>
      </c>
      <c r="B1024" s="49">
        <f>Table13[[#This Row],[Date]]</f>
        <v>46042</v>
      </c>
      <c r="C1024" s="50" t="s">
        <v>4</v>
      </c>
      <c r="D1024" s="51" t="s">
        <v>32</v>
      </c>
      <c r="E1024" s="50"/>
      <c r="F1024" s="50"/>
      <c r="G1024" s="50"/>
      <c r="H1024" s="50"/>
      <c r="I1024" s="50"/>
      <c r="J1024" s="50"/>
      <c r="K1024" s="52"/>
      <c r="L1024" s="50"/>
    </row>
    <row r="1025" spans="1:12" s="24" customFormat="1">
      <c r="A1025" s="53">
        <v>46043</v>
      </c>
      <c r="B1025" s="54">
        <f>Table13[[#This Row],[Date]]</f>
        <v>46043</v>
      </c>
      <c r="C1025" s="55" t="s">
        <v>16</v>
      </c>
      <c r="D1025" s="59" t="s">
        <v>105</v>
      </c>
      <c r="E1025" s="77" t="s">
        <v>18</v>
      </c>
      <c r="F1025" s="55" t="s">
        <v>19</v>
      </c>
      <c r="G1025" s="55">
        <v>1</v>
      </c>
      <c r="H1025" s="55"/>
      <c r="I1025" s="55"/>
      <c r="J1025" s="55"/>
      <c r="K1025" s="57"/>
      <c r="L1025" s="55"/>
    </row>
    <row r="1026" spans="1:12" s="24" customFormat="1">
      <c r="A1026" s="53">
        <v>46043</v>
      </c>
      <c r="B1026" s="54">
        <f>Table13[[#This Row],[Date]]</f>
        <v>46043</v>
      </c>
      <c r="C1026" s="55" t="s">
        <v>16</v>
      </c>
      <c r="D1026" s="59" t="s">
        <v>105</v>
      </c>
      <c r="E1026" s="76" t="s">
        <v>21</v>
      </c>
      <c r="F1026" s="55" t="s">
        <v>19</v>
      </c>
      <c r="G1026" s="55">
        <v>1</v>
      </c>
      <c r="H1026" s="55"/>
      <c r="I1026" s="55"/>
      <c r="J1026" s="55"/>
      <c r="K1026" s="57"/>
      <c r="L1026" s="55"/>
    </row>
    <row r="1027" spans="1:12" s="24" customFormat="1">
      <c r="A1027" s="53">
        <v>46043</v>
      </c>
      <c r="B1027" s="54">
        <f>Table13[[#This Row],[Date]]</f>
        <v>46043</v>
      </c>
      <c r="C1027" s="55" t="s">
        <v>16</v>
      </c>
      <c r="D1027" s="59" t="s">
        <v>105</v>
      </c>
      <c r="E1027" s="76" t="s">
        <v>49</v>
      </c>
      <c r="F1027" s="55" t="s">
        <v>19</v>
      </c>
      <c r="G1027" s="55">
        <v>1</v>
      </c>
      <c r="H1027" s="55"/>
      <c r="I1027" s="55"/>
      <c r="J1027" s="55"/>
      <c r="K1027" s="57"/>
      <c r="L1027" s="55"/>
    </row>
    <row r="1028" spans="1:12" s="24" customFormat="1">
      <c r="A1028" s="53">
        <v>46043</v>
      </c>
      <c r="B1028" s="54">
        <f>Table13[[#This Row],[Date]]</f>
        <v>46043</v>
      </c>
      <c r="C1028" s="55" t="s">
        <v>23</v>
      </c>
      <c r="D1028" s="61" t="s">
        <v>106</v>
      </c>
      <c r="E1028" s="65" t="s">
        <v>28</v>
      </c>
      <c r="F1028" s="55" t="s">
        <v>19</v>
      </c>
      <c r="G1028" s="55">
        <v>1</v>
      </c>
      <c r="H1028" s="55"/>
      <c r="I1028" s="55"/>
      <c r="J1028" s="55"/>
      <c r="K1028" s="57"/>
      <c r="L1028" s="55"/>
    </row>
    <row r="1029" spans="1:12" s="24" customFormat="1">
      <c r="A1029" s="53">
        <v>46043</v>
      </c>
      <c r="B1029" s="54">
        <f>Table13[[#This Row],[Date]]</f>
        <v>46043</v>
      </c>
      <c r="C1029" s="55" t="s">
        <v>23</v>
      </c>
      <c r="D1029" s="61" t="s">
        <v>106</v>
      </c>
      <c r="E1029" s="63" t="s">
        <v>107</v>
      </c>
      <c r="F1029" s="55" t="s">
        <v>19</v>
      </c>
      <c r="G1029" s="55">
        <v>1</v>
      </c>
      <c r="H1029" s="55"/>
      <c r="I1029" s="55"/>
      <c r="J1029" s="55"/>
      <c r="K1029" s="57"/>
      <c r="L1029" s="55"/>
    </row>
    <row r="1030" spans="1:12" s="24" customFormat="1">
      <c r="A1030" s="53">
        <v>46043</v>
      </c>
      <c r="B1030" s="54">
        <f>Table13[[#This Row],[Date]]</f>
        <v>46043</v>
      </c>
      <c r="C1030" s="55" t="s">
        <v>23</v>
      </c>
      <c r="D1030" s="61" t="s">
        <v>106</v>
      </c>
      <c r="E1030" s="65" t="s">
        <v>41</v>
      </c>
      <c r="F1030" s="55" t="s">
        <v>19</v>
      </c>
      <c r="G1030" s="55">
        <v>1</v>
      </c>
      <c r="H1030" s="55"/>
      <c r="I1030" s="55"/>
      <c r="J1030" s="55"/>
      <c r="K1030" s="57"/>
      <c r="L1030" s="55"/>
    </row>
    <row r="1031" spans="1:12" s="24" customFormat="1">
      <c r="A1031" s="53">
        <v>46043</v>
      </c>
      <c r="B1031" s="54">
        <f>Table13[[#This Row],[Date]]</f>
        <v>46043</v>
      </c>
      <c r="C1031" s="55" t="s">
        <v>26</v>
      </c>
      <c r="D1031" s="61" t="s">
        <v>108</v>
      </c>
      <c r="E1031" s="63" t="s">
        <v>28</v>
      </c>
      <c r="F1031" s="55" t="s">
        <v>19</v>
      </c>
      <c r="G1031" s="55">
        <v>1</v>
      </c>
      <c r="H1031" s="55"/>
      <c r="I1031" s="55"/>
      <c r="J1031" s="55"/>
      <c r="K1031" s="57"/>
      <c r="L1031" s="55"/>
    </row>
    <row r="1032" spans="1:12" s="24" customFormat="1">
      <c r="A1032" s="53">
        <v>46043</v>
      </c>
      <c r="B1032" s="54">
        <f>Table13[[#This Row],[Date]]</f>
        <v>46043</v>
      </c>
      <c r="C1032" s="55" t="s">
        <v>26</v>
      </c>
      <c r="D1032" s="61" t="s">
        <v>108</v>
      </c>
      <c r="E1032" s="63" t="s">
        <v>107</v>
      </c>
      <c r="F1032" s="55" t="s">
        <v>19</v>
      </c>
      <c r="G1032" s="55">
        <v>1</v>
      </c>
      <c r="H1032" s="55"/>
      <c r="I1032" s="55"/>
      <c r="J1032" s="55"/>
      <c r="K1032" s="57"/>
      <c r="L1032" s="55"/>
    </row>
    <row r="1033" spans="1:12" s="24" customFormat="1">
      <c r="A1033" s="53">
        <v>46043</v>
      </c>
      <c r="B1033" s="54">
        <f>Table13[[#This Row],[Date]]</f>
        <v>46043</v>
      </c>
      <c r="C1033" s="55" t="s">
        <v>26</v>
      </c>
      <c r="D1033" s="61" t="s">
        <v>108</v>
      </c>
      <c r="E1033" s="63" t="s">
        <v>35</v>
      </c>
      <c r="F1033" s="55" t="s">
        <v>19</v>
      </c>
      <c r="G1033" s="55">
        <v>1</v>
      </c>
      <c r="H1033" s="55"/>
      <c r="I1033" s="55"/>
      <c r="J1033" s="55"/>
      <c r="K1033" s="57"/>
      <c r="L1033" s="55"/>
    </row>
    <row r="1034" spans="1:12" s="24" customFormat="1">
      <c r="A1034" s="53">
        <v>46043</v>
      </c>
      <c r="B1034" s="54">
        <f>Table13[[#This Row],[Date]]</f>
        <v>46043</v>
      </c>
      <c r="C1034" s="55" t="s">
        <v>26</v>
      </c>
      <c r="D1034" s="61" t="s">
        <v>108</v>
      </c>
      <c r="E1034" s="63" t="s">
        <v>109</v>
      </c>
      <c r="F1034" s="55" t="s">
        <v>19</v>
      </c>
      <c r="G1034" s="55">
        <v>1</v>
      </c>
      <c r="H1034" s="55"/>
      <c r="I1034" s="55"/>
      <c r="J1034" s="55"/>
      <c r="K1034" s="57"/>
      <c r="L1034" s="55"/>
    </row>
    <row r="1035" spans="1:12" s="24" customFormat="1">
      <c r="A1035" s="53">
        <v>46043</v>
      </c>
      <c r="B1035" s="54">
        <f>Table13[[#This Row],[Date]]</f>
        <v>46043</v>
      </c>
      <c r="C1035" s="55"/>
      <c r="D1035" s="61" t="s">
        <v>198</v>
      </c>
      <c r="E1035" s="55" t="s">
        <v>18</v>
      </c>
      <c r="F1035" s="55" t="s">
        <v>19</v>
      </c>
      <c r="G1035" s="55">
        <v>1</v>
      </c>
      <c r="H1035" s="55"/>
      <c r="I1035" s="55"/>
      <c r="J1035" s="55"/>
      <c r="K1035" s="57"/>
      <c r="L1035" s="55"/>
    </row>
    <row r="1036" spans="1:12" s="24" customFormat="1">
      <c r="A1036" s="53">
        <v>46044</v>
      </c>
      <c r="B1036" s="54">
        <f>Table13[[#This Row],[Date]]</f>
        <v>46044</v>
      </c>
      <c r="C1036" s="55" t="s">
        <v>16</v>
      </c>
      <c r="D1036" s="59" t="s">
        <v>105</v>
      </c>
      <c r="E1036" s="76" t="s">
        <v>47</v>
      </c>
      <c r="F1036" s="55" t="s">
        <v>19</v>
      </c>
      <c r="G1036" s="55">
        <v>1</v>
      </c>
      <c r="H1036" s="55"/>
      <c r="I1036" s="55"/>
      <c r="J1036" s="55"/>
      <c r="K1036" s="57"/>
      <c r="L1036" s="55"/>
    </row>
    <row r="1037" spans="1:12" s="24" customFormat="1">
      <c r="A1037" s="53">
        <v>46044</v>
      </c>
      <c r="B1037" s="54">
        <f>Table13[[#This Row],[Date]]</f>
        <v>46044</v>
      </c>
      <c r="C1037" s="55" t="s">
        <v>16</v>
      </c>
      <c r="D1037" s="59" t="s">
        <v>105</v>
      </c>
      <c r="E1037" s="76" t="s">
        <v>53</v>
      </c>
      <c r="F1037" s="55" t="s">
        <v>19</v>
      </c>
      <c r="G1037" s="55">
        <v>1</v>
      </c>
      <c r="H1037" s="55"/>
      <c r="I1037" s="55"/>
      <c r="J1037" s="55"/>
      <c r="K1037" s="57"/>
      <c r="L1037" s="55"/>
    </row>
    <row r="1038" spans="1:12" s="24" customFormat="1">
      <c r="A1038" s="53">
        <v>46044</v>
      </c>
      <c r="B1038" s="54">
        <f>Table13[[#This Row],[Date]]</f>
        <v>46044</v>
      </c>
      <c r="C1038" s="55" t="s">
        <v>16</v>
      </c>
      <c r="D1038" s="59" t="s">
        <v>105</v>
      </c>
      <c r="E1038" s="76" t="s">
        <v>41</v>
      </c>
      <c r="F1038" s="55" t="s">
        <v>19</v>
      </c>
      <c r="G1038" s="55">
        <v>1</v>
      </c>
      <c r="H1038" s="55"/>
      <c r="I1038" s="55"/>
      <c r="J1038" s="55"/>
      <c r="K1038" s="57"/>
      <c r="L1038" s="55"/>
    </row>
    <row r="1039" spans="1:12" s="24" customFormat="1">
      <c r="A1039" s="53">
        <v>46044</v>
      </c>
      <c r="B1039" s="54">
        <f>Table13[[#This Row],[Date]]</f>
        <v>46044</v>
      </c>
      <c r="C1039" s="55" t="s">
        <v>23</v>
      </c>
      <c r="D1039" s="59" t="s">
        <v>106</v>
      </c>
      <c r="E1039" s="65" t="s">
        <v>18</v>
      </c>
      <c r="F1039" s="55" t="s">
        <v>19</v>
      </c>
      <c r="G1039" s="55">
        <v>1</v>
      </c>
      <c r="H1039" s="55"/>
      <c r="I1039" s="55"/>
      <c r="J1039" s="55"/>
      <c r="K1039" s="57"/>
      <c r="L1039" s="55"/>
    </row>
    <row r="1040" spans="1:12" s="24" customFormat="1">
      <c r="A1040" s="53">
        <v>46044</v>
      </c>
      <c r="B1040" s="54">
        <f>Table13[[#This Row],[Date]]</f>
        <v>46044</v>
      </c>
      <c r="C1040" s="55" t="s">
        <v>23</v>
      </c>
      <c r="D1040" s="59" t="s">
        <v>106</v>
      </c>
      <c r="E1040" s="65" t="s">
        <v>21</v>
      </c>
      <c r="F1040" s="55" t="s">
        <v>19</v>
      </c>
      <c r="G1040" s="55">
        <v>1</v>
      </c>
      <c r="H1040" s="55"/>
      <c r="I1040" s="55"/>
      <c r="J1040" s="55"/>
      <c r="K1040" s="57"/>
      <c r="L1040" s="55"/>
    </row>
    <row r="1041" spans="1:12" s="24" customFormat="1">
      <c r="A1041" s="53">
        <v>46044</v>
      </c>
      <c r="B1041" s="54">
        <f>Table13[[#This Row],[Date]]</f>
        <v>46044</v>
      </c>
      <c r="C1041" s="55" t="s">
        <v>23</v>
      </c>
      <c r="D1041" s="59" t="s">
        <v>106</v>
      </c>
      <c r="E1041" s="65" t="s">
        <v>49</v>
      </c>
      <c r="F1041" s="55" t="s">
        <v>19</v>
      </c>
      <c r="G1041" s="55">
        <v>1</v>
      </c>
      <c r="H1041" s="55"/>
      <c r="I1041" s="55"/>
      <c r="J1041" s="55"/>
      <c r="K1041" s="57"/>
      <c r="L1041" s="55"/>
    </row>
    <row r="1042" spans="1:12" s="24" customFormat="1">
      <c r="A1042" s="53">
        <v>46044</v>
      </c>
      <c r="B1042" s="54">
        <f>Table13[[#This Row],[Date]]</f>
        <v>46044</v>
      </c>
      <c r="C1042" s="55" t="s">
        <v>26</v>
      </c>
      <c r="D1042" s="59" t="s">
        <v>110</v>
      </c>
      <c r="E1042" s="63" t="s">
        <v>18</v>
      </c>
      <c r="F1042" s="55" t="s">
        <v>19</v>
      </c>
      <c r="G1042" s="55">
        <v>1</v>
      </c>
      <c r="H1042" s="55"/>
      <c r="I1042" s="55"/>
      <c r="J1042" s="55"/>
      <c r="K1042" s="57"/>
      <c r="L1042" s="55"/>
    </row>
    <row r="1043" spans="1:12" s="24" customFormat="1">
      <c r="A1043" s="53">
        <v>46044</v>
      </c>
      <c r="B1043" s="54">
        <f>Table13[[#This Row],[Date]]</f>
        <v>46044</v>
      </c>
      <c r="C1043" s="55" t="s">
        <v>26</v>
      </c>
      <c r="D1043" s="69" t="s">
        <v>110</v>
      </c>
      <c r="E1043" s="63" t="s">
        <v>21</v>
      </c>
      <c r="F1043" s="55" t="s">
        <v>19</v>
      </c>
      <c r="G1043" s="55">
        <v>1</v>
      </c>
      <c r="H1043" s="55"/>
      <c r="I1043" s="55"/>
      <c r="J1043" s="55"/>
      <c r="K1043" s="57"/>
      <c r="L1043" s="55"/>
    </row>
    <row r="1044" spans="1:12" s="33" customFormat="1">
      <c r="A1044" s="53">
        <v>46045</v>
      </c>
      <c r="B1044" s="54">
        <f>Table13[[#This Row],[Date]]</f>
        <v>46045</v>
      </c>
      <c r="C1044" s="55" t="s">
        <v>14</v>
      </c>
      <c r="D1044" s="59" t="s">
        <v>105</v>
      </c>
      <c r="E1044" s="55" t="s">
        <v>59</v>
      </c>
      <c r="F1044" s="55" t="s">
        <v>60</v>
      </c>
      <c r="G1044" s="55">
        <v>1</v>
      </c>
      <c r="H1044" s="55"/>
      <c r="I1044" s="55"/>
      <c r="J1044" s="55"/>
      <c r="K1044" s="57"/>
      <c r="L1044" s="55"/>
    </row>
    <row r="1045" spans="1:12" s="24" customFormat="1">
      <c r="A1045" s="53">
        <v>46045</v>
      </c>
      <c r="B1045" s="54">
        <f>Table13[[#This Row],[Date]]</f>
        <v>46045</v>
      </c>
      <c r="C1045" s="55" t="s">
        <v>14</v>
      </c>
      <c r="D1045" s="59" t="s">
        <v>105</v>
      </c>
      <c r="E1045" s="77" t="s">
        <v>61</v>
      </c>
      <c r="F1045" s="55" t="s">
        <v>60</v>
      </c>
      <c r="G1045" s="55">
        <v>1</v>
      </c>
      <c r="H1045" s="55"/>
      <c r="I1045" s="55"/>
      <c r="J1045" s="55"/>
      <c r="K1045" s="57"/>
      <c r="L1045" s="55"/>
    </row>
    <row r="1046" spans="1:12" s="24" customFormat="1">
      <c r="A1046" s="53">
        <v>46045</v>
      </c>
      <c r="B1046" s="54">
        <f>Table13[[#This Row],[Date]]</f>
        <v>46045</v>
      </c>
      <c r="C1046" s="55" t="s">
        <v>14</v>
      </c>
      <c r="D1046" s="59" t="s">
        <v>105</v>
      </c>
      <c r="E1046" s="77" t="s">
        <v>72</v>
      </c>
      <c r="F1046" s="55" t="s">
        <v>60</v>
      </c>
      <c r="G1046" s="55">
        <v>1</v>
      </c>
      <c r="H1046" s="55"/>
      <c r="I1046" s="55"/>
      <c r="J1046" s="55"/>
      <c r="K1046" s="57"/>
      <c r="L1046" s="55"/>
    </row>
    <row r="1047" spans="1:12" s="24" customFormat="1">
      <c r="A1047" s="53">
        <v>46045</v>
      </c>
      <c r="B1047" s="54">
        <f>Table13[[#This Row],[Date]]</f>
        <v>46045</v>
      </c>
      <c r="C1047" s="55" t="s">
        <v>14</v>
      </c>
      <c r="D1047" s="59" t="s">
        <v>105</v>
      </c>
      <c r="E1047" s="77" t="s">
        <v>76</v>
      </c>
      <c r="F1047" s="55" t="s">
        <v>60</v>
      </c>
      <c r="G1047" s="55">
        <v>1</v>
      </c>
      <c r="H1047" s="55"/>
      <c r="I1047" s="55"/>
      <c r="J1047" s="55"/>
      <c r="K1047" s="57"/>
      <c r="L1047" s="55"/>
    </row>
    <row r="1048" spans="1:12" s="24" customFormat="1">
      <c r="A1048" s="53">
        <v>46045</v>
      </c>
      <c r="B1048" s="54">
        <f>Table13[[#This Row],[Date]]</f>
        <v>46045</v>
      </c>
      <c r="C1048" s="55" t="s">
        <v>26</v>
      </c>
      <c r="D1048" s="61" t="s">
        <v>123</v>
      </c>
      <c r="E1048" s="55" t="s">
        <v>18</v>
      </c>
      <c r="F1048" s="55" t="s">
        <v>19</v>
      </c>
      <c r="G1048" s="55">
        <v>1</v>
      </c>
      <c r="H1048" s="55"/>
      <c r="I1048" s="55"/>
      <c r="J1048" s="55"/>
      <c r="K1048" s="57"/>
      <c r="L1048" s="55"/>
    </row>
    <row r="1049" spans="1:12" s="24" customFormat="1">
      <c r="A1049" s="53">
        <v>46045</v>
      </c>
      <c r="B1049" s="54">
        <f>Table13[[#This Row],[Date]]</f>
        <v>46045</v>
      </c>
      <c r="C1049" s="55" t="s">
        <v>26</v>
      </c>
      <c r="D1049" s="61" t="s">
        <v>123</v>
      </c>
      <c r="E1049" s="55" t="s">
        <v>21</v>
      </c>
      <c r="F1049" s="55" t="s">
        <v>19</v>
      </c>
      <c r="G1049" s="55">
        <v>1</v>
      </c>
      <c r="H1049" s="55"/>
      <c r="I1049" s="55"/>
      <c r="J1049" s="55"/>
      <c r="K1049" s="57"/>
      <c r="L1049" s="55"/>
    </row>
    <row r="1050" spans="1:12" s="24" customFormat="1">
      <c r="A1050" s="53">
        <v>46045</v>
      </c>
      <c r="B1050" s="54">
        <f>Table13[[#This Row],[Date]]</f>
        <v>46045</v>
      </c>
      <c r="C1050" s="55" t="s">
        <v>26</v>
      </c>
      <c r="D1050" s="61" t="s">
        <v>123</v>
      </c>
      <c r="E1050" s="55" t="s">
        <v>47</v>
      </c>
      <c r="F1050" s="55" t="s">
        <v>19</v>
      </c>
      <c r="G1050" s="55">
        <v>1</v>
      </c>
      <c r="H1050" s="55"/>
      <c r="I1050" s="55"/>
      <c r="J1050" s="55"/>
      <c r="K1050" s="57"/>
      <c r="L1050" s="55"/>
    </row>
    <row r="1051" spans="1:12" s="24" customFormat="1">
      <c r="A1051" s="53">
        <v>46045</v>
      </c>
      <c r="B1051" s="54">
        <f>Table13[[#This Row],[Date]]</f>
        <v>46045</v>
      </c>
      <c r="C1051" s="55" t="s">
        <v>26</v>
      </c>
      <c r="D1051" s="61" t="s">
        <v>115</v>
      </c>
      <c r="E1051" s="64" t="s">
        <v>18</v>
      </c>
      <c r="F1051" s="55" t="s">
        <v>19</v>
      </c>
      <c r="G1051" s="55">
        <v>1</v>
      </c>
      <c r="H1051" s="55"/>
      <c r="I1051" s="55"/>
      <c r="J1051" s="55"/>
      <c r="K1051" s="57"/>
      <c r="L1051" s="55"/>
    </row>
    <row r="1052" spans="1:12" s="24" customFormat="1">
      <c r="A1052" s="16">
        <v>46046</v>
      </c>
      <c r="B1052" s="18">
        <f>Table13[[#This Row],[Date]]</f>
        <v>46046</v>
      </c>
      <c r="C1052" s="10" t="s">
        <v>23</v>
      </c>
      <c r="D1052" s="9" t="s">
        <v>143</v>
      </c>
      <c r="E1052" s="10" t="s">
        <v>41</v>
      </c>
      <c r="F1052" s="10" t="s">
        <v>19</v>
      </c>
      <c r="G1052" s="10">
        <v>1</v>
      </c>
      <c r="H1052" s="10"/>
      <c r="I1052" s="10"/>
      <c r="J1052" s="10"/>
      <c r="K1052" s="13"/>
      <c r="L1052" s="10"/>
    </row>
    <row r="1053" spans="1:12" s="24" customFormat="1">
      <c r="A1053" s="16">
        <v>46046</v>
      </c>
      <c r="B1053" s="18">
        <f>Table13[[#This Row],[Date]]</f>
        <v>46046</v>
      </c>
      <c r="C1053" s="10" t="s">
        <v>23</v>
      </c>
      <c r="D1053" s="9" t="s">
        <v>143</v>
      </c>
      <c r="E1053" s="10" t="s">
        <v>42</v>
      </c>
      <c r="F1053" s="10" t="s">
        <v>19</v>
      </c>
      <c r="G1053" s="10">
        <v>1</v>
      </c>
      <c r="H1053" s="10"/>
      <c r="I1053" s="10"/>
      <c r="J1053" s="10"/>
      <c r="K1053" s="13"/>
      <c r="L1053" s="10"/>
    </row>
    <row r="1054" spans="1:12" s="24" customFormat="1">
      <c r="A1054" s="16">
        <v>46046</v>
      </c>
      <c r="B1054" s="18">
        <f>Table13[[#This Row],[Date]]</f>
        <v>46046</v>
      </c>
      <c r="C1054" s="10" t="s">
        <v>14</v>
      </c>
      <c r="D1054" s="9" t="s">
        <v>144</v>
      </c>
      <c r="E1054" s="10" t="s">
        <v>18</v>
      </c>
      <c r="F1054" s="10" t="s">
        <v>19</v>
      </c>
      <c r="G1054" s="10">
        <v>1</v>
      </c>
      <c r="H1054" s="10"/>
      <c r="I1054" s="10"/>
      <c r="J1054" s="10"/>
      <c r="K1054" s="13"/>
      <c r="L1054" s="10"/>
    </row>
    <row r="1055" spans="1:12" s="24" customFormat="1">
      <c r="A1055" s="16">
        <v>46046</v>
      </c>
      <c r="B1055" s="18">
        <f>Table13[[#This Row],[Date]]</f>
        <v>46046</v>
      </c>
      <c r="C1055" s="10" t="s">
        <v>14</v>
      </c>
      <c r="D1055" s="9" t="s">
        <v>144</v>
      </c>
      <c r="E1055" s="10" t="s">
        <v>21</v>
      </c>
      <c r="F1055" s="10" t="s">
        <v>19</v>
      </c>
      <c r="G1055" s="10">
        <v>1</v>
      </c>
      <c r="H1055" s="10"/>
      <c r="I1055" s="10"/>
      <c r="J1055" s="10"/>
      <c r="K1055" s="13"/>
      <c r="L1055" s="10"/>
    </row>
    <row r="1056" spans="1:12" s="24" customFormat="1">
      <c r="A1056" s="15">
        <v>46048</v>
      </c>
      <c r="B1056" s="17">
        <f>Table13[[#This Row],[Date]]</f>
        <v>46048</v>
      </c>
      <c r="C1056" s="1" t="s">
        <v>14</v>
      </c>
      <c r="D1056" s="135" t="s">
        <v>111</v>
      </c>
      <c r="E1056" s="1" t="s">
        <v>18</v>
      </c>
      <c r="F1056" s="1" t="s">
        <v>99</v>
      </c>
      <c r="G1056" s="1">
        <v>1</v>
      </c>
      <c r="H1056" s="1"/>
      <c r="I1056" s="1"/>
      <c r="J1056" s="1"/>
      <c r="K1056" s="3"/>
      <c r="L1056" s="1"/>
    </row>
    <row r="1057" spans="1:12" s="24" customFormat="1">
      <c r="A1057" s="53">
        <v>46048</v>
      </c>
      <c r="B1057" s="54">
        <f>Table13[[#This Row],[Date]]</f>
        <v>46048</v>
      </c>
      <c r="C1057" s="55" t="s">
        <v>23</v>
      </c>
      <c r="D1057" s="59" t="s">
        <v>199</v>
      </c>
      <c r="E1057" s="55" t="s">
        <v>21</v>
      </c>
      <c r="F1057" s="55" t="s">
        <v>19</v>
      </c>
      <c r="G1057" s="55">
        <v>1</v>
      </c>
      <c r="H1057" s="55"/>
      <c r="I1057" s="55"/>
      <c r="J1057" s="55"/>
      <c r="K1057" s="57"/>
      <c r="L1057" s="55"/>
    </row>
    <row r="1058" spans="1:12" s="24" customFormat="1">
      <c r="A1058" s="53">
        <v>46048</v>
      </c>
      <c r="B1058" s="54">
        <f>Table13[[#This Row],[Date]]</f>
        <v>46048</v>
      </c>
      <c r="C1058" s="55" t="s">
        <v>23</v>
      </c>
      <c r="D1058" s="132" t="s">
        <v>122</v>
      </c>
      <c r="E1058" s="55" t="s">
        <v>18</v>
      </c>
      <c r="F1058" s="55" t="s">
        <v>19</v>
      </c>
      <c r="G1058" s="55">
        <v>1</v>
      </c>
      <c r="H1058" s="55"/>
      <c r="I1058" s="55"/>
      <c r="J1058" s="55"/>
      <c r="K1058" s="57"/>
      <c r="L1058" s="55"/>
    </row>
    <row r="1059" spans="1:12" s="24" customFormat="1">
      <c r="A1059" s="53">
        <v>46048</v>
      </c>
      <c r="B1059" s="54">
        <f>Table13[[#This Row],[Date]]</f>
        <v>46048</v>
      </c>
      <c r="C1059" s="55" t="s">
        <v>26</v>
      </c>
      <c r="D1059" s="59" t="s">
        <v>128</v>
      </c>
      <c r="E1059" s="55" t="s">
        <v>21</v>
      </c>
      <c r="F1059" s="55" t="s">
        <v>19</v>
      </c>
      <c r="G1059" s="55">
        <v>1</v>
      </c>
      <c r="H1059" s="55"/>
      <c r="I1059" s="55"/>
      <c r="J1059" s="55"/>
      <c r="K1059" s="57"/>
      <c r="L1059" s="55"/>
    </row>
    <row r="1060" spans="1:12" s="24" customFormat="1">
      <c r="A1060" s="103">
        <v>46048</v>
      </c>
      <c r="B1060" s="104">
        <f>Table13[[#This Row],[Date]]</f>
        <v>46048</v>
      </c>
      <c r="C1060" s="105" t="s">
        <v>26</v>
      </c>
      <c r="D1060" s="109" t="s">
        <v>129</v>
      </c>
      <c r="E1060" s="105"/>
      <c r="F1060" s="105"/>
      <c r="G1060" s="105">
        <v>1</v>
      </c>
      <c r="H1060" s="105"/>
      <c r="I1060" s="105"/>
      <c r="J1060" s="105"/>
      <c r="K1060" s="108"/>
      <c r="L1060" s="105"/>
    </row>
    <row r="1061" spans="1:12" s="24" customFormat="1">
      <c r="A1061" s="53">
        <v>46048</v>
      </c>
      <c r="B1061" s="54">
        <f>Table13[[#This Row],[Date]]</f>
        <v>46048</v>
      </c>
      <c r="C1061" s="55" t="s">
        <v>16</v>
      </c>
      <c r="D1061" s="59" t="s">
        <v>119</v>
      </c>
      <c r="E1061" s="55" t="s">
        <v>18</v>
      </c>
      <c r="F1061" s="55" t="s">
        <v>19</v>
      </c>
      <c r="G1061" s="55">
        <v>1</v>
      </c>
      <c r="H1061" s="55"/>
      <c r="I1061" s="55"/>
      <c r="J1061" s="55"/>
      <c r="K1061" s="57"/>
      <c r="L1061" s="55"/>
    </row>
    <row r="1062" spans="1:12" s="24" customFormat="1">
      <c r="A1062" s="53">
        <v>46048</v>
      </c>
      <c r="B1062" s="54">
        <f>Table13[[#This Row],[Date]]</f>
        <v>46048</v>
      </c>
      <c r="C1062" s="55" t="s">
        <v>16</v>
      </c>
      <c r="D1062" s="59" t="s">
        <v>119</v>
      </c>
      <c r="E1062" s="55" t="s">
        <v>21</v>
      </c>
      <c r="F1062" s="55" t="s">
        <v>19</v>
      </c>
      <c r="G1062" s="55">
        <v>1</v>
      </c>
      <c r="H1062" s="55"/>
      <c r="I1062" s="55"/>
      <c r="J1062" s="55"/>
      <c r="K1062" s="57"/>
      <c r="L1062" s="55"/>
    </row>
    <row r="1063" spans="1:12" s="24" customFormat="1">
      <c r="A1063" s="15">
        <v>46049</v>
      </c>
      <c r="B1063" s="54">
        <f>Table13[[#This Row],[Date]]</f>
        <v>46049</v>
      </c>
      <c r="C1063" s="55" t="s">
        <v>14</v>
      </c>
      <c r="D1063" s="59" t="s">
        <v>124</v>
      </c>
      <c r="E1063" s="55" t="s">
        <v>18</v>
      </c>
      <c r="F1063" s="55" t="s">
        <v>19</v>
      </c>
      <c r="G1063" s="55">
        <v>1</v>
      </c>
      <c r="H1063" s="55"/>
      <c r="I1063" s="55"/>
      <c r="J1063" s="55"/>
      <c r="K1063" s="57"/>
      <c r="L1063" s="55"/>
    </row>
    <row r="1064" spans="1:12" s="24" customFormat="1">
      <c r="A1064" s="15">
        <v>46049</v>
      </c>
      <c r="B1064" s="54">
        <f>Table13[[#This Row],[Date]]</f>
        <v>46049</v>
      </c>
      <c r="C1064" s="55" t="s">
        <v>23</v>
      </c>
      <c r="D1064" s="61" t="s">
        <v>125</v>
      </c>
      <c r="E1064" s="55" t="s">
        <v>18</v>
      </c>
      <c r="F1064" s="55" t="s">
        <v>19</v>
      </c>
      <c r="G1064" s="55">
        <v>1</v>
      </c>
      <c r="H1064" s="55"/>
      <c r="I1064" s="55"/>
      <c r="J1064" s="55"/>
      <c r="K1064" s="57"/>
      <c r="L1064" s="55"/>
    </row>
    <row r="1065" spans="1:12" s="24" customFormat="1">
      <c r="A1065" s="53">
        <v>46049</v>
      </c>
      <c r="B1065" s="54">
        <f>Table13[[#This Row],[Date]]</f>
        <v>46049</v>
      </c>
      <c r="C1065" s="55" t="s">
        <v>16</v>
      </c>
      <c r="D1065" s="59" t="s">
        <v>119</v>
      </c>
      <c r="E1065" s="55" t="s">
        <v>47</v>
      </c>
      <c r="F1065" s="55" t="s">
        <v>19</v>
      </c>
      <c r="G1065" s="55">
        <v>1</v>
      </c>
      <c r="H1065" s="55"/>
      <c r="I1065" s="55"/>
      <c r="J1065" s="55"/>
      <c r="K1065" s="57"/>
      <c r="L1065" s="55"/>
    </row>
    <row r="1066" spans="1:12" s="24" customFormat="1">
      <c r="A1066" s="53">
        <v>46049</v>
      </c>
      <c r="B1066" s="54">
        <f>Table13[[#This Row],[Date]]</f>
        <v>46049</v>
      </c>
      <c r="C1066" s="55" t="s">
        <v>14</v>
      </c>
      <c r="D1066" s="59" t="s">
        <v>104</v>
      </c>
      <c r="E1066" s="55" t="s">
        <v>18</v>
      </c>
      <c r="F1066" s="55" t="s">
        <v>19</v>
      </c>
      <c r="G1066" s="55">
        <v>1</v>
      </c>
      <c r="H1066" s="55"/>
      <c r="I1066" s="55"/>
      <c r="J1066" s="55"/>
      <c r="K1066" s="57"/>
      <c r="L1066" s="55"/>
    </row>
    <row r="1067" spans="1:12" s="24" customFormat="1">
      <c r="A1067" s="53">
        <v>46049</v>
      </c>
      <c r="B1067" s="54">
        <f>Table13[[#This Row],[Date]]</f>
        <v>46049</v>
      </c>
      <c r="C1067" s="55" t="s">
        <v>14</v>
      </c>
      <c r="D1067" s="59" t="s">
        <v>104</v>
      </c>
      <c r="E1067" s="55" t="s">
        <v>21</v>
      </c>
      <c r="F1067" s="55" t="s">
        <v>19</v>
      </c>
      <c r="G1067" s="55">
        <v>1</v>
      </c>
      <c r="H1067" s="55"/>
      <c r="I1067" s="55"/>
      <c r="J1067" s="55"/>
      <c r="K1067" s="57"/>
      <c r="L1067" s="55"/>
    </row>
    <row r="1068" spans="1:12" s="24" customFormat="1">
      <c r="A1068" s="48">
        <v>46049</v>
      </c>
      <c r="B1068" s="49">
        <f>Table13[[#This Row],[Date]]</f>
        <v>46049</v>
      </c>
      <c r="C1068" s="50" t="s">
        <v>149</v>
      </c>
      <c r="D1068" s="51" t="s">
        <v>150</v>
      </c>
      <c r="E1068" s="50"/>
      <c r="F1068" s="50"/>
      <c r="G1068" s="50"/>
      <c r="H1068" s="50"/>
      <c r="I1068" s="50"/>
      <c r="J1068" s="50"/>
      <c r="K1068" s="52"/>
      <c r="L1068" s="50"/>
    </row>
    <row r="1069" spans="1:12" s="24" customFormat="1">
      <c r="A1069" s="53">
        <v>46049</v>
      </c>
      <c r="B1069" s="54">
        <f>Table13[[#This Row],[Date]]</f>
        <v>46049</v>
      </c>
      <c r="C1069" s="55" t="s">
        <v>14</v>
      </c>
      <c r="D1069" s="59" t="s">
        <v>145</v>
      </c>
      <c r="E1069" s="55" t="s">
        <v>18</v>
      </c>
      <c r="F1069" s="55" t="s">
        <v>19</v>
      </c>
      <c r="G1069" s="55">
        <v>1</v>
      </c>
      <c r="H1069" s="55"/>
      <c r="I1069" s="55"/>
      <c r="J1069" s="55"/>
      <c r="K1069" s="57"/>
      <c r="L1069" s="55"/>
    </row>
    <row r="1070" spans="1:12" s="24" customFormat="1">
      <c r="A1070" s="15">
        <v>46050</v>
      </c>
      <c r="B1070" s="17">
        <f>Table13[[#This Row],[Date]]</f>
        <v>46050</v>
      </c>
      <c r="C1070" s="1" t="s">
        <v>14</v>
      </c>
      <c r="D1070" s="135" t="s">
        <v>81</v>
      </c>
      <c r="E1070" s="1" t="s">
        <v>18</v>
      </c>
      <c r="F1070" s="1" t="s">
        <v>19</v>
      </c>
      <c r="G1070" s="1">
        <v>1</v>
      </c>
      <c r="H1070" s="1"/>
      <c r="I1070" s="1"/>
      <c r="J1070" s="1"/>
      <c r="K1070" s="3"/>
      <c r="L1070" s="1"/>
    </row>
    <row r="1071" spans="1:12" s="24" customFormat="1">
      <c r="A1071" s="15">
        <v>46050</v>
      </c>
      <c r="B1071" s="17">
        <f>Table13[[#This Row],[Date]]</f>
        <v>46050</v>
      </c>
      <c r="C1071" s="1" t="s">
        <v>16</v>
      </c>
      <c r="D1071" s="2" t="s">
        <v>200</v>
      </c>
      <c r="E1071" s="1" t="s">
        <v>18</v>
      </c>
      <c r="F1071" s="1" t="s">
        <v>99</v>
      </c>
      <c r="G1071" s="1">
        <v>1</v>
      </c>
      <c r="H1071" s="1"/>
      <c r="I1071" s="1"/>
      <c r="J1071" s="1"/>
      <c r="K1071" s="3"/>
      <c r="L1071" s="1"/>
    </row>
    <row r="1072" spans="1:12" s="24" customFormat="1">
      <c r="A1072" s="15">
        <v>46050</v>
      </c>
      <c r="B1072" s="17">
        <f>Table13[[#This Row],[Date]]</f>
        <v>46050</v>
      </c>
      <c r="C1072" s="1" t="s">
        <v>14</v>
      </c>
      <c r="D1072" s="2" t="s">
        <v>201</v>
      </c>
      <c r="E1072" s="1" t="s">
        <v>18</v>
      </c>
      <c r="F1072" s="1" t="s">
        <v>19</v>
      </c>
      <c r="G1072" s="1">
        <v>1</v>
      </c>
      <c r="H1072" s="1"/>
      <c r="I1072" s="1"/>
      <c r="J1072" s="1"/>
      <c r="K1072" s="3"/>
      <c r="L1072" s="1"/>
    </row>
    <row r="1073" spans="1:12" s="24" customFormat="1">
      <c r="A1073" s="53">
        <v>46050</v>
      </c>
      <c r="B1073" s="54">
        <f>Table13[[#This Row],[Date]]</f>
        <v>46050</v>
      </c>
      <c r="C1073" s="55" t="s">
        <v>16</v>
      </c>
      <c r="D1073" s="61" t="s">
        <v>127</v>
      </c>
      <c r="E1073" s="55" t="s">
        <v>18</v>
      </c>
      <c r="F1073" s="55" t="s">
        <v>19</v>
      </c>
      <c r="G1073" s="55">
        <v>1</v>
      </c>
      <c r="H1073" s="55"/>
      <c r="I1073" s="55"/>
      <c r="J1073" s="55"/>
      <c r="K1073" s="57"/>
      <c r="L1073" s="55"/>
    </row>
    <row r="1074" spans="1:12" s="24" customFormat="1">
      <c r="A1074" s="53">
        <v>46050</v>
      </c>
      <c r="B1074" s="54">
        <f>Table13[[#This Row],[Date]]</f>
        <v>46050</v>
      </c>
      <c r="C1074" s="55" t="s">
        <v>16</v>
      </c>
      <c r="D1074" s="61" t="s">
        <v>179</v>
      </c>
      <c r="E1074" s="55" t="s">
        <v>47</v>
      </c>
      <c r="F1074" s="55" t="s">
        <v>19</v>
      </c>
      <c r="G1074" s="55">
        <v>1</v>
      </c>
      <c r="H1074" s="55"/>
      <c r="I1074" s="55"/>
      <c r="J1074" s="55"/>
      <c r="K1074" s="57"/>
      <c r="L1074" s="55"/>
    </row>
    <row r="1075" spans="1:12" s="24" customFormat="1">
      <c r="A1075" s="53">
        <v>46050</v>
      </c>
      <c r="B1075" s="54">
        <f>Table13[[#This Row],[Date]]</f>
        <v>46050</v>
      </c>
      <c r="C1075" s="55" t="s">
        <v>23</v>
      </c>
      <c r="D1075" s="59" t="s">
        <v>146</v>
      </c>
      <c r="E1075" s="55" t="s">
        <v>18</v>
      </c>
      <c r="F1075" s="55" t="s">
        <v>19</v>
      </c>
      <c r="G1075" s="55">
        <v>1</v>
      </c>
      <c r="H1075" s="55"/>
      <c r="I1075" s="55"/>
      <c r="J1075" s="55"/>
      <c r="K1075" s="57"/>
      <c r="L1075" s="55"/>
    </row>
    <row r="1076" spans="1:12" s="24" customFormat="1">
      <c r="A1076" s="53">
        <v>46050</v>
      </c>
      <c r="B1076" s="54">
        <f>Table13[[#This Row],[Date]]</f>
        <v>46050</v>
      </c>
      <c r="C1076" s="55" t="s">
        <v>23</v>
      </c>
      <c r="D1076" s="59" t="s">
        <v>146</v>
      </c>
      <c r="E1076" s="55" t="s">
        <v>21</v>
      </c>
      <c r="F1076" s="55" t="s">
        <v>19</v>
      </c>
      <c r="G1076" s="55">
        <v>1</v>
      </c>
      <c r="H1076" s="55"/>
      <c r="I1076" s="55"/>
      <c r="J1076" s="55"/>
      <c r="K1076" s="57"/>
      <c r="L1076" s="55"/>
    </row>
    <row r="1077" spans="1:12" s="24" customFormat="1">
      <c r="A1077" s="53">
        <v>46050</v>
      </c>
      <c r="B1077" s="54">
        <f>Table13[[#This Row],[Date]]</f>
        <v>46050</v>
      </c>
      <c r="C1077" s="55" t="s">
        <v>23</v>
      </c>
      <c r="D1077" s="59" t="s">
        <v>146</v>
      </c>
      <c r="E1077" s="55" t="s">
        <v>147</v>
      </c>
      <c r="F1077" s="55" t="s">
        <v>19</v>
      </c>
      <c r="G1077" s="55">
        <v>1</v>
      </c>
      <c r="H1077" s="55"/>
      <c r="I1077" s="55"/>
      <c r="J1077" s="55"/>
      <c r="K1077" s="57"/>
      <c r="L1077" s="55"/>
    </row>
    <row r="1078" spans="1:12" s="24" customFormat="1">
      <c r="A1078" s="53">
        <v>46050</v>
      </c>
      <c r="B1078" s="54">
        <f>Table13[[#This Row],[Date]]</f>
        <v>46050</v>
      </c>
      <c r="C1078" s="55" t="s">
        <v>23</v>
      </c>
      <c r="D1078" s="59" t="s">
        <v>146</v>
      </c>
      <c r="E1078" s="55" t="s">
        <v>148</v>
      </c>
      <c r="F1078" s="55" t="s">
        <v>19</v>
      </c>
      <c r="G1078" s="55">
        <v>1</v>
      </c>
      <c r="H1078" s="55"/>
      <c r="I1078" s="55"/>
      <c r="J1078" s="55"/>
      <c r="K1078" s="57"/>
      <c r="L1078" s="55"/>
    </row>
    <row r="1079" spans="1:12" s="24" customFormat="1">
      <c r="A1079" s="53">
        <v>46051</v>
      </c>
      <c r="B1079" s="54">
        <f>Table13[[#This Row],[Date]]</f>
        <v>46051</v>
      </c>
      <c r="C1079" s="55" t="s">
        <v>16</v>
      </c>
      <c r="D1079" s="59" t="s">
        <v>136</v>
      </c>
      <c r="E1079" s="55" t="s">
        <v>18</v>
      </c>
      <c r="F1079" s="55" t="s">
        <v>19</v>
      </c>
      <c r="G1079" s="55">
        <v>1</v>
      </c>
      <c r="H1079" s="55"/>
      <c r="I1079" s="55"/>
      <c r="J1079" s="55"/>
      <c r="K1079" s="57"/>
      <c r="L1079" s="55"/>
    </row>
    <row r="1080" spans="1:12" s="24" customFormat="1">
      <c r="A1080" s="53">
        <v>46051</v>
      </c>
      <c r="B1080" s="54">
        <f>Table13[[#This Row],[Date]]</f>
        <v>46051</v>
      </c>
      <c r="C1080" s="55" t="s">
        <v>16</v>
      </c>
      <c r="D1080" s="59" t="s">
        <v>137</v>
      </c>
      <c r="E1080" s="55" t="s">
        <v>18</v>
      </c>
      <c r="F1080" s="55" t="s">
        <v>19</v>
      </c>
      <c r="G1080" s="55">
        <v>1</v>
      </c>
      <c r="H1080" s="55"/>
      <c r="I1080" s="55"/>
      <c r="J1080" s="55"/>
      <c r="K1080" s="57"/>
      <c r="L1080" s="55"/>
    </row>
    <row r="1081" spans="1:12" s="24" customFormat="1">
      <c r="A1081" s="53">
        <v>46051</v>
      </c>
      <c r="B1081" s="54">
        <f>Table13[[#This Row],[Date]]</f>
        <v>46051</v>
      </c>
      <c r="C1081" s="55" t="s">
        <v>16</v>
      </c>
      <c r="D1081" s="59" t="s">
        <v>138</v>
      </c>
      <c r="E1081" s="55" t="s">
        <v>18</v>
      </c>
      <c r="F1081" s="55" t="s">
        <v>19</v>
      </c>
      <c r="G1081" s="55">
        <v>1</v>
      </c>
      <c r="H1081" s="55"/>
      <c r="I1081" s="55"/>
      <c r="J1081" s="55"/>
      <c r="K1081" s="57"/>
      <c r="L1081" s="55"/>
    </row>
    <row r="1082" spans="1:12" s="24" customFormat="1">
      <c r="A1082" s="53">
        <v>46051</v>
      </c>
      <c r="B1082" s="54">
        <f>Table13[[#This Row],[Date]]</f>
        <v>46051</v>
      </c>
      <c r="C1082" s="55" t="s">
        <v>23</v>
      </c>
      <c r="D1082" s="59" t="s">
        <v>139</v>
      </c>
      <c r="E1082" s="55" t="s">
        <v>18</v>
      </c>
      <c r="F1082" s="55" t="s">
        <v>19</v>
      </c>
      <c r="G1082" s="55">
        <v>1</v>
      </c>
      <c r="H1082" s="55"/>
      <c r="I1082" s="55"/>
      <c r="J1082" s="55"/>
      <c r="K1082" s="57"/>
      <c r="L1082" s="55"/>
    </row>
    <row r="1083" spans="1:12" s="24" customFormat="1">
      <c r="A1083" s="53">
        <v>46051</v>
      </c>
      <c r="B1083" s="54">
        <f>Table13[[#This Row],[Date]]</f>
        <v>46051</v>
      </c>
      <c r="C1083" s="55" t="s">
        <v>23</v>
      </c>
      <c r="D1083" s="59" t="s">
        <v>140</v>
      </c>
      <c r="E1083" s="55" t="s">
        <v>18</v>
      </c>
      <c r="F1083" s="55" t="s">
        <v>19</v>
      </c>
      <c r="G1083" s="55">
        <v>1</v>
      </c>
      <c r="H1083" s="55"/>
      <c r="I1083" s="55"/>
      <c r="J1083" s="55"/>
      <c r="K1083" s="57"/>
      <c r="L1083" s="55"/>
    </row>
    <row r="1084" spans="1:12" s="24" customFormat="1">
      <c r="A1084" s="53">
        <v>46051</v>
      </c>
      <c r="B1084" s="54">
        <f>Table13[[#This Row],[Date]]</f>
        <v>46051</v>
      </c>
      <c r="C1084" s="55" t="s">
        <v>23</v>
      </c>
      <c r="D1084" s="59" t="s">
        <v>141</v>
      </c>
      <c r="E1084" s="55" t="s">
        <v>18</v>
      </c>
      <c r="F1084" s="55" t="s">
        <v>19</v>
      </c>
      <c r="G1084" s="55">
        <v>1</v>
      </c>
      <c r="H1084" s="55"/>
      <c r="I1084" s="55"/>
      <c r="J1084" s="55"/>
      <c r="K1084" s="57"/>
      <c r="L1084" s="55"/>
    </row>
    <row r="1085" spans="1:12" s="24" customFormat="1">
      <c r="A1085" s="53">
        <v>46051</v>
      </c>
      <c r="B1085" s="54">
        <f>Table13[[#This Row],[Date]]</f>
        <v>46051</v>
      </c>
      <c r="C1085" s="55" t="s">
        <v>23</v>
      </c>
      <c r="D1085" s="59" t="s">
        <v>142</v>
      </c>
      <c r="E1085" s="55" t="s">
        <v>18</v>
      </c>
      <c r="F1085" s="55" t="s">
        <v>19</v>
      </c>
      <c r="G1085" s="55">
        <v>1</v>
      </c>
      <c r="H1085" s="55"/>
      <c r="I1085" s="55"/>
      <c r="J1085" s="55"/>
      <c r="K1085" s="57"/>
      <c r="L1085" s="55"/>
    </row>
    <row r="1086" spans="1:12" s="24" customFormat="1">
      <c r="A1086" s="53">
        <v>46052</v>
      </c>
      <c r="B1086" s="54">
        <f>Table13[[#This Row],[Date]]</f>
        <v>46052</v>
      </c>
      <c r="C1086" s="55" t="s">
        <v>14</v>
      </c>
      <c r="D1086" s="59" t="s">
        <v>130</v>
      </c>
      <c r="E1086" s="55" t="s">
        <v>18</v>
      </c>
      <c r="F1086" s="55" t="s">
        <v>19</v>
      </c>
      <c r="G1086" s="55">
        <v>1</v>
      </c>
      <c r="H1086" s="55"/>
      <c r="I1086" s="55"/>
      <c r="J1086" s="55"/>
      <c r="K1086" s="57"/>
      <c r="L1086" s="55"/>
    </row>
    <row r="1087" spans="1:12" s="24" customFormat="1">
      <c r="A1087" s="53">
        <v>46052</v>
      </c>
      <c r="B1087" s="54">
        <f>Table13[[#This Row],[Date]]</f>
        <v>46052</v>
      </c>
      <c r="C1087" s="55" t="s">
        <v>14</v>
      </c>
      <c r="D1087" s="59" t="s">
        <v>131</v>
      </c>
      <c r="E1087" s="64" t="s">
        <v>18</v>
      </c>
      <c r="F1087" s="55" t="s">
        <v>19</v>
      </c>
      <c r="G1087" s="55">
        <v>1</v>
      </c>
      <c r="H1087" s="55"/>
      <c r="I1087" s="55"/>
      <c r="J1087" s="55"/>
      <c r="K1087" s="57"/>
      <c r="L1087" s="55"/>
    </row>
    <row r="1088" spans="1:12" s="24" customFormat="1">
      <c r="A1088" s="53">
        <v>46052</v>
      </c>
      <c r="B1088" s="54">
        <f>Table13[[#This Row],[Date]]</f>
        <v>46052</v>
      </c>
      <c r="C1088" s="55" t="s">
        <v>16</v>
      </c>
      <c r="D1088" s="59" t="s">
        <v>133</v>
      </c>
      <c r="E1088" s="55" t="s">
        <v>21</v>
      </c>
      <c r="F1088" s="55" t="s">
        <v>19</v>
      </c>
      <c r="G1088" s="55">
        <v>1</v>
      </c>
      <c r="H1088" s="55"/>
      <c r="I1088" s="55"/>
      <c r="J1088" s="55"/>
      <c r="K1088" s="57"/>
      <c r="L1088" s="55"/>
    </row>
    <row r="1089" spans="1:12" s="24" customFormat="1">
      <c r="A1089" s="53">
        <v>46052</v>
      </c>
      <c r="B1089" s="54">
        <f>Table13[[#This Row],[Date]]</f>
        <v>46052</v>
      </c>
      <c r="C1089" s="55" t="s">
        <v>16</v>
      </c>
      <c r="D1089" s="59" t="s">
        <v>134</v>
      </c>
      <c r="E1089" s="55" t="s">
        <v>18</v>
      </c>
      <c r="F1089" s="55" t="s">
        <v>19</v>
      </c>
      <c r="G1089" s="55">
        <v>1</v>
      </c>
      <c r="H1089" s="55"/>
      <c r="I1089" s="55"/>
      <c r="J1089" s="55"/>
      <c r="K1089" s="57"/>
      <c r="L1089" s="55"/>
    </row>
    <row r="1090" spans="1:12" s="24" customFormat="1">
      <c r="A1090" s="53">
        <v>46052</v>
      </c>
      <c r="B1090" s="54">
        <f>Table13[[#This Row],[Date]]</f>
        <v>46052</v>
      </c>
      <c r="C1090" s="55" t="s">
        <v>16</v>
      </c>
      <c r="D1090" s="59" t="s">
        <v>135</v>
      </c>
      <c r="E1090" s="77" t="s">
        <v>47</v>
      </c>
      <c r="F1090" s="55" t="s">
        <v>19</v>
      </c>
      <c r="G1090" s="55">
        <v>1</v>
      </c>
      <c r="H1090" s="55"/>
      <c r="I1090" s="55"/>
      <c r="J1090" s="55"/>
      <c r="K1090" s="57"/>
      <c r="L1090" s="55"/>
    </row>
    <row r="1091" spans="1:12" s="24" customFormat="1">
      <c r="A1091" s="53">
        <v>46052</v>
      </c>
      <c r="B1091" s="54">
        <f>Table13[[#This Row],[Date]]</f>
        <v>46052</v>
      </c>
      <c r="C1091" s="55" t="s">
        <v>16</v>
      </c>
      <c r="D1091" s="59" t="s">
        <v>135</v>
      </c>
      <c r="E1091" s="77" t="s">
        <v>53</v>
      </c>
      <c r="F1091" s="55" t="s">
        <v>19</v>
      </c>
      <c r="G1091" s="55">
        <v>1</v>
      </c>
      <c r="H1091" s="55"/>
      <c r="I1091" s="55"/>
      <c r="J1091" s="55"/>
      <c r="K1091" s="57"/>
      <c r="L1091" s="55"/>
    </row>
    <row r="1092" spans="1:12" s="24" customFormat="1">
      <c r="A1092" s="53">
        <v>46055</v>
      </c>
      <c r="B1092" s="54">
        <f>Table13[[#This Row],[Date]]</f>
        <v>46055</v>
      </c>
      <c r="C1092" s="55" t="s">
        <v>23</v>
      </c>
      <c r="D1092" s="91" t="s">
        <v>24</v>
      </c>
      <c r="E1092" s="64" t="s">
        <v>18</v>
      </c>
      <c r="F1092" s="55" t="s">
        <v>19</v>
      </c>
      <c r="G1092" s="55">
        <v>1</v>
      </c>
      <c r="H1092" s="55"/>
      <c r="I1092" s="55"/>
      <c r="J1092" s="55"/>
      <c r="K1092" s="57"/>
      <c r="L1092" s="55"/>
    </row>
    <row r="1093" spans="1:12" s="24" customFormat="1">
      <c r="A1093" s="53">
        <v>46055</v>
      </c>
      <c r="B1093" s="54">
        <f>Table13[[#This Row],[Date]]</f>
        <v>46055</v>
      </c>
      <c r="C1093" s="55" t="s">
        <v>23</v>
      </c>
      <c r="D1093" s="91" t="s">
        <v>25</v>
      </c>
      <c r="E1093" s="64" t="s">
        <v>18</v>
      </c>
      <c r="F1093" s="55" t="s">
        <v>19</v>
      </c>
      <c r="G1093" s="55">
        <v>1</v>
      </c>
      <c r="H1093" s="55"/>
      <c r="I1093" s="55"/>
      <c r="J1093" s="55"/>
      <c r="K1093" s="57"/>
      <c r="L1093" s="55"/>
    </row>
    <row r="1094" spans="1:12" s="24" customFormat="1">
      <c r="A1094" s="53">
        <v>46055</v>
      </c>
      <c r="B1094" s="54">
        <f>Table13[[#This Row],[Date]]</f>
        <v>46055</v>
      </c>
      <c r="C1094" s="55" t="s">
        <v>23</v>
      </c>
      <c r="D1094" s="91" t="s">
        <v>25</v>
      </c>
      <c r="E1094" s="64" t="s">
        <v>21</v>
      </c>
      <c r="F1094" s="55" t="s">
        <v>19</v>
      </c>
      <c r="G1094" s="55">
        <v>1</v>
      </c>
      <c r="H1094" s="55"/>
      <c r="I1094" s="55"/>
      <c r="J1094" s="55"/>
      <c r="K1094" s="57"/>
      <c r="L1094" s="55"/>
    </row>
    <row r="1095" spans="1:12" s="24" customFormat="1">
      <c r="A1095" s="53">
        <v>46055</v>
      </c>
      <c r="B1095" s="54">
        <f>Table13[[#This Row],[Date]]</f>
        <v>46055</v>
      </c>
      <c r="C1095" s="55" t="s">
        <v>26</v>
      </c>
      <c r="D1095" s="61" t="s">
        <v>151</v>
      </c>
      <c r="E1095" s="55" t="s">
        <v>18</v>
      </c>
      <c r="F1095" s="55" t="s">
        <v>19</v>
      </c>
      <c r="G1095" s="55">
        <v>1</v>
      </c>
      <c r="H1095" s="55"/>
      <c r="I1095" s="55"/>
      <c r="J1095" s="55"/>
      <c r="K1095" s="57"/>
      <c r="L1095" s="55"/>
    </row>
    <row r="1096" spans="1:12" s="24" customFormat="1">
      <c r="A1096" s="53">
        <v>46055</v>
      </c>
      <c r="B1096" s="54">
        <f>Table13[[#This Row],[Date]]</f>
        <v>46055</v>
      </c>
      <c r="C1096" s="55" t="s">
        <v>26</v>
      </c>
      <c r="D1096" s="61" t="s">
        <v>151</v>
      </c>
      <c r="E1096" s="55" t="s">
        <v>28</v>
      </c>
      <c r="F1096" s="55" t="s">
        <v>19</v>
      </c>
      <c r="G1096" s="55">
        <v>1</v>
      </c>
      <c r="H1096" s="55"/>
      <c r="I1096" s="55"/>
      <c r="J1096" s="55"/>
      <c r="K1096" s="57"/>
      <c r="L1096" s="55"/>
    </row>
    <row r="1097" spans="1:12" s="24" customFormat="1">
      <c r="A1097" s="53">
        <v>46055</v>
      </c>
      <c r="B1097" s="54">
        <f>Table13[[#This Row],[Date]]</f>
        <v>46055</v>
      </c>
      <c r="C1097" s="55" t="s">
        <v>26</v>
      </c>
      <c r="D1097" s="61" t="s">
        <v>152</v>
      </c>
      <c r="E1097" s="55" t="s">
        <v>18</v>
      </c>
      <c r="F1097" s="55" t="s">
        <v>19</v>
      </c>
      <c r="G1097" s="55">
        <v>1</v>
      </c>
      <c r="H1097" s="55"/>
      <c r="I1097" s="55"/>
      <c r="J1097" s="55"/>
      <c r="K1097" s="57"/>
      <c r="L1097" s="55"/>
    </row>
    <row r="1098" spans="1:12" s="24" customFormat="1">
      <c r="A1098" s="53">
        <v>46055</v>
      </c>
      <c r="B1098" s="54">
        <f>Table13[[#This Row],[Date]]</f>
        <v>46055</v>
      </c>
      <c r="C1098" s="55" t="s">
        <v>26</v>
      </c>
      <c r="D1098" s="61" t="s">
        <v>152</v>
      </c>
      <c r="E1098" s="55" t="s">
        <v>28</v>
      </c>
      <c r="F1098" s="55" t="s">
        <v>19</v>
      </c>
      <c r="G1098" s="55">
        <v>1</v>
      </c>
      <c r="H1098" s="55"/>
      <c r="I1098" s="55"/>
      <c r="J1098" s="55"/>
      <c r="K1098" s="57"/>
      <c r="L1098" s="55"/>
    </row>
    <row r="1099" spans="1:12" s="24" customFormat="1">
      <c r="A1099" s="53">
        <v>46056</v>
      </c>
      <c r="B1099" s="80">
        <f>Table13[[#This Row],[Date]]</f>
        <v>46056</v>
      </c>
      <c r="C1099" s="63" t="s">
        <v>26</v>
      </c>
      <c r="D1099" s="61" t="s">
        <v>153</v>
      </c>
      <c r="E1099" s="55" t="s">
        <v>18</v>
      </c>
      <c r="F1099" s="63" t="s">
        <v>19</v>
      </c>
      <c r="G1099" s="55">
        <v>1</v>
      </c>
      <c r="H1099" s="63"/>
      <c r="I1099" s="63"/>
      <c r="J1099" s="63"/>
      <c r="K1099" s="71"/>
      <c r="L1099" s="55"/>
    </row>
    <row r="1100" spans="1:12" s="24" customFormat="1">
      <c r="A1100" s="53">
        <v>46056</v>
      </c>
      <c r="B1100" s="80">
        <f>Table13[[#This Row],[Date]]</f>
        <v>46056</v>
      </c>
      <c r="C1100" s="63" t="s">
        <v>26</v>
      </c>
      <c r="D1100" s="61" t="s">
        <v>153</v>
      </c>
      <c r="E1100" s="55" t="s">
        <v>28</v>
      </c>
      <c r="F1100" s="63" t="s">
        <v>19</v>
      </c>
      <c r="G1100" s="55">
        <v>1</v>
      </c>
      <c r="H1100" s="55"/>
      <c r="I1100" s="55"/>
      <c r="J1100" s="55"/>
      <c r="K1100" s="57"/>
      <c r="L1100" s="55"/>
    </row>
    <row r="1101" spans="1:12" s="24" customFormat="1">
      <c r="A1101" s="53">
        <v>46056</v>
      </c>
      <c r="B1101" s="80">
        <f>Table13[[#This Row],[Date]]</f>
        <v>46056</v>
      </c>
      <c r="C1101" s="63" t="s">
        <v>26</v>
      </c>
      <c r="D1101" s="61" t="s">
        <v>154</v>
      </c>
      <c r="E1101" s="55" t="s">
        <v>18</v>
      </c>
      <c r="F1101" s="63" t="s">
        <v>19</v>
      </c>
      <c r="G1101" s="55">
        <v>1</v>
      </c>
      <c r="H1101" s="55"/>
      <c r="I1101" s="55"/>
      <c r="J1101" s="55"/>
      <c r="K1101" s="57"/>
      <c r="L1101" s="55"/>
    </row>
    <row r="1102" spans="1:12" s="24" customFormat="1">
      <c r="A1102" s="53">
        <v>46056</v>
      </c>
      <c r="B1102" s="54">
        <f>Table13[[#This Row],[Date]]</f>
        <v>46056</v>
      </c>
      <c r="C1102" s="55" t="s">
        <v>26</v>
      </c>
      <c r="D1102" s="61" t="s">
        <v>154</v>
      </c>
      <c r="E1102" s="55" t="s">
        <v>28</v>
      </c>
      <c r="F1102" s="55" t="s">
        <v>19</v>
      </c>
      <c r="G1102" s="55">
        <v>1</v>
      </c>
      <c r="H1102" s="55"/>
      <c r="I1102" s="55"/>
      <c r="J1102" s="55"/>
      <c r="K1102" s="57"/>
      <c r="L1102" s="55"/>
    </row>
    <row r="1103" spans="1:12" s="24" customFormat="1">
      <c r="A1103" s="48">
        <v>46056</v>
      </c>
      <c r="B1103" s="49">
        <f>Table13[[#This Row],[Date]]</f>
        <v>46056</v>
      </c>
      <c r="C1103" s="50" t="s">
        <v>4</v>
      </c>
      <c r="D1103" s="51" t="s">
        <v>32</v>
      </c>
      <c r="E1103" s="50"/>
      <c r="F1103" s="50"/>
      <c r="G1103" s="50"/>
      <c r="H1103" s="50"/>
      <c r="I1103" s="50"/>
      <c r="J1103" s="50"/>
      <c r="K1103" s="52"/>
      <c r="L1103" s="50"/>
    </row>
    <row r="1104" spans="1:12" s="24" customFormat="1">
      <c r="A1104" s="53">
        <v>46057</v>
      </c>
      <c r="B1104" s="54">
        <f>Table13[[#This Row],[Date]]</f>
        <v>46057</v>
      </c>
      <c r="C1104" s="55" t="s">
        <v>14</v>
      </c>
      <c r="D1104" s="91" t="s">
        <v>33</v>
      </c>
      <c r="E1104" s="77" t="s">
        <v>18</v>
      </c>
      <c r="F1104" s="55" t="s">
        <v>19</v>
      </c>
      <c r="G1104" s="55">
        <v>1</v>
      </c>
      <c r="H1104" s="55"/>
      <c r="I1104" s="55"/>
      <c r="J1104" s="55"/>
      <c r="K1104" s="57"/>
      <c r="L1104" s="55"/>
    </row>
    <row r="1105" spans="1:12" s="24" customFormat="1">
      <c r="A1105" s="53">
        <v>46057</v>
      </c>
      <c r="B1105" s="54">
        <f>Table13[[#This Row],[Date]]</f>
        <v>46057</v>
      </c>
      <c r="C1105" s="55" t="s">
        <v>14</v>
      </c>
      <c r="D1105" s="91" t="s">
        <v>33</v>
      </c>
      <c r="E1105" s="55" t="s">
        <v>21</v>
      </c>
      <c r="F1105" s="55" t="s">
        <v>19</v>
      </c>
      <c r="G1105" s="55">
        <v>1</v>
      </c>
      <c r="H1105" s="55"/>
      <c r="I1105" s="55"/>
      <c r="J1105" s="55"/>
      <c r="K1105" s="57"/>
      <c r="L1105" s="55"/>
    </row>
    <row r="1106" spans="1:12" s="33" customFormat="1">
      <c r="A1106" s="53">
        <v>46057</v>
      </c>
      <c r="B1106" s="54">
        <f>Table13[[#This Row],[Date]]</f>
        <v>46057</v>
      </c>
      <c r="C1106" s="55" t="s">
        <v>14</v>
      </c>
      <c r="D1106" s="91" t="s">
        <v>33</v>
      </c>
      <c r="E1106" s="77" t="s">
        <v>34</v>
      </c>
      <c r="F1106" s="55" t="s">
        <v>19</v>
      </c>
      <c r="G1106" s="55">
        <v>1</v>
      </c>
      <c r="H1106" s="55"/>
      <c r="I1106" s="55"/>
      <c r="J1106" s="55"/>
      <c r="K1106" s="57"/>
      <c r="L1106" s="55"/>
    </row>
    <row r="1107" spans="1:12" s="24" customFormat="1">
      <c r="A1107" s="53">
        <v>46057</v>
      </c>
      <c r="B1107" s="54">
        <f>Table13[[#This Row],[Date]]</f>
        <v>46057</v>
      </c>
      <c r="C1107" s="55" t="s">
        <v>14</v>
      </c>
      <c r="D1107" s="91" t="s">
        <v>33</v>
      </c>
      <c r="E1107" s="77" t="s">
        <v>35</v>
      </c>
      <c r="F1107" s="55" t="s">
        <v>19</v>
      </c>
      <c r="G1107" s="55">
        <v>1</v>
      </c>
      <c r="H1107" s="55"/>
      <c r="I1107" s="55"/>
      <c r="J1107" s="55"/>
      <c r="K1107" s="57"/>
      <c r="L1107" s="55"/>
    </row>
    <row r="1108" spans="1:12" s="24" customFormat="1">
      <c r="A1108" s="15">
        <v>46057</v>
      </c>
      <c r="B1108" s="104">
        <f>Table13[[#This Row],[Date]]</f>
        <v>46057</v>
      </c>
      <c r="C1108" s="105" t="s">
        <v>16</v>
      </c>
      <c r="D1108" s="271" t="s">
        <v>22</v>
      </c>
      <c r="E1108" s="107" t="s">
        <v>18</v>
      </c>
      <c r="F1108" s="105" t="s">
        <v>19</v>
      </c>
      <c r="G1108" s="105">
        <v>1</v>
      </c>
      <c r="H1108" s="105"/>
      <c r="I1108" s="105"/>
      <c r="J1108" s="105"/>
      <c r="K1108" s="108"/>
      <c r="L1108" s="105"/>
    </row>
    <row r="1109" spans="1:12" s="24" customFormat="1">
      <c r="A1109" s="53">
        <v>46057</v>
      </c>
      <c r="B1109" s="54">
        <f>Table13[[#This Row],[Date]]</f>
        <v>46057</v>
      </c>
      <c r="C1109" s="55" t="s">
        <v>23</v>
      </c>
      <c r="D1109" s="59" t="s">
        <v>36</v>
      </c>
      <c r="E1109" s="55" t="s">
        <v>18</v>
      </c>
      <c r="F1109" s="55" t="s">
        <v>19</v>
      </c>
      <c r="G1109" s="55">
        <v>1</v>
      </c>
      <c r="H1109" s="55"/>
      <c r="I1109" s="55"/>
      <c r="J1109" s="55"/>
      <c r="K1109" s="57"/>
      <c r="L1109" s="55"/>
    </row>
    <row r="1110" spans="1:12" s="24" customFormat="1">
      <c r="A1110" s="15">
        <v>46057</v>
      </c>
      <c r="B1110" s="17">
        <f>Table13[[#This Row],[Date]]</f>
        <v>46057</v>
      </c>
      <c r="C1110" s="1" t="s">
        <v>23</v>
      </c>
      <c r="D1110" s="141" t="s">
        <v>38</v>
      </c>
      <c r="E1110" s="1" t="s">
        <v>18</v>
      </c>
      <c r="F1110" s="1" t="s">
        <v>19</v>
      </c>
      <c r="G1110" s="1">
        <v>1</v>
      </c>
      <c r="H1110" s="1"/>
      <c r="I1110" s="1"/>
      <c r="J1110" s="1"/>
      <c r="K1110" s="3"/>
      <c r="L1110" s="1"/>
    </row>
    <row r="1111" spans="1:12" s="24" customFormat="1">
      <c r="A1111" s="53">
        <v>46057</v>
      </c>
      <c r="B1111" s="54">
        <f>Table13[[#This Row],[Date]]</f>
        <v>46057</v>
      </c>
      <c r="C1111" s="55" t="s">
        <v>26</v>
      </c>
      <c r="D1111" s="74" t="s">
        <v>40</v>
      </c>
      <c r="E1111" s="55" t="s">
        <v>18</v>
      </c>
      <c r="F1111" s="55" t="s">
        <v>19</v>
      </c>
      <c r="G1111" s="55">
        <v>1</v>
      </c>
      <c r="H1111" s="55"/>
      <c r="I1111" s="55"/>
      <c r="J1111" s="55"/>
      <c r="K1111" s="57"/>
      <c r="L1111" s="55"/>
    </row>
    <row r="1112" spans="1:12" s="24" customFormat="1">
      <c r="A1112" s="53">
        <v>46057</v>
      </c>
      <c r="B1112" s="54">
        <f>Table13[[#This Row],[Date]]</f>
        <v>46057</v>
      </c>
      <c r="C1112" s="55" t="s">
        <v>26</v>
      </c>
      <c r="D1112" s="74" t="s">
        <v>40</v>
      </c>
      <c r="E1112" s="55" t="s">
        <v>28</v>
      </c>
      <c r="F1112" s="55" t="s">
        <v>19</v>
      </c>
      <c r="G1112" s="55">
        <v>1</v>
      </c>
      <c r="H1112" s="55"/>
      <c r="I1112" s="55"/>
      <c r="J1112" s="55"/>
      <c r="K1112" s="57"/>
      <c r="L1112" s="55"/>
    </row>
    <row r="1113" spans="1:12" s="24" customFormat="1">
      <c r="A1113" s="53">
        <v>46057</v>
      </c>
      <c r="B1113" s="54">
        <f>Table13[[#This Row],[Date]]</f>
        <v>46057</v>
      </c>
      <c r="C1113" s="55" t="s">
        <v>26</v>
      </c>
      <c r="D1113" s="61" t="s">
        <v>155</v>
      </c>
      <c r="E1113" s="55" t="s">
        <v>18</v>
      </c>
      <c r="F1113" s="55" t="s">
        <v>19</v>
      </c>
      <c r="G1113" s="55">
        <v>1</v>
      </c>
      <c r="H1113" s="55"/>
      <c r="I1113" s="55"/>
      <c r="J1113" s="55"/>
      <c r="K1113" s="57"/>
      <c r="L1113" s="55"/>
    </row>
    <row r="1114" spans="1:12" s="24" customFormat="1">
      <c r="A1114" s="53">
        <v>46057</v>
      </c>
      <c r="B1114" s="54">
        <f>Table13[[#This Row],[Date]]</f>
        <v>46057</v>
      </c>
      <c r="C1114" s="55" t="s">
        <v>26</v>
      </c>
      <c r="D1114" s="61" t="s">
        <v>155</v>
      </c>
      <c r="E1114" s="55" t="s">
        <v>28</v>
      </c>
      <c r="F1114" s="55" t="s">
        <v>19</v>
      </c>
      <c r="G1114" s="55">
        <v>1</v>
      </c>
      <c r="H1114" s="55"/>
      <c r="I1114" s="55"/>
      <c r="J1114" s="55"/>
      <c r="K1114" s="57"/>
      <c r="L1114" s="55"/>
    </row>
    <row r="1115" spans="1:12" s="24" customFormat="1">
      <c r="A1115" s="53">
        <v>46058</v>
      </c>
      <c r="B1115" s="54">
        <f>Table13[[#This Row],[Date]]</f>
        <v>46058</v>
      </c>
      <c r="C1115" s="55" t="s">
        <v>14</v>
      </c>
      <c r="D1115" s="91" t="s">
        <v>33</v>
      </c>
      <c r="E1115" s="64" t="s">
        <v>41</v>
      </c>
      <c r="F1115" s="55" t="s">
        <v>19</v>
      </c>
      <c r="G1115" s="55">
        <v>1</v>
      </c>
      <c r="H1115" s="55"/>
      <c r="I1115" s="55"/>
      <c r="J1115" s="55"/>
      <c r="K1115" s="57"/>
      <c r="L1115" s="55"/>
    </row>
    <row r="1116" spans="1:12" s="24" customFormat="1">
      <c r="A1116" s="53">
        <v>46058</v>
      </c>
      <c r="B1116" s="54">
        <f>Table13[[#This Row],[Date]]</f>
        <v>46058</v>
      </c>
      <c r="C1116" s="55" t="s">
        <v>14</v>
      </c>
      <c r="D1116" s="91" t="s">
        <v>33</v>
      </c>
      <c r="E1116" s="55" t="s">
        <v>42</v>
      </c>
      <c r="F1116" s="55" t="s">
        <v>19</v>
      </c>
      <c r="G1116" s="55">
        <v>1</v>
      </c>
      <c r="H1116" s="55"/>
      <c r="I1116" s="55"/>
      <c r="J1116" s="55"/>
      <c r="K1116" s="57"/>
      <c r="L1116" s="55"/>
    </row>
    <row r="1117" spans="1:12" s="24" customFormat="1">
      <c r="A1117" s="53">
        <v>46058</v>
      </c>
      <c r="B1117" s="54">
        <f>Table13[[#This Row],[Date]]</f>
        <v>46058</v>
      </c>
      <c r="C1117" s="55" t="s">
        <v>14</v>
      </c>
      <c r="D1117" s="91" t="s">
        <v>33</v>
      </c>
      <c r="E1117" s="55" t="s">
        <v>43</v>
      </c>
      <c r="F1117" s="55" t="s">
        <v>19</v>
      </c>
      <c r="G1117" s="55">
        <v>1</v>
      </c>
      <c r="H1117" s="55"/>
      <c r="I1117" s="55"/>
      <c r="J1117" s="55"/>
      <c r="K1117" s="57"/>
      <c r="L1117" s="55"/>
    </row>
    <row r="1118" spans="1:12" s="24" customFormat="1">
      <c r="A1118" s="53">
        <v>46058</v>
      </c>
      <c r="B1118" s="54">
        <f>Table13[[#This Row],[Date]]</f>
        <v>46058</v>
      </c>
      <c r="C1118" s="55" t="s">
        <v>14</v>
      </c>
      <c r="D1118" s="91" t="s">
        <v>33</v>
      </c>
      <c r="E1118" s="64" t="s">
        <v>44</v>
      </c>
      <c r="F1118" s="55" t="s">
        <v>19</v>
      </c>
      <c r="G1118" s="55">
        <v>1</v>
      </c>
      <c r="H1118" s="55"/>
      <c r="I1118" s="55"/>
      <c r="J1118" s="55"/>
      <c r="K1118" s="57"/>
      <c r="L1118" s="55"/>
    </row>
    <row r="1119" spans="1:12" s="24" customFormat="1">
      <c r="A1119" s="53">
        <v>46058</v>
      </c>
      <c r="B1119" s="54">
        <f>Table13[[#This Row],[Date]]</f>
        <v>46058</v>
      </c>
      <c r="C1119" s="55" t="s">
        <v>14</v>
      </c>
      <c r="D1119" s="91" t="s">
        <v>33</v>
      </c>
      <c r="E1119" s="64" t="s">
        <v>45</v>
      </c>
      <c r="F1119" s="55" t="s">
        <v>19</v>
      </c>
      <c r="G1119" s="55">
        <v>1</v>
      </c>
      <c r="H1119" s="55"/>
      <c r="I1119" s="55"/>
      <c r="J1119" s="55"/>
      <c r="K1119" s="57"/>
      <c r="L1119" s="55"/>
    </row>
    <row r="1120" spans="1:12" s="24" customFormat="1">
      <c r="A1120" s="53">
        <v>46058</v>
      </c>
      <c r="B1120" s="54">
        <f>Table13[[#This Row],[Date]]</f>
        <v>46058</v>
      </c>
      <c r="C1120" s="55" t="s">
        <v>16</v>
      </c>
      <c r="D1120" s="59" t="s">
        <v>46</v>
      </c>
      <c r="E1120" s="64" t="s">
        <v>18</v>
      </c>
      <c r="F1120" s="55" t="s">
        <v>19</v>
      </c>
      <c r="G1120" s="55">
        <v>1</v>
      </c>
      <c r="H1120" s="55"/>
      <c r="I1120" s="55"/>
      <c r="J1120" s="55"/>
      <c r="K1120" s="57"/>
      <c r="L1120" s="55"/>
    </row>
    <row r="1121" spans="1:12" s="24" customFormat="1">
      <c r="A1121" s="53">
        <v>46058</v>
      </c>
      <c r="B1121" s="54">
        <f>Table13[[#This Row],[Date]]</f>
        <v>46058</v>
      </c>
      <c r="C1121" s="55" t="s">
        <v>16</v>
      </c>
      <c r="D1121" s="59" t="s">
        <v>46</v>
      </c>
      <c r="E1121" s="64" t="s">
        <v>21</v>
      </c>
      <c r="F1121" s="55" t="s">
        <v>19</v>
      </c>
      <c r="G1121" s="55">
        <v>1</v>
      </c>
      <c r="H1121" s="55"/>
      <c r="I1121" s="55"/>
      <c r="J1121" s="55"/>
      <c r="K1121" s="57"/>
      <c r="L1121" s="55"/>
    </row>
    <row r="1122" spans="1:12" s="24" customFormat="1">
      <c r="A1122" s="53">
        <v>46058</v>
      </c>
      <c r="B1122" s="54">
        <f>Table13[[#This Row],[Date]]</f>
        <v>46058</v>
      </c>
      <c r="C1122" s="55" t="s">
        <v>16</v>
      </c>
      <c r="D1122" s="59" t="s">
        <v>46</v>
      </c>
      <c r="E1122" s="64" t="s">
        <v>47</v>
      </c>
      <c r="F1122" s="55" t="s">
        <v>19</v>
      </c>
      <c r="G1122" s="55">
        <v>1</v>
      </c>
      <c r="H1122" s="55"/>
      <c r="I1122" s="55"/>
      <c r="J1122" s="55"/>
      <c r="K1122" s="57"/>
      <c r="L1122" s="55"/>
    </row>
    <row r="1123" spans="1:12" s="24" customFormat="1">
      <c r="A1123" s="53">
        <v>46058</v>
      </c>
      <c r="B1123" s="54">
        <f>Table13[[#This Row],[Date]]</f>
        <v>46058</v>
      </c>
      <c r="C1123" s="55" t="s">
        <v>26</v>
      </c>
      <c r="D1123" s="61" t="s">
        <v>157</v>
      </c>
      <c r="E1123" s="64" t="s">
        <v>18</v>
      </c>
      <c r="F1123" s="55" t="s">
        <v>19</v>
      </c>
      <c r="G1123" s="55">
        <v>1</v>
      </c>
      <c r="H1123" s="55"/>
      <c r="I1123" s="55"/>
      <c r="J1123" s="55"/>
      <c r="K1123" s="57"/>
      <c r="L1123" s="55"/>
    </row>
    <row r="1124" spans="1:12" s="24" customFormat="1">
      <c r="A1124" s="53">
        <v>46058</v>
      </c>
      <c r="B1124" s="54">
        <f>Table13[[#This Row],[Date]]</f>
        <v>46058</v>
      </c>
      <c r="C1124" s="55" t="s">
        <v>26</v>
      </c>
      <c r="D1124" s="61" t="s">
        <v>157</v>
      </c>
      <c r="E1124" s="64" t="s">
        <v>21</v>
      </c>
      <c r="F1124" s="55" t="s">
        <v>19</v>
      </c>
      <c r="G1124" s="55">
        <v>1</v>
      </c>
      <c r="H1124" s="55"/>
      <c r="I1124" s="55"/>
      <c r="J1124" s="55"/>
      <c r="K1124" s="57"/>
      <c r="L1124" s="55"/>
    </row>
    <row r="1125" spans="1:12" s="24" customFormat="1">
      <c r="A1125" s="53">
        <v>46058</v>
      </c>
      <c r="B1125" s="54">
        <f>Table13[[#This Row],[Date]]</f>
        <v>46058</v>
      </c>
      <c r="C1125" s="55" t="s">
        <v>26</v>
      </c>
      <c r="D1125" s="61" t="s">
        <v>159</v>
      </c>
      <c r="E1125" s="64" t="s">
        <v>18</v>
      </c>
      <c r="F1125" s="55" t="s">
        <v>19</v>
      </c>
      <c r="G1125" s="55">
        <v>1</v>
      </c>
      <c r="H1125" s="55"/>
      <c r="I1125" s="55"/>
      <c r="J1125" s="55"/>
      <c r="K1125" s="57"/>
      <c r="L1125" s="55"/>
    </row>
    <row r="1126" spans="1:12" s="33" customFormat="1">
      <c r="A1126" s="53">
        <v>46058</v>
      </c>
      <c r="B1126" s="54">
        <f>Table13[[#This Row],[Date]]</f>
        <v>46058</v>
      </c>
      <c r="C1126" s="55" t="s">
        <v>26</v>
      </c>
      <c r="D1126" s="61" t="s">
        <v>159</v>
      </c>
      <c r="E1126" s="64" t="s">
        <v>21</v>
      </c>
      <c r="F1126" s="55" t="s">
        <v>19</v>
      </c>
      <c r="G1126" s="55">
        <v>1</v>
      </c>
      <c r="H1126" s="55"/>
      <c r="I1126" s="55"/>
      <c r="J1126" s="55"/>
      <c r="K1126" s="57"/>
      <c r="L1126" s="55"/>
    </row>
    <row r="1127" spans="1:12" s="24" customFormat="1">
      <c r="A1127" s="53">
        <v>46059</v>
      </c>
      <c r="B1127" s="54">
        <f>Table13[[#This Row],[Date]]</f>
        <v>46059</v>
      </c>
      <c r="C1127" s="55" t="s">
        <v>16</v>
      </c>
      <c r="D1127" s="118" t="s">
        <v>50</v>
      </c>
      <c r="E1127" s="64" t="s">
        <v>47</v>
      </c>
      <c r="F1127" s="55" t="s">
        <v>19</v>
      </c>
      <c r="G1127" s="55">
        <v>1</v>
      </c>
      <c r="H1127" s="55"/>
      <c r="I1127" s="55"/>
      <c r="J1127" s="55"/>
      <c r="K1127" s="57"/>
      <c r="L1127" s="55"/>
    </row>
    <row r="1128" spans="1:12" s="24" customFormat="1">
      <c r="A1128" s="53">
        <v>46059</v>
      </c>
      <c r="B1128" s="54">
        <f>Table13[[#This Row],[Date]]</f>
        <v>46059</v>
      </c>
      <c r="C1128" s="55" t="s">
        <v>16</v>
      </c>
      <c r="D1128" s="118" t="s">
        <v>50</v>
      </c>
      <c r="E1128" s="64" t="s">
        <v>18</v>
      </c>
      <c r="F1128" s="55" t="s">
        <v>19</v>
      </c>
      <c r="G1128" s="55">
        <v>1</v>
      </c>
      <c r="H1128" s="55"/>
      <c r="I1128" s="55"/>
      <c r="J1128" s="55"/>
      <c r="K1128" s="57"/>
      <c r="L1128" s="55"/>
    </row>
    <row r="1129" spans="1:12" s="24" customFormat="1">
      <c r="A1129" s="53">
        <v>46059</v>
      </c>
      <c r="B1129" s="54">
        <f>Table13[[#This Row],[Date]]</f>
        <v>46059</v>
      </c>
      <c r="C1129" s="55" t="s">
        <v>16</v>
      </c>
      <c r="D1129" s="118" t="s">
        <v>50</v>
      </c>
      <c r="E1129" s="64" t="s">
        <v>21</v>
      </c>
      <c r="F1129" s="55" t="s">
        <v>19</v>
      </c>
      <c r="G1129" s="55">
        <v>1</v>
      </c>
      <c r="H1129" s="55"/>
      <c r="I1129" s="55"/>
      <c r="J1129" s="55"/>
      <c r="K1129" s="57"/>
      <c r="L1129" s="55"/>
    </row>
    <row r="1130" spans="1:12" s="24" customFormat="1">
      <c r="A1130" s="53">
        <v>46059</v>
      </c>
      <c r="B1130" s="54">
        <f>Table13[[#This Row],[Date]]</f>
        <v>46059</v>
      </c>
      <c r="C1130" s="55" t="s">
        <v>23</v>
      </c>
      <c r="D1130" s="123" t="s">
        <v>52</v>
      </c>
      <c r="E1130" s="64" t="s">
        <v>47</v>
      </c>
      <c r="F1130" s="55" t="s">
        <v>19</v>
      </c>
      <c r="G1130" s="55">
        <v>1</v>
      </c>
      <c r="H1130" s="55"/>
      <c r="I1130" s="55"/>
      <c r="J1130" s="55"/>
      <c r="K1130" s="57"/>
      <c r="L1130" s="55"/>
    </row>
    <row r="1131" spans="1:12" s="24" customFormat="1">
      <c r="A1131" s="53">
        <v>46059</v>
      </c>
      <c r="B1131" s="54">
        <f>Table13[[#This Row],[Date]]</f>
        <v>46059</v>
      </c>
      <c r="C1131" s="55" t="s">
        <v>23</v>
      </c>
      <c r="D1131" s="123" t="s">
        <v>52</v>
      </c>
      <c r="E1131" s="64" t="s">
        <v>53</v>
      </c>
      <c r="F1131" s="55" t="s">
        <v>19</v>
      </c>
      <c r="G1131" s="55">
        <v>1</v>
      </c>
      <c r="H1131" s="55"/>
      <c r="I1131" s="55"/>
      <c r="J1131" s="55"/>
      <c r="K1131" s="57"/>
      <c r="L1131" s="55"/>
    </row>
    <row r="1132" spans="1:12" s="24" customFormat="1">
      <c r="A1132" s="53">
        <v>46059</v>
      </c>
      <c r="B1132" s="54">
        <f>Table13[[#This Row],[Date]]</f>
        <v>46059</v>
      </c>
      <c r="C1132" s="55" t="s">
        <v>23</v>
      </c>
      <c r="D1132" s="91" t="s">
        <v>54</v>
      </c>
      <c r="E1132" s="64" t="s">
        <v>18</v>
      </c>
      <c r="F1132" s="55" t="s">
        <v>19</v>
      </c>
      <c r="G1132" s="55">
        <v>1</v>
      </c>
      <c r="H1132" s="55"/>
      <c r="I1132" s="55"/>
      <c r="J1132" s="55"/>
      <c r="K1132" s="57"/>
      <c r="L1132" s="55"/>
    </row>
    <row r="1133" spans="1:12" s="24" customFormat="1">
      <c r="A1133" s="53">
        <v>46059</v>
      </c>
      <c r="B1133" s="54">
        <f>Table13[[#This Row],[Date]]</f>
        <v>46059</v>
      </c>
      <c r="C1133" s="55" t="s">
        <v>23</v>
      </c>
      <c r="D1133" s="91" t="s">
        <v>54</v>
      </c>
      <c r="E1133" s="64" t="s">
        <v>21</v>
      </c>
      <c r="F1133" s="55" t="s">
        <v>19</v>
      </c>
      <c r="G1133" s="55">
        <v>1</v>
      </c>
      <c r="H1133" s="55"/>
      <c r="I1133" s="55"/>
      <c r="J1133" s="55"/>
      <c r="K1133" s="57"/>
      <c r="L1133" s="55"/>
    </row>
    <row r="1134" spans="1:12" s="24" customFormat="1">
      <c r="A1134" s="53">
        <v>46059</v>
      </c>
      <c r="B1134" s="54">
        <f>Table13[[#This Row],[Date]]</f>
        <v>46059</v>
      </c>
      <c r="C1134" s="55" t="s">
        <v>26</v>
      </c>
      <c r="D1134" s="61" t="s">
        <v>158</v>
      </c>
      <c r="E1134" s="64" t="s">
        <v>49</v>
      </c>
      <c r="F1134" s="55" t="s">
        <v>19</v>
      </c>
      <c r="G1134" s="55">
        <v>1</v>
      </c>
      <c r="H1134" s="55"/>
      <c r="I1134" s="55"/>
      <c r="J1134" s="55"/>
      <c r="K1134" s="57"/>
      <c r="L1134" s="55"/>
    </row>
    <row r="1135" spans="1:12" s="24" customFormat="1">
      <c r="A1135" s="53">
        <v>46059</v>
      </c>
      <c r="B1135" s="54">
        <f>Table13[[#This Row],[Date]]</f>
        <v>46059</v>
      </c>
      <c r="C1135" s="55" t="s">
        <v>26</v>
      </c>
      <c r="D1135" s="61" t="s">
        <v>158</v>
      </c>
      <c r="E1135" s="64" t="s">
        <v>41</v>
      </c>
      <c r="F1135" s="55" t="s">
        <v>19</v>
      </c>
      <c r="G1135" s="55">
        <v>1</v>
      </c>
      <c r="H1135" s="55"/>
      <c r="I1135" s="55"/>
      <c r="J1135" s="55"/>
      <c r="K1135" s="57"/>
      <c r="L1135" s="55"/>
    </row>
    <row r="1136" spans="1:12" s="24" customFormat="1">
      <c r="A1136" s="16">
        <v>46060</v>
      </c>
      <c r="B1136" s="18">
        <f>Table13[[#This Row],[Date]]</f>
        <v>46060</v>
      </c>
      <c r="C1136" s="10" t="s">
        <v>14</v>
      </c>
      <c r="D1136" s="9" t="s">
        <v>57</v>
      </c>
      <c r="E1136" s="55" t="s">
        <v>18</v>
      </c>
      <c r="F1136" s="55" t="s">
        <v>19</v>
      </c>
      <c r="G1136" s="55">
        <v>1</v>
      </c>
      <c r="H1136" s="1"/>
      <c r="I1136" s="1"/>
      <c r="J1136" s="1"/>
      <c r="K1136" s="3"/>
      <c r="L1136" s="1"/>
    </row>
    <row r="1137" spans="1:12" s="24" customFormat="1" ht="28.9">
      <c r="A1137" s="16">
        <v>46061</v>
      </c>
      <c r="B1137" s="18">
        <f>Table13[[#This Row],[Date]]</f>
        <v>46061</v>
      </c>
      <c r="C1137" s="10" t="s">
        <v>16</v>
      </c>
      <c r="D1137" s="9" t="s">
        <v>62</v>
      </c>
      <c r="E1137" s="10" t="s">
        <v>18</v>
      </c>
      <c r="F1137" s="10" t="s">
        <v>19</v>
      </c>
      <c r="G1137" s="10">
        <v>1</v>
      </c>
      <c r="H1137" s="10"/>
      <c r="I1137" s="10"/>
      <c r="J1137" s="10"/>
      <c r="K1137" s="13"/>
      <c r="L1137" s="10"/>
    </row>
    <row r="1138" spans="1:12" s="24" customFormat="1">
      <c r="A1138" s="16">
        <v>46061</v>
      </c>
      <c r="B1138" s="18">
        <f>Table13[[#This Row],[Date]]</f>
        <v>46061</v>
      </c>
      <c r="C1138" s="10" t="s">
        <v>16</v>
      </c>
      <c r="D1138" s="9" t="s">
        <v>63</v>
      </c>
      <c r="E1138" s="10" t="s">
        <v>18</v>
      </c>
      <c r="F1138" s="10" t="s">
        <v>19</v>
      </c>
      <c r="G1138" s="10">
        <v>1</v>
      </c>
      <c r="H1138" s="10"/>
      <c r="I1138" s="10"/>
      <c r="J1138" s="10"/>
      <c r="K1138" s="13"/>
      <c r="L1138" s="10"/>
    </row>
    <row r="1139" spans="1:12" s="24" customFormat="1">
      <c r="A1139" s="15">
        <v>46062</v>
      </c>
      <c r="B1139" s="17">
        <f>Table13[[#This Row],[Date]]</f>
        <v>46062</v>
      </c>
      <c r="C1139" s="1" t="s">
        <v>14</v>
      </c>
      <c r="D1139" s="152" t="s">
        <v>66</v>
      </c>
      <c r="E1139" s="1" t="s">
        <v>18</v>
      </c>
      <c r="F1139" s="1" t="s">
        <v>19</v>
      </c>
      <c r="G1139" s="1">
        <v>1</v>
      </c>
      <c r="H1139" s="1"/>
      <c r="I1139" s="1"/>
      <c r="J1139" s="1"/>
      <c r="K1139" s="3"/>
      <c r="L1139" s="1"/>
    </row>
    <row r="1140" spans="1:12" s="24" customFormat="1">
      <c r="A1140" s="53">
        <v>46062</v>
      </c>
      <c r="B1140" s="54">
        <f>Table13[[#This Row],[Date]]</f>
        <v>46062</v>
      </c>
      <c r="C1140" s="55" t="s">
        <v>14</v>
      </c>
      <c r="D1140" s="59" t="s">
        <v>65</v>
      </c>
      <c r="E1140" s="55" t="s">
        <v>18</v>
      </c>
      <c r="F1140" s="55" t="s">
        <v>19</v>
      </c>
      <c r="G1140" s="55">
        <v>1</v>
      </c>
      <c r="H1140" s="55"/>
      <c r="I1140" s="55"/>
      <c r="J1140" s="55"/>
      <c r="K1140" s="57"/>
      <c r="L1140" s="55"/>
    </row>
    <row r="1141" spans="1:12" s="24" customFormat="1">
      <c r="A1141" s="53">
        <v>46062</v>
      </c>
      <c r="B1141" s="54">
        <f>Table13[[#This Row],[Date]]</f>
        <v>46062</v>
      </c>
      <c r="C1141" s="55" t="s">
        <v>23</v>
      </c>
      <c r="D1141" s="59" t="s">
        <v>68</v>
      </c>
      <c r="E1141" s="64" t="s">
        <v>18</v>
      </c>
      <c r="F1141" s="55" t="s">
        <v>19</v>
      </c>
      <c r="G1141" s="55">
        <v>1</v>
      </c>
      <c r="H1141" s="55"/>
      <c r="I1141" s="55"/>
      <c r="J1141" s="55"/>
      <c r="K1141" s="57"/>
      <c r="L1141" s="55"/>
    </row>
    <row r="1142" spans="1:12" s="24" customFormat="1">
      <c r="A1142" s="53">
        <v>46062</v>
      </c>
      <c r="B1142" s="54">
        <f>Table13[[#This Row],[Date]]</f>
        <v>46062</v>
      </c>
      <c r="C1142" s="55" t="s">
        <v>23</v>
      </c>
      <c r="D1142" s="59" t="s">
        <v>68</v>
      </c>
      <c r="E1142" s="64" t="s">
        <v>21</v>
      </c>
      <c r="F1142" s="55" t="s">
        <v>19</v>
      </c>
      <c r="G1142" s="55">
        <v>1</v>
      </c>
      <c r="H1142" s="55"/>
      <c r="I1142" s="55"/>
      <c r="J1142" s="55"/>
      <c r="K1142" s="57"/>
      <c r="L1142" s="55"/>
    </row>
    <row r="1143" spans="1:12" s="24" customFormat="1">
      <c r="A1143" s="53">
        <v>46062</v>
      </c>
      <c r="B1143" s="54">
        <f>Table13[[#This Row],[Date]]</f>
        <v>46062</v>
      </c>
      <c r="C1143" s="55" t="s">
        <v>23</v>
      </c>
      <c r="D1143" s="59" t="s">
        <v>68</v>
      </c>
      <c r="E1143" s="64" t="s">
        <v>49</v>
      </c>
      <c r="F1143" s="55" t="s">
        <v>19</v>
      </c>
      <c r="G1143" s="55">
        <v>1</v>
      </c>
      <c r="H1143" s="55"/>
      <c r="I1143" s="55"/>
      <c r="J1143" s="55"/>
      <c r="K1143" s="57"/>
      <c r="L1143" s="55"/>
    </row>
    <row r="1144" spans="1:12" s="24" customFormat="1">
      <c r="A1144" s="53">
        <v>46062</v>
      </c>
      <c r="B1144" s="54">
        <f>Table13[[#This Row],[Date]]</f>
        <v>46062</v>
      </c>
      <c r="C1144" s="55" t="s">
        <v>23</v>
      </c>
      <c r="D1144" s="59" t="s">
        <v>68</v>
      </c>
      <c r="E1144" s="64" t="s">
        <v>41</v>
      </c>
      <c r="F1144" s="55" t="s">
        <v>19</v>
      </c>
      <c r="G1144" s="55">
        <v>1</v>
      </c>
      <c r="H1144" s="55"/>
      <c r="I1144" s="55"/>
      <c r="J1144" s="55"/>
      <c r="K1144" s="57"/>
      <c r="L1144" s="55"/>
    </row>
    <row r="1145" spans="1:12" s="24" customFormat="1">
      <c r="A1145" s="53">
        <v>46062</v>
      </c>
      <c r="B1145" s="54">
        <f>Table13[[#This Row],[Date]]</f>
        <v>46062</v>
      </c>
      <c r="C1145" s="55" t="s">
        <v>26</v>
      </c>
      <c r="D1145" s="61" t="s">
        <v>160</v>
      </c>
      <c r="E1145" s="55" t="s">
        <v>18</v>
      </c>
      <c r="F1145" s="55" t="s">
        <v>19</v>
      </c>
      <c r="G1145" s="55">
        <v>1</v>
      </c>
      <c r="H1145" s="55"/>
      <c r="I1145" s="55"/>
      <c r="J1145" s="55"/>
      <c r="K1145" s="57"/>
      <c r="L1145" s="55"/>
    </row>
    <row r="1146" spans="1:12" s="24" customFormat="1">
      <c r="A1146" s="53">
        <v>46062</v>
      </c>
      <c r="B1146" s="54">
        <f>Table13[[#This Row],[Date]]</f>
        <v>46062</v>
      </c>
      <c r="C1146" s="55" t="s">
        <v>26</v>
      </c>
      <c r="D1146" s="61" t="s">
        <v>160</v>
      </c>
      <c r="E1146" s="55" t="s">
        <v>21</v>
      </c>
      <c r="F1146" s="55" t="s">
        <v>19</v>
      </c>
      <c r="G1146" s="55">
        <v>1</v>
      </c>
      <c r="H1146" s="55"/>
      <c r="I1146" s="55"/>
      <c r="J1146" s="55"/>
      <c r="K1146" s="57"/>
      <c r="L1146" s="55"/>
    </row>
    <row r="1147" spans="1:12" s="24" customFormat="1">
      <c r="A1147" s="53">
        <v>46062</v>
      </c>
      <c r="B1147" s="54">
        <f>Table13[[#This Row],[Date]]</f>
        <v>46062</v>
      </c>
      <c r="C1147" s="55" t="s">
        <v>26</v>
      </c>
      <c r="D1147" s="61" t="s">
        <v>165</v>
      </c>
      <c r="E1147" s="55" t="s">
        <v>18</v>
      </c>
      <c r="F1147" s="55" t="s">
        <v>19</v>
      </c>
      <c r="G1147" s="55">
        <v>1</v>
      </c>
      <c r="H1147" s="55"/>
      <c r="I1147" s="55"/>
      <c r="J1147" s="55"/>
      <c r="K1147" s="57"/>
      <c r="L1147" s="55"/>
    </row>
    <row r="1148" spans="1:12" s="24" customFormat="1">
      <c r="A1148" s="53">
        <v>46062</v>
      </c>
      <c r="B1148" s="54">
        <f>Table13[[#This Row],[Date]]</f>
        <v>46062</v>
      </c>
      <c r="C1148" s="55" t="s">
        <v>26</v>
      </c>
      <c r="D1148" s="61" t="s">
        <v>165</v>
      </c>
      <c r="E1148" s="55" t="s">
        <v>21</v>
      </c>
      <c r="F1148" s="55" t="s">
        <v>19</v>
      </c>
      <c r="G1148" s="55">
        <v>1</v>
      </c>
      <c r="H1148" s="55"/>
      <c r="I1148" s="55"/>
      <c r="J1148" s="55"/>
      <c r="K1148" s="57"/>
      <c r="L1148" s="55"/>
    </row>
    <row r="1149" spans="1:12" s="24" customFormat="1">
      <c r="A1149" s="53">
        <v>46063</v>
      </c>
      <c r="B1149" s="54">
        <f>Table13[[#This Row],[Date]]</f>
        <v>46063</v>
      </c>
      <c r="C1149" s="55" t="s">
        <v>14</v>
      </c>
      <c r="D1149" s="59" t="s">
        <v>104</v>
      </c>
      <c r="E1149" s="55" t="s">
        <v>59</v>
      </c>
      <c r="F1149" s="55" t="s">
        <v>60</v>
      </c>
      <c r="G1149" s="55">
        <v>1</v>
      </c>
      <c r="H1149" s="55"/>
      <c r="I1149" s="55"/>
      <c r="J1149" s="55"/>
      <c r="K1149" s="57"/>
      <c r="L1149" s="55"/>
    </row>
    <row r="1150" spans="1:12" s="24" customFormat="1">
      <c r="A1150" s="53">
        <v>46063</v>
      </c>
      <c r="B1150" s="54">
        <f>Table13[[#This Row],[Date]]</f>
        <v>46063</v>
      </c>
      <c r="C1150" s="55" t="s">
        <v>14</v>
      </c>
      <c r="D1150" s="59" t="s">
        <v>104</v>
      </c>
      <c r="E1150" s="55" t="s">
        <v>61</v>
      </c>
      <c r="F1150" s="55" t="s">
        <v>60</v>
      </c>
      <c r="G1150" s="55">
        <v>1</v>
      </c>
      <c r="H1150" s="55"/>
      <c r="I1150" s="55"/>
      <c r="J1150" s="55"/>
      <c r="K1150" s="57"/>
      <c r="L1150" s="55"/>
    </row>
    <row r="1151" spans="1:12" s="24" customFormat="1">
      <c r="A1151" s="53">
        <v>46063</v>
      </c>
      <c r="B1151" s="54">
        <f>Table13[[#This Row],[Date]]</f>
        <v>46063</v>
      </c>
      <c r="C1151" s="55" t="s">
        <v>26</v>
      </c>
      <c r="D1151" s="61" t="s">
        <v>166</v>
      </c>
      <c r="E1151" s="55" t="s">
        <v>18</v>
      </c>
      <c r="F1151" s="55" t="s">
        <v>19</v>
      </c>
      <c r="G1151" s="55">
        <v>1</v>
      </c>
      <c r="H1151" s="55"/>
      <c r="I1151" s="55"/>
      <c r="J1151" s="55"/>
      <c r="K1151" s="57"/>
      <c r="L1151" s="55"/>
    </row>
    <row r="1152" spans="1:12" s="24" customFormat="1">
      <c r="A1152" s="53">
        <v>46063</v>
      </c>
      <c r="B1152" s="54">
        <f>Table13[[#This Row],[Date]]</f>
        <v>46063</v>
      </c>
      <c r="C1152" s="55" t="s">
        <v>26</v>
      </c>
      <c r="D1152" s="61" t="s">
        <v>166</v>
      </c>
      <c r="E1152" s="55" t="s">
        <v>21</v>
      </c>
      <c r="F1152" s="55" t="s">
        <v>19</v>
      </c>
      <c r="G1152" s="55">
        <v>1</v>
      </c>
      <c r="H1152" s="55"/>
      <c r="I1152" s="55"/>
      <c r="J1152" s="55"/>
      <c r="K1152" s="57"/>
      <c r="L1152" s="55"/>
    </row>
    <row r="1153" spans="1:12" s="24" customFormat="1">
      <c r="A1153" s="48">
        <v>46063</v>
      </c>
      <c r="B1153" s="49">
        <f>Table13[[#This Row],[Date]]</f>
        <v>46063</v>
      </c>
      <c r="C1153" s="50" t="s">
        <v>4</v>
      </c>
      <c r="D1153" s="51" t="s">
        <v>32</v>
      </c>
      <c r="E1153" s="50"/>
      <c r="F1153" s="50"/>
      <c r="G1153" s="50"/>
      <c r="H1153" s="50"/>
      <c r="I1153" s="50"/>
      <c r="J1153" s="50"/>
      <c r="K1153" s="52"/>
      <c r="L1153" s="50"/>
    </row>
    <row r="1154" spans="1:12" s="24" customFormat="1">
      <c r="A1154" s="15">
        <v>46063</v>
      </c>
      <c r="B1154" s="17">
        <f>Table13[[#This Row],[Date]]</f>
        <v>46063</v>
      </c>
      <c r="C1154" s="1"/>
      <c r="D1154" s="2" t="s">
        <v>180</v>
      </c>
      <c r="E1154" s="1" t="s">
        <v>18</v>
      </c>
      <c r="F1154" s="1" t="s">
        <v>19</v>
      </c>
      <c r="G1154" s="1">
        <v>1</v>
      </c>
      <c r="H1154" s="1"/>
      <c r="I1154" s="1"/>
      <c r="J1154" s="1"/>
      <c r="K1154" s="3"/>
      <c r="L1154" s="1"/>
    </row>
    <row r="1155" spans="1:12" s="24" customFormat="1">
      <c r="A1155" s="53">
        <v>46064</v>
      </c>
      <c r="B1155" s="54">
        <f>Table13[[#This Row],[Date]]</f>
        <v>46064</v>
      </c>
      <c r="C1155" s="55" t="s">
        <v>23</v>
      </c>
      <c r="D1155" s="59" t="s">
        <v>68</v>
      </c>
      <c r="E1155" s="55" t="s">
        <v>47</v>
      </c>
      <c r="F1155" s="55" t="s">
        <v>19</v>
      </c>
      <c r="G1155" s="55">
        <v>1</v>
      </c>
      <c r="H1155" s="55"/>
      <c r="I1155" s="55"/>
      <c r="J1155" s="55"/>
      <c r="K1155" s="57"/>
      <c r="L1155" s="55"/>
    </row>
    <row r="1156" spans="1:12" s="33" customFormat="1">
      <c r="A1156" s="53">
        <v>46064</v>
      </c>
      <c r="B1156" s="54">
        <f>Table13[[#This Row],[Date]]</f>
        <v>46064</v>
      </c>
      <c r="C1156" s="55" t="s">
        <v>26</v>
      </c>
      <c r="D1156" s="61" t="s">
        <v>75</v>
      </c>
      <c r="E1156" s="55" t="s">
        <v>18</v>
      </c>
      <c r="F1156" s="55" t="s">
        <v>19</v>
      </c>
      <c r="G1156" s="55">
        <v>1</v>
      </c>
      <c r="H1156" s="55"/>
      <c r="I1156" s="55"/>
      <c r="J1156" s="55"/>
      <c r="K1156" s="57"/>
      <c r="L1156" s="55"/>
    </row>
    <row r="1157" spans="1:12" s="24" customFormat="1">
      <c r="A1157" s="53">
        <v>46064</v>
      </c>
      <c r="B1157" s="54">
        <f>Table13[[#This Row],[Date]]</f>
        <v>46064</v>
      </c>
      <c r="C1157" s="55" t="s">
        <v>26</v>
      </c>
      <c r="D1157" s="61" t="s">
        <v>75</v>
      </c>
      <c r="E1157" s="55" t="s">
        <v>21</v>
      </c>
      <c r="F1157" s="55" t="s">
        <v>19</v>
      </c>
      <c r="G1157" s="55">
        <v>1</v>
      </c>
      <c r="H1157" s="55"/>
      <c r="I1157" s="55"/>
      <c r="J1157" s="55"/>
      <c r="K1157" s="57"/>
      <c r="L1157" s="55"/>
    </row>
    <row r="1158" spans="1:12" s="24" customFormat="1">
      <c r="A1158" s="53">
        <v>46064</v>
      </c>
      <c r="B1158" s="54">
        <f>Table13[[#This Row],[Date]]</f>
        <v>46064</v>
      </c>
      <c r="C1158" s="55" t="s">
        <v>26</v>
      </c>
      <c r="D1158" s="61" t="s">
        <v>75</v>
      </c>
      <c r="E1158" s="55" t="s">
        <v>28</v>
      </c>
      <c r="F1158" s="55" t="s">
        <v>19</v>
      </c>
      <c r="G1158" s="55">
        <v>1</v>
      </c>
      <c r="H1158" s="55"/>
      <c r="I1158" s="55"/>
      <c r="J1158" s="55"/>
      <c r="K1158" s="57"/>
      <c r="L1158" s="55"/>
    </row>
    <row r="1159" spans="1:12" s="24" customFormat="1">
      <c r="A1159" s="53">
        <v>46066</v>
      </c>
      <c r="B1159" s="54">
        <f>Table13[[#This Row],[Date]]</f>
        <v>46066</v>
      </c>
      <c r="C1159" s="55" t="s">
        <v>23</v>
      </c>
      <c r="D1159" s="59" t="s">
        <v>81</v>
      </c>
      <c r="E1159" s="55" t="s">
        <v>18</v>
      </c>
      <c r="F1159" s="55" t="s">
        <v>19</v>
      </c>
      <c r="G1159" s="55">
        <v>1</v>
      </c>
      <c r="H1159" s="55"/>
      <c r="I1159" s="55"/>
      <c r="J1159" s="55"/>
      <c r="K1159" s="57"/>
      <c r="L1159" s="55"/>
    </row>
    <row r="1160" spans="1:12" s="24" customFormat="1">
      <c r="A1160" s="53">
        <v>46066</v>
      </c>
      <c r="B1160" s="54">
        <f>Table13[[#This Row],[Date]]</f>
        <v>46066</v>
      </c>
      <c r="C1160" s="55" t="s">
        <v>23</v>
      </c>
      <c r="D1160" s="59" t="s">
        <v>82</v>
      </c>
      <c r="E1160" s="55" t="s">
        <v>21</v>
      </c>
      <c r="F1160" s="55" t="s">
        <v>19</v>
      </c>
      <c r="G1160" s="55">
        <v>1</v>
      </c>
      <c r="H1160" s="55"/>
      <c r="I1160" s="55"/>
      <c r="J1160" s="55"/>
      <c r="K1160" s="57"/>
      <c r="L1160" s="55"/>
    </row>
    <row r="1161" spans="1:12" s="24" customFormat="1">
      <c r="A1161" s="53">
        <v>46066</v>
      </c>
      <c r="B1161" s="54">
        <f>Table13[[#This Row],[Date]]</f>
        <v>46066</v>
      </c>
      <c r="C1161" s="55" t="s">
        <v>23</v>
      </c>
      <c r="D1161" s="61" t="s">
        <v>83</v>
      </c>
      <c r="E1161" s="55" t="s">
        <v>18</v>
      </c>
      <c r="F1161" s="55" t="s">
        <v>19</v>
      </c>
      <c r="G1161" s="55">
        <v>1</v>
      </c>
      <c r="H1161" s="55"/>
      <c r="I1161" s="55"/>
      <c r="J1161" s="55"/>
      <c r="K1161" s="57"/>
      <c r="L1161" s="55"/>
    </row>
    <row r="1162" spans="1:12" s="24" customFormat="1">
      <c r="A1162" s="41">
        <v>46066</v>
      </c>
      <c r="B1162" s="42">
        <f>Table13[[#This Row],[Date]]</f>
        <v>46066</v>
      </c>
      <c r="C1162" s="43"/>
      <c r="D1162" s="44" t="s">
        <v>202</v>
      </c>
      <c r="E1162" s="43"/>
      <c r="F1162" s="43"/>
      <c r="G1162" s="43"/>
      <c r="H1162" s="43"/>
      <c r="I1162" s="43"/>
      <c r="J1162" s="43"/>
      <c r="K1162" s="45"/>
      <c r="L1162" s="43"/>
    </row>
    <row r="1163" spans="1:12" s="24" customFormat="1">
      <c r="A1163" s="16">
        <v>46067</v>
      </c>
      <c r="B1163" s="18">
        <f>Table13[[#This Row],[Date]]</f>
        <v>46067</v>
      </c>
      <c r="C1163" s="10" t="s">
        <v>23</v>
      </c>
      <c r="D1163" s="9" t="s">
        <v>86</v>
      </c>
      <c r="E1163" s="10" t="s">
        <v>18</v>
      </c>
      <c r="F1163" s="10" t="s">
        <v>19</v>
      </c>
      <c r="G1163" s="10">
        <v>1</v>
      </c>
      <c r="H1163" s="10"/>
      <c r="I1163" s="10"/>
      <c r="J1163" s="10"/>
      <c r="K1163" s="13"/>
      <c r="L1163" s="10"/>
    </row>
    <row r="1164" spans="1:12" s="24" customFormat="1">
      <c r="A1164" s="16">
        <v>46067</v>
      </c>
      <c r="B1164" s="18">
        <f>Table13[[#This Row],[Date]]</f>
        <v>46067</v>
      </c>
      <c r="C1164" s="10" t="s">
        <v>23</v>
      </c>
      <c r="D1164" s="9" t="s">
        <v>86</v>
      </c>
      <c r="E1164" s="10" t="s">
        <v>21</v>
      </c>
      <c r="F1164" s="10" t="s">
        <v>19</v>
      </c>
      <c r="G1164" s="10">
        <v>1</v>
      </c>
      <c r="H1164" s="10"/>
      <c r="I1164" s="10"/>
      <c r="J1164" s="10"/>
      <c r="K1164" s="13"/>
      <c r="L1164" s="10"/>
    </row>
    <row r="1165" spans="1:12" s="24" customFormat="1">
      <c r="A1165" s="16">
        <v>46067</v>
      </c>
      <c r="B1165" s="18">
        <f>Table13[[#This Row],[Date]]</f>
        <v>46067</v>
      </c>
      <c r="C1165" s="10" t="s">
        <v>23</v>
      </c>
      <c r="D1165" s="9" t="s">
        <v>86</v>
      </c>
      <c r="E1165" s="10" t="s">
        <v>49</v>
      </c>
      <c r="F1165" s="10" t="s">
        <v>19</v>
      </c>
      <c r="G1165" s="10">
        <v>1</v>
      </c>
      <c r="H1165" s="10"/>
      <c r="I1165" s="10"/>
      <c r="J1165" s="10"/>
      <c r="K1165" s="13"/>
      <c r="L1165" s="10"/>
    </row>
    <row r="1166" spans="1:12" s="24" customFormat="1">
      <c r="A1166" s="53">
        <v>46069</v>
      </c>
      <c r="B1166" s="54">
        <f>Table13[[#This Row],[Date]]</f>
        <v>46069</v>
      </c>
      <c r="C1166" s="55" t="s">
        <v>14</v>
      </c>
      <c r="D1166" s="61" t="s">
        <v>182</v>
      </c>
      <c r="E1166" s="55" t="s">
        <v>18</v>
      </c>
      <c r="F1166" s="55" t="s">
        <v>19</v>
      </c>
      <c r="G1166" s="55">
        <v>1</v>
      </c>
      <c r="H1166" s="55"/>
      <c r="I1166" s="55"/>
      <c r="J1166" s="55"/>
      <c r="K1166" s="57"/>
      <c r="L1166" s="55"/>
    </row>
    <row r="1167" spans="1:12" s="24" customFormat="1">
      <c r="A1167" s="53">
        <v>46069</v>
      </c>
      <c r="B1167" s="54">
        <f>Table13[[#This Row],[Date]]</f>
        <v>46069</v>
      </c>
      <c r="C1167" s="55" t="s">
        <v>14</v>
      </c>
      <c r="D1167" s="61" t="s">
        <v>161</v>
      </c>
      <c r="E1167" s="55" t="s">
        <v>18</v>
      </c>
      <c r="F1167" s="55" t="s">
        <v>19</v>
      </c>
      <c r="G1167" s="55">
        <v>1</v>
      </c>
      <c r="H1167" s="55"/>
      <c r="I1167" s="55"/>
      <c r="J1167" s="55"/>
      <c r="K1167" s="57"/>
      <c r="L1167" s="55"/>
    </row>
    <row r="1168" spans="1:12" s="24" customFormat="1">
      <c r="A1168" s="53">
        <v>46069</v>
      </c>
      <c r="B1168" s="54">
        <f>Table13[[#This Row],[Date]]</f>
        <v>46069</v>
      </c>
      <c r="C1168" s="55" t="s">
        <v>14</v>
      </c>
      <c r="D1168" s="59" t="s">
        <v>96</v>
      </c>
      <c r="E1168" s="55" t="s">
        <v>18</v>
      </c>
      <c r="F1168" s="55" t="s">
        <v>19</v>
      </c>
      <c r="G1168" s="55">
        <v>1</v>
      </c>
      <c r="H1168" s="55"/>
      <c r="I1168" s="55"/>
      <c r="J1168" s="55"/>
      <c r="K1168" s="57"/>
      <c r="L1168" s="55"/>
    </row>
    <row r="1169" spans="1:12" s="24" customFormat="1">
      <c r="A1169" s="53">
        <v>46069</v>
      </c>
      <c r="B1169" s="54">
        <f>Table13[[#This Row],[Date]]</f>
        <v>46069</v>
      </c>
      <c r="C1169" s="55" t="s">
        <v>14</v>
      </c>
      <c r="D1169" s="59" t="s">
        <v>97</v>
      </c>
      <c r="E1169" s="55" t="s">
        <v>18</v>
      </c>
      <c r="F1169" s="55" t="s">
        <v>19</v>
      </c>
      <c r="G1169" s="55">
        <v>1</v>
      </c>
      <c r="H1169" s="55"/>
      <c r="I1169" s="55"/>
      <c r="J1169" s="55"/>
      <c r="K1169" s="57"/>
      <c r="L1169" s="55"/>
    </row>
    <row r="1170" spans="1:12" s="24" customFormat="1">
      <c r="A1170" s="53">
        <v>46069</v>
      </c>
      <c r="B1170" s="54">
        <f>Table13[[#This Row],[Date]]</f>
        <v>46069</v>
      </c>
      <c r="C1170" s="55" t="s">
        <v>14</v>
      </c>
      <c r="D1170" s="122" t="s">
        <v>100</v>
      </c>
      <c r="E1170" s="55" t="s">
        <v>18</v>
      </c>
      <c r="F1170" s="55" t="s">
        <v>19</v>
      </c>
      <c r="G1170" s="55">
        <v>1</v>
      </c>
      <c r="H1170" s="55"/>
      <c r="I1170" s="55"/>
      <c r="J1170" s="55"/>
      <c r="K1170" s="57"/>
      <c r="L1170" s="55"/>
    </row>
    <row r="1171" spans="1:12" s="24" customFormat="1">
      <c r="A1171" s="53">
        <v>46069</v>
      </c>
      <c r="B1171" s="54">
        <f>Table13[[#This Row],[Date]]</f>
        <v>46069</v>
      </c>
      <c r="C1171" s="55" t="s">
        <v>16</v>
      </c>
      <c r="D1171" s="59" t="s">
        <v>101</v>
      </c>
      <c r="E1171" s="64" t="s">
        <v>18</v>
      </c>
      <c r="F1171" s="55" t="s">
        <v>19</v>
      </c>
      <c r="G1171" s="55">
        <v>1</v>
      </c>
      <c r="H1171" s="55"/>
      <c r="I1171" s="55"/>
      <c r="J1171" s="55"/>
      <c r="K1171" s="57"/>
      <c r="L1171" s="55"/>
    </row>
    <row r="1172" spans="1:12" s="24" customFormat="1">
      <c r="A1172" s="53">
        <v>46069</v>
      </c>
      <c r="B1172" s="54">
        <f>Table13[[#This Row],[Date]]</f>
        <v>46069</v>
      </c>
      <c r="C1172" s="55" t="s">
        <v>16</v>
      </c>
      <c r="D1172" s="59" t="s">
        <v>101</v>
      </c>
      <c r="E1172" s="64" t="s">
        <v>21</v>
      </c>
      <c r="F1172" s="55" t="s">
        <v>19</v>
      </c>
      <c r="G1172" s="55">
        <v>1</v>
      </c>
      <c r="H1172" s="55"/>
      <c r="I1172" s="55"/>
      <c r="J1172" s="55"/>
      <c r="K1172" s="57"/>
      <c r="L1172" s="55"/>
    </row>
    <row r="1173" spans="1:12" s="24" customFormat="1">
      <c r="A1173" s="53">
        <v>46069</v>
      </c>
      <c r="B1173" s="54">
        <f>Table13[[#This Row],[Date]]</f>
        <v>46069</v>
      </c>
      <c r="C1173" s="55" t="s">
        <v>16</v>
      </c>
      <c r="D1173" s="59" t="s">
        <v>101</v>
      </c>
      <c r="E1173" s="55" t="s">
        <v>47</v>
      </c>
      <c r="F1173" s="55" t="s">
        <v>19</v>
      </c>
      <c r="G1173" s="55">
        <v>1</v>
      </c>
      <c r="H1173" s="55"/>
      <c r="I1173" s="55"/>
      <c r="J1173" s="55"/>
      <c r="K1173" s="57"/>
      <c r="L1173" s="55"/>
    </row>
    <row r="1174" spans="1:12" s="24" customFormat="1">
      <c r="A1174" s="53">
        <v>46069</v>
      </c>
      <c r="B1174" s="54">
        <f>Table13[[#This Row],[Date]]</f>
        <v>46069</v>
      </c>
      <c r="C1174" s="55" t="s">
        <v>23</v>
      </c>
      <c r="D1174" s="61" t="s">
        <v>163</v>
      </c>
      <c r="E1174" s="55" t="s">
        <v>18</v>
      </c>
      <c r="F1174" s="55" t="s">
        <v>99</v>
      </c>
      <c r="G1174" s="55">
        <v>1</v>
      </c>
      <c r="H1174" s="55"/>
      <c r="I1174" s="55"/>
      <c r="J1174" s="55"/>
      <c r="K1174" s="57"/>
      <c r="L1174" s="55"/>
    </row>
    <row r="1175" spans="1:12" s="24" customFormat="1">
      <c r="A1175" s="53">
        <v>46069</v>
      </c>
      <c r="B1175" s="54">
        <f>Table13[[#This Row],[Date]]</f>
        <v>46069</v>
      </c>
      <c r="C1175" s="55" t="s">
        <v>26</v>
      </c>
      <c r="D1175" s="61" t="s">
        <v>78</v>
      </c>
      <c r="E1175" s="55" t="s">
        <v>18</v>
      </c>
      <c r="F1175" s="55" t="s">
        <v>19</v>
      </c>
      <c r="G1175" s="55">
        <v>1</v>
      </c>
      <c r="H1175" s="55"/>
      <c r="I1175" s="55"/>
      <c r="J1175" s="55"/>
      <c r="K1175" s="57"/>
      <c r="L1175" s="55"/>
    </row>
    <row r="1176" spans="1:12" s="24" customFormat="1">
      <c r="A1176" s="53">
        <v>46069</v>
      </c>
      <c r="B1176" s="54">
        <f>Table13[[#This Row],[Date]]</f>
        <v>46069</v>
      </c>
      <c r="C1176" s="55" t="s">
        <v>26</v>
      </c>
      <c r="D1176" s="61" t="s">
        <v>78</v>
      </c>
      <c r="E1176" s="55" t="s">
        <v>21</v>
      </c>
      <c r="F1176" s="55" t="s">
        <v>19</v>
      </c>
      <c r="G1176" s="55">
        <v>1</v>
      </c>
      <c r="H1176" s="55"/>
      <c r="I1176" s="55"/>
      <c r="J1176" s="55"/>
      <c r="K1176" s="57"/>
      <c r="L1176" s="55"/>
    </row>
    <row r="1177" spans="1:12" s="24" customFormat="1">
      <c r="A1177" s="53">
        <v>46069</v>
      </c>
      <c r="B1177" s="54">
        <f>Table13[[#This Row],[Date]]</f>
        <v>46069</v>
      </c>
      <c r="C1177" s="55" t="s">
        <v>26</v>
      </c>
      <c r="D1177" s="61" t="s">
        <v>78</v>
      </c>
      <c r="E1177" s="55" t="s">
        <v>28</v>
      </c>
      <c r="F1177" s="55" t="s">
        <v>19</v>
      </c>
      <c r="G1177" s="55">
        <v>1</v>
      </c>
      <c r="H1177" s="55"/>
      <c r="I1177" s="55"/>
      <c r="J1177" s="55"/>
      <c r="K1177" s="57"/>
      <c r="L1177" s="55"/>
    </row>
    <row r="1178" spans="1:12" s="24" customFormat="1">
      <c r="A1178" s="103">
        <v>46069</v>
      </c>
      <c r="B1178" s="104">
        <f>Table13[[#This Row],[Date]]</f>
        <v>46069</v>
      </c>
      <c r="C1178" s="105"/>
      <c r="D1178" s="106" t="s">
        <v>162</v>
      </c>
      <c r="E1178" s="105" t="s">
        <v>21</v>
      </c>
      <c r="F1178" s="105" t="s">
        <v>99</v>
      </c>
      <c r="G1178" s="105">
        <v>1</v>
      </c>
      <c r="H1178" s="105"/>
      <c r="I1178" s="105"/>
      <c r="J1178" s="105"/>
      <c r="K1178" s="108"/>
      <c r="L1178" s="105"/>
    </row>
    <row r="1179" spans="1:12" s="24" customFormat="1">
      <c r="A1179" s="53">
        <v>46070</v>
      </c>
      <c r="B1179" s="54">
        <f>Table13[[#This Row],[Date]]</f>
        <v>46070</v>
      </c>
      <c r="C1179" s="55" t="s">
        <v>14</v>
      </c>
      <c r="D1179" s="59" t="s">
        <v>104</v>
      </c>
      <c r="E1179" s="55" t="s">
        <v>72</v>
      </c>
      <c r="F1179" s="55" t="s">
        <v>60</v>
      </c>
      <c r="G1179" s="55">
        <v>1</v>
      </c>
      <c r="H1179" s="55"/>
      <c r="I1179" s="55"/>
      <c r="J1179" s="55"/>
      <c r="K1179" s="57"/>
      <c r="L1179" s="55"/>
    </row>
    <row r="1180" spans="1:12" s="24" customFormat="1">
      <c r="A1180" s="53">
        <v>46070</v>
      </c>
      <c r="B1180" s="54">
        <f>Table13[[#This Row],[Date]]</f>
        <v>46070</v>
      </c>
      <c r="C1180" s="55" t="s">
        <v>14</v>
      </c>
      <c r="D1180" s="59" t="s">
        <v>104</v>
      </c>
      <c r="E1180" s="55" t="s">
        <v>76</v>
      </c>
      <c r="F1180" s="55" t="s">
        <v>60</v>
      </c>
      <c r="G1180" s="55">
        <v>1</v>
      </c>
      <c r="H1180" s="55"/>
      <c r="I1180" s="55"/>
      <c r="J1180" s="55"/>
      <c r="K1180" s="57"/>
      <c r="L1180" s="55"/>
    </row>
    <row r="1181" spans="1:12" s="24" customFormat="1">
      <c r="A1181" s="103">
        <v>46070</v>
      </c>
      <c r="B1181" s="104">
        <f>Table13[[#This Row],[Date]]</f>
        <v>46070</v>
      </c>
      <c r="C1181" s="105" t="s">
        <v>26</v>
      </c>
      <c r="D1181" s="106" t="s">
        <v>85</v>
      </c>
      <c r="E1181" s="133" t="s">
        <v>18</v>
      </c>
      <c r="F1181" s="105" t="s">
        <v>19</v>
      </c>
      <c r="G1181" s="105">
        <v>1</v>
      </c>
      <c r="H1181" s="105"/>
      <c r="I1181" s="105"/>
      <c r="J1181" s="105"/>
      <c r="K1181" s="108"/>
      <c r="L1181" s="105"/>
    </row>
    <row r="1182" spans="1:12">
      <c r="A1182" s="103">
        <v>46070</v>
      </c>
      <c r="B1182" s="104">
        <f>Table13[[#This Row],[Date]]</f>
        <v>46070</v>
      </c>
      <c r="C1182" s="105" t="s">
        <v>26</v>
      </c>
      <c r="D1182" s="106" t="s">
        <v>85</v>
      </c>
      <c r="E1182" s="133" t="s">
        <v>21</v>
      </c>
      <c r="F1182" s="105" t="s">
        <v>19</v>
      </c>
      <c r="G1182" s="105">
        <v>1</v>
      </c>
      <c r="H1182" s="105"/>
      <c r="I1182" s="105"/>
      <c r="J1182" s="105"/>
      <c r="K1182" s="108"/>
      <c r="L1182" s="105"/>
    </row>
    <row r="1183" spans="1:12">
      <c r="A1183" s="48">
        <v>46070</v>
      </c>
      <c r="B1183" s="49">
        <f>Table13[[#This Row],[Date]]</f>
        <v>46070</v>
      </c>
      <c r="C1183" s="50" t="s">
        <v>4</v>
      </c>
      <c r="D1183" s="51" t="s">
        <v>32</v>
      </c>
      <c r="E1183" s="50"/>
      <c r="F1183" s="50"/>
      <c r="G1183" s="50"/>
      <c r="H1183" s="50"/>
      <c r="I1183" s="50"/>
      <c r="J1183" s="50"/>
      <c r="K1183" s="52"/>
      <c r="L1183" s="50"/>
    </row>
    <row r="1184" spans="1:12">
      <c r="A1184" s="41">
        <v>46070</v>
      </c>
      <c r="B1184" s="42">
        <f>Table13[[#This Row],[Date]]</f>
        <v>46070</v>
      </c>
      <c r="C1184" s="43"/>
      <c r="D1184" s="44" t="s">
        <v>203</v>
      </c>
      <c r="E1184" s="43"/>
      <c r="F1184" s="43"/>
      <c r="G1184" s="43"/>
      <c r="H1184" s="43"/>
      <c r="I1184" s="43"/>
      <c r="J1184" s="43"/>
      <c r="K1184" s="45"/>
      <c r="L1184" s="43"/>
    </row>
    <row r="1185" spans="1:12">
      <c r="A1185" s="53">
        <v>46071</v>
      </c>
      <c r="B1185" s="54">
        <f>Table13[[#This Row],[Date]]</f>
        <v>46071</v>
      </c>
      <c r="C1185" s="55" t="s">
        <v>16</v>
      </c>
      <c r="D1185" s="59" t="s">
        <v>105</v>
      </c>
      <c r="E1185" s="77" t="s">
        <v>18</v>
      </c>
      <c r="F1185" s="55" t="s">
        <v>19</v>
      </c>
      <c r="G1185" s="55">
        <v>1</v>
      </c>
      <c r="H1185" s="55"/>
      <c r="I1185" s="55"/>
      <c r="J1185" s="55"/>
      <c r="K1185" s="57"/>
      <c r="L1185" s="55"/>
    </row>
    <row r="1186" spans="1:12">
      <c r="A1186" s="53">
        <v>46071</v>
      </c>
      <c r="B1186" s="54">
        <f>Table13[[#This Row],[Date]]</f>
        <v>46071</v>
      </c>
      <c r="C1186" s="55" t="s">
        <v>16</v>
      </c>
      <c r="D1186" s="59" t="s">
        <v>105</v>
      </c>
      <c r="E1186" s="77" t="s">
        <v>21</v>
      </c>
      <c r="F1186" s="55" t="s">
        <v>19</v>
      </c>
      <c r="G1186" s="55">
        <v>1</v>
      </c>
      <c r="H1186" s="55"/>
      <c r="I1186" s="55"/>
      <c r="J1186" s="55"/>
      <c r="K1186" s="57"/>
      <c r="L1186" s="55"/>
    </row>
    <row r="1187" spans="1:12">
      <c r="A1187" s="53">
        <v>46071</v>
      </c>
      <c r="B1187" s="54">
        <f>Table13[[#This Row],[Date]]</f>
        <v>46071</v>
      </c>
      <c r="C1187" s="55" t="s">
        <v>16</v>
      </c>
      <c r="D1187" s="59" t="s">
        <v>105</v>
      </c>
      <c r="E1187" s="77" t="s">
        <v>49</v>
      </c>
      <c r="F1187" s="55" t="s">
        <v>19</v>
      </c>
      <c r="G1187" s="55">
        <v>1</v>
      </c>
      <c r="H1187" s="55"/>
      <c r="I1187" s="55"/>
      <c r="J1187" s="55"/>
      <c r="K1187" s="57"/>
      <c r="L1187" s="55"/>
    </row>
    <row r="1188" spans="1:12">
      <c r="A1188" s="53">
        <v>46071</v>
      </c>
      <c r="B1188" s="54">
        <f>Table13[[#This Row],[Date]]</f>
        <v>46071</v>
      </c>
      <c r="C1188" s="55" t="s">
        <v>23</v>
      </c>
      <c r="D1188" s="61" t="s">
        <v>106</v>
      </c>
      <c r="E1188" s="64" t="s">
        <v>28</v>
      </c>
      <c r="F1188" s="55" t="s">
        <v>19</v>
      </c>
      <c r="G1188" s="55">
        <v>1</v>
      </c>
      <c r="H1188" s="55"/>
      <c r="I1188" s="55"/>
      <c r="J1188" s="55"/>
      <c r="K1188" s="57"/>
      <c r="L1188" s="55"/>
    </row>
    <row r="1189" spans="1:12">
      <c r="A1189" s="53">
        <v>46071</v>
      </c>
      <c r="B1189" s="54">
        <f>Table13[[#This Row],[Date]]</f>
        <v>46071</v>
      </c>
      <c r="C1189" s="55" t="s">
        <v>23</v>
      </c>
      <c r="D1189" s="61" t="s">
        <v>106</v>
      </c>
      <c r="E1189" s="55" t="s">
        <v>107</v>
      </c>
      <c r="F1189" s="55" t="s">
        <v>19</v>
      </c>
      <c r="G1189" s="55">
        <v>1</v>
      </c>
      <c r="H1189" s="55"/>
      <c r="I1189" s="55"/>
      <c r="J1189" s="55"/>
      <c r="K1189" s="57"/>
      <c r="L1189" s="55"/>
    </row>
    <row r="1190" spans="1:12">
      <c r="A1190" s="53">
        <v>46071</v>
      </c>
      <c r="B1190" s="54">
        <f>Table13[[#This Row],[Date]]</f>
        <v>46071</v>
      </c>
      <c r="C1190" s="55" t="s">
        <v>23</v>
      </c>
      <c r="D1190" s="61" t="s">
        <v>106</v>
      </c>
      <c r="E1190" s="64" t="s">
        <v>41</v>
      </c>
      <c r="F1190" s="55" t="s">
        <v>19</v>
      </c>
      <c r="G1190" s="55">
        <v>1</v>
      </c>
      <c r="H1190" s="55"/>
      <c r="I1190" s="55"/>
      <c r="J1190" s="55"/>
      <c r="K1190" s="57"/>
      <c r="L1190" s="55"/>
    </row>
    <row r="1191" spans="1:12">
      <c r="A1191" s="53">
        <v>46071</v>
      </c>
      <c r="B1191" s="54">
        <f>Table13[[#This Row],[Date]]</f>
        <v>46071</v>
      </c>
      <c r="C1191" s="55" t="s">
        <v>26</v>
      </c>
      <c r="D1191" s="61" t="s">
        <v>102</v>
      </c>
      <c r="E1191" s="64" t="s">
        <v>18</v>
      </c>
      <c r="F1191" s="55" t="s">
        <v>19</v>
      </c>
      <c r="G1191" s="55">
        <v>1</v>
      </c>
      <c r="H1191" s="55"/>
      <c r="I1191" s="55"/>
      <c r="J1191" s="55"/>
      <c r="K1191" s="57"/>
      <c r="L1191" s="55"/>
    </row>
    <row r="1192" spans="1:12">
      <c r="A1192" s="53">
        <v>46071</v>
      </c>
      <c r="B1192" s="54">
        <f>Table13[[#This Row],[Date]]</f>
        <v>46071</v>
      </c>
      <c r="C1192" s="55" t="s">
        <v>26</v>
      </c>
      <c r="D1192" s="61" t="s">
        <v>169</v>
      </c>
      <c r="E1192" s="55" t="s">
        <v>18</v>
      </c>
      <c r="F1192" s="55" t="s">
        <v>19</v>
      </c>
      <c r="G1192" s="55">
        <v>1</v>
      </c>
      <c r="H1192" s="55"/>
      <c r="I1192" s="55"/>
      <c r="J1192" s="55"/>
      <c r="K1192" s="57"/>
      <c r="L1192" s="55"/>
    </row>
    <row r="1193" spans="1:12">
      <c r="A1193" s="53">
        <v>46071</v>
      </c>
      <c r="B1193" s="54">
        <f>Table13[[#This Row],[Date]]</f>
        <v>46071</v>
      </c>
      <c r="C1193" s="55" t="s">
        <v>26</v>
      </c>
      <c r="D1193" s="61" t="s">
        <v>103</v>
      </c>
      <c r="E1193" s="55" t="s">
        <v>18</v>
      </c>
      <c r="F1193" s="55" t="s">
        <v>19</v>
      </c>
      <c r="G1193" s="55">
        <v>1</v>
      </c>
      <c r="H1193" s="55"/>
      <c r="I1193" s="55"/>
      <c r="J1193" s="55"/>
      <c r="K1193" s="57"/>
      <c r="L1193" s="55"/>
    </row>
    <row r="1194" spans="1:12">
      <c r="A1194" s="53">
        <v>46071</v>
      </c>
      <c r="B1194" s="54">
        <f>Table13[[#This Row],[Date]]</f>
        <v>46071</v>
      </c>
      <c r="C1194" s="55" t="s">
        <v>26</v>
      </c>
      <c r="D1194" s="61" t="s">
        <v>103</v>
      </c>
      <c r="E1194" s="55" t="s">
        <v>21</v>
      </c>
      <c r="F1194" s="55" t="s">
        <v>19</v>
      </c>
      <c r="G1194" s="55">
        <v>1</v>
      </c>
      <c r="H1194" s="55"/>
      <c r="I1194" s="55"/>
      <c r="J1194" s="55"/>
      <c r="K1194" s="57"/>
      <c r="L1194" s="55"/>
    </row>
    <row r="1195" spans="1:12">
      <c r="A1195" s="53">
        <v>46072</v>
      </c>
      <c r="B1195" s="54">
        <f>Table13[[#This Row],[Date]]</f>
        <v>46072</v>
      </c>
      <c r="C1195" s="55" t="s">
        <v>16</v>
      </c>
      <c r="D1195" s="59" t="s">
        <v>105</v>
      </c>
      <c r="E1195" s="77" t="s">
        <v>47</v>
      </c>
      <c r="F1195" s="55" t="s">
        <v>19</v>
      </c>
      <c r="G1195" s="55">
        <v>1</v>
      </c>
      <c r="H1195" s="55"/>
      <c r="I1195" s="55"/>
      <c r="J1195" s="55"/>
      <c r="K1195" s="57"/>
      <c r="L1195" s="55"/>
    </row>
    <row r="1196" spans="1:12">
      <c r="A1196" s="53">
        <v>46072</v>
      </c>
      <c r="B1196" s="54">
        <f>Table13[[#This Row],[Date]]</f>
        <v>46072</v>
      </c>
      <c r="C1196" s="55" t="s">
        <v>16</v>
      </c>
      <c r="D1196" s="59" t="s">
        <v>105</v>
      </c>
      <c r="E1196" s="77" t="s">
        <v>53</v>
      </c>
      <c r="F1196" s="55" t="s">
        <v>19</v>
      </c>
      <c r="G1196" s="55">
        <v>1</v>
      </c>
      <c r="H1196" s="55"/>
      <c r="I1196" s="55"/>
      <c r="J1196" s="55"/>
      <c r="K1196" s="57"/>
      <c r="L1196" s="55"/>
    </row>
    <row r="1197" spans="1:12">
      <c r="A1197" s="53">
        <v>46072</v>
      </c>
      <c r="B1197" s="54">
        <f>Table13[[#This Row],[Date]]</f>
        <v>46072</v>
      </c>
      <c r="C1197" s="55" t="s">
        <v>16</v>
      </c>
      <c r="D1197" s="59" t="s">
        <v>105</v>
      </c>
      <c r="E1197" s="77" t="s">
        <v>41</v>
      </c>
      <c r="F1197" s="55" t="s">
        <v>19</v>
      </c>
      <c r="G1197" s="55">
        <v>1</v>
      </c>
      <c r="H1197" s="55"/>
      <c r="I1197" s="55"/>
      <c r="J1197" s="55"/>
      <c r="K1197" s="57"/>
      <c r="L1197" s="55"/>
    </row>
    <row r="1198" spans="1:12">
      <c r="A1198" s="53">
        <v>46072</v>
      </c>
      <c r="B1198" s="54">
        <f>Table13[[#This Row],[Date]]</f>
        <v>46072</v>
      </c>
      <c r="C1198" s="55" t="s">
        <v>23</v>
      </c>
      <c r="D1198" s="59" t="s">
        <v>106</v>
      </c>
      <c r="E1198" s="64" t="s">
        <v>18</v>
      </c>
      <c r="F1198" s="55" t="s">
        <v>19</v>
      </c>
      <c r="G1198" s="55">
        <v>1</v>
      </c>
      <c r="H1198" s="55"/>
      <c r="I1198" s="55"/>
      <c r="J1198" s="55"/>
      <c r="K1198" s="57"/>
      <c r="L1198" s="55"/>
    </row>
    <row r="1199" spans="1:12">
      <c r="A1199" s="53">
        <v>46072</v>
      </c>
      <c r="B1199" s="54">
        <f>Table13[[#This Row],[Date]]</f>
        <v>46072</v>
      </c>
      <c r="C1199" s="55" t="s">
        <v>23</v>
      </c>
      <c r="D1199" s="59" t="s">
        <v>106</v>
      </c>
      <c r="E1199" s="64" t="s">
        <v>21</v>
      </c>
      <c r="F1199" s="55" t="s">
        <v>19</v>
      </c>
      <c r="G1199" s="55">
        <v>1</v>
      </c>
      <c r="H1199" s="55"/>
      <c r="I1199" s="55"/>
      <c r="J1199" s="55"/>
      <c r="K1199" s="57"/>
      <c r="L1199" s="55"/>
    </row>
    <row r="1200" spans="1:12">
      <c r="A1200" s="53">
        <v>46072</v>
      </c>
      <c r="B1200" s="54">
        <f>Table13[[#This Row],[Date]]</f>
        <v>46072</v>
      </c>
      <c r="C1200" s="55" t="s">
        <v>23</v>
      </c>
      <c r="D1200" s="59" t="s">
        <v>106</v>
      </c>
      <c r="E1200" s="64" t="s">
        <v>49</v>
      </c>
      <c r="F1200" s="55" t="s">
        <v>19</v>
      </c>
      <c r="G1200" s="55">
        <v>1</v>
      </c>
      <c r="H1200" s="55"/>
      <c r="I1200" s="55"/>
      <c r="J1200" s="55"/>
      <c r="K1200" s="57"/>
      <c r="L1200" s="55"/>
    </row>
    <row r="1201" spans="1:12">
      <c r="A1201" s="53">
        <v>46072</v>
      </c>
      <c r="B1201" s="54">
        <f>Table13[[#This Row],[Date]]</f>
        <v>46072</v>
      </c>
      <c r="C1201" s="55" t="s">
        <v>26</v>
      </c>
      <c r="D1201" s="61" t="s">
        <v>108</v>
      </c>
      <c r="E1201" s="55" t="s">
        <v>28</v>
      </c>
      <c r="F1201" s="55" t="s">
        <v>19</v>
      </c>
      <c r="G1201" s="55">
        <v>1</v>
      </c>
      <c r="H1201" s="55"/>
      <c r="I1201" s="55"/>
      <c r="J1201" s="55"/>
      <c r="K1201" s="57"/>
      <c r="L1201" s="55"/>
    </row>
    <row r="1202" spans="1:12">
      <c r="A1202" s="53">
        <v>46072</v>
      </c>
      <c r="B1202" s="54">
        <f>Table13[[#This Row],[Date]]</f>
        <v>46072</v>
      </c>
      <c r="C1202" s="55" t="s">
        <v>26</v>
      </c>
      <c r="D1202" s="61" t="s">
        <v>108</v>
      </c>
      <c r="E1202" s="55" t="s">
        <v>107</v>
      </c>
      <c r="F1202" s="55" t="s">
        <v>19</v>
      </c>
      <c r="G1202" s="55">
        <v>1</v>
      </c>
      <c r="H1202" s="55"/>
      <c r="I1202" s="55"/>
      <c r="J1202" s="55"/>
      <c r="K1202" s="57"/>
      <c r="L1202" s="55"/>
    </row>
    <row r="1203" spans="1:12">
      <c r="A1203" s="53">
        <v>46072</v>
      </c>
      <c r="B1203" s="54">
        <f>Table13[[#This Row],[Date]]</f>
        <v>46072</v>
      </c>
      <c r="C1203" s="55" t="s">
        <v>26</v>
      </c>
      <c r="D1203" s="61" t="s">
        <v>108</v>
      </c>
      <c r="E1203" s="55" t="s">
        <v>35</v>
      </c>
      <c r="F1203" s="55" t="s">
        <v>19</v>
      </c>
      <c r="G1203" s="55">
        <v>1</v>
      </c>
      <c r="H1203" s="55"/>
      <c r="I1203" s="55"/>
      <c r="J1203" s="55"/>
      <c r="K1203" s="57"/>
      <c r="L1203" s="55"/>
    </row>
    <row r="1204" spans="1:12">
      <c r="A1204" s="53">
        <v>46072</v>
      </c>
      <c r="B1204" s="54">
        <f>Table13[[#This Row],[Date]]</f>
        <v>46072</v>
      </c>
      <c r="C1204" s="55" t="s">
        <v>26</v>
      </c>
      <c r="D1204" s="61" t="s">
        <v>108</v>
      </c>
      <c r="E1204" s="55" t="s">
        <v>109</v>
      </c>
      <c r="F1204" s="55" t="s">
        <v>19</v>
      </c>
      <c r="G1204" s="55">
        <v>1</v>
      </c>
      <c r="H1204" s="55"/>
      <c r="I1204" s="55"/>
      <c r="J1204" s="55"/>
      <c r="K1204" s="57"/>
      <c r="L1204" s="55"/>
    </row>
    <row r="1205" spans="1:12">
      <c r="A1205" s="53">
        <v>46073</v>
      </c>
      <c r="B1205" s="54">
        <f>Table13[[#This Row],[Date]]</f>
        <v>46073</v>
      </c>
      <c r="C1205" s="55" t="s">
        <v>14</v>
      </c>
      <c r="D1205" s="59" t="s">
        <v>105</v>
      </c>
      <c r="E1205" s="55" t="s">
        <v>73</v>
      </c>
      <c r="F1205" s="55" t="s">
        <v>60</v>
      </c>
      <c r="G1205" s="55">
        <v>2</v>
      </c>
      <c r="H1205" s="55"/>
      <c r="I1205" s="55"/>
      <c r="J1205" s="55"/>
      <c r="K1205" s="57"/>
      <c r="L1205" s="55"/>
    </row>
    <row r="1206" spans="1:12">
      <c r="A1206" s="53">
        <v>46073</v>
      </c>
      <c r="B1206" s="54">
        <f>Table13[[#This Row],[Date]]</f>
        <v>46073</v>
      </c>
      <c r="C1206" s="55" t="s">
        <v>14</v>
      </c>
      <c r="D1206" s="59" t="s">
        <v>105</v>
      </c>
      <c r="E1206" s="55" t="s">
        <v>77</v>
      </c>
      <c r="F1206" s="55" t="s">
        <v>60</v>
      </c>
      <c r="G1206" s="55">
        <v>3</v>
      </c>
      <c r="H1206" s="55"/>
      <c r="I1206" s="55"/>
      <c r="J1206" s="55"/>
      <c r="K1206" s="57"/>
      <c r="L1206" s="55"/>
    </row>
    <row r="1207" spans="1:12">
      <c r="A1207" s="53">
        <v>46073</v>
      </c>
      <c r="B1207" s="54">
        <f>Table13[[#This Row],[Date]]</f>
        <v>46073</v>
      </c>
      <c r="C1207" s="55" t="s">
        <v>14</v>
      </c>
      <c r="D1207" s="59" t="s">
        <v>105</v>
      </c>
      <c r="E1207" s="55" t="s">
        <v>176</v>
      </c>
      <c r="F1207" s="55" t="s">
        <v>60</v>
      </c>
      <c r="G1207" s="55">
        <v>4</v>
      </c>
      <c r="H1207" s="55"/>
      <c r="I1207" s="55"/>
      <c r="J1207" s="55"/>
      <c r="K1207" s="57"/>
      <c r="L1207" s="55"/>
    </row>
    <row r="1208" spans="1:12">
      <c r="A1208" s="53">
        <v>46073</v>
      </c>
      <c r="B1208" s="54">
        <f>Table13[[#This Row],[Date]]</f>
        <v>46073</v>
      </c>
      <c r="C1208" s="55" t="s">
        <v>14</v>
      </c>
      <c r="D1208" s="59" t="s">
        <v>105</v>
      </c>
      <c r="E1208" s="55" t="s">
        <v>177</v>
      </c>
      <c r="F1208" s="55" t="s">
        <v>60</v>
      </c>
      <c r="G1208" s="55">
        <v>5</v>
      </c>
      <c r="H1208" s="55"/>
      <c r="I1208" s="55"/>
      <c r="J1208" s="55"/>
      <c r="K1208" s="57"/>
      <c r="L1208" s="55"/>
    </row>
    <row r="1209" spans="1:12">
      <c r="A1209" s="53">
        <v>46073</v>
      </c>
      <c r="B1209" s="54">
        <f>Table13[[#This Row],[Date]]</f>
        <v>46073</v>
      </c>
      <c r="C1209" s="55" t="s">
        <v>14</v>
      </c>
      <c r="D1209" s="59" t="s">
        <v>111</v>
      </c>
      <c r="E1209" s="55" t="s">
        <v>18</v>
      </c>
      <c r="F1209" s="55" t="s">
        <v>99</v>
      </c>
      <c r="G1209" s="55">
        <v>1</v>
      </c>
      <c r="H1209" s="55"/>
      <c r="I1209" s="55"/>
      <c r="J1209" s="55"/>
      <c r="K1209" s="57"/>
      <c r="L1209" s="55"/>
    </row>
    <row r="1210" spans="1:12">
      <c r="A1210" s="53">
        <v>46073</v>
      </c>
      <c r="B1210" s="54">
        <f>Table13[[#This Row],[Date]]</f>
        <v>46073</v>
      </c>
      <c r="C1210" s="55" t="s">
        <v>23</v>
      </c>
      <c r="D1210" s="59" t="s">
        <v>114</v>
      </c>
      <c r="E1210" s="55" t="s">
        <v>18</v>
      </c>
      <c r="F1210" s="55" t="s">
        <v>19</v>
      </c>
      <c r="G1210" s="55">
        <v>1</v>
      </c>
      <c r="H1210" s="55"/>
      <c r="I1210" s="55"/>
      <c r="J1210" s="55"/>
      <c r="K1210" s="57"/>
      <c r="L1210" s="55"/>
    </row>
    <row r="1211" spans="1:12">
      <c r="A1211" s="53">
        <v>46073</v>
      </c>
      <c r="B1211" s="54">
        <f>Table13[[#This Row],[Date]]</f>
        <v>46073</v>
      </c>
      <c r="C1211" s="55" t="s">
        <v>23</v>
      </c>
      <c r="D1211" s="59" t="s">
        <v>114</v>
      </c>
      <c r="E1211" s="55" t="s">
        <v>21</v>
      </c>
      <c r="F1211" s="55" t="s">
        <v>19</v>
      </c>
      <c r="G1211" s="55">
        <v>1</v>
      </c>
      <c r="H1211" s="55"/>
      <c r="I1211" s="55"/>
      <c r="J1211" s="55"/>
      <c r="K1211" s="57"/>
      <c r="L1211" s="55"/>
    </row>
    <row r="1212" spans="1:12">
      <c r="A1212" s="53">
        <v>46073</v>
      </c>
      <c r="B1212" s="54">
        <f>Table13[[#This Row],[Date]]</f>
        <v>46073</v>
      </c>
      <c r="C1212" s="55" t="s">
        <v>26</v>
      </c>
      <c r="D1212" s="59" t="s">
        <v>110</v>
      </c>
      <c r="E1212" s="55" t="s">
        <v>18</v>
      </c>
      <c r="F1212" s="55" t="s">
        <v>19</v>
      </c>
      <c r="G1212" s="55">
        <v>1</v>
      </c>
      <c r="H1212" s="55"/>
      <c r="I1212" s="55"/>
      <c r="J1212" s="55"/>
      <c r="K1212" s="57"/>
      <c r="L1212" s="55"/>
    </row>
    <row r="1213" spans="1:12">
      <c r="A1213" s="53">
        <v>46073</v>
      </c>
      <c r="B1213" s="54">
        <f>Table13[[#This Row],[Date]]</f>
        <v>46073</v>
      </c>
      <c r="C1213" s="55" t="s">
        <v>26</v>
      </c>
      <c r="D1213" s="59" t="s">
        <v>110</v>
      </c>
      <c r="E1213" s="55" t="s">
        <v>21</v>
      </c>
      <c r="F1213" s="55" t="s">
        <v>19</v>
      </c>
      <c r="G1213" s="55">
        <v>1</v>
      </c>
      <c r="H1213" s="55"/>
      <c r="I1213" s="55"/>
      <c r="J1213" s="55"/>
      <c r="K1213" s="57"/>
      <c r="L1213" s="55"/>
    </row>
    <row r="1214" spans="1:12">
      <c r="A1214" s="103">
        <v>46076</v>
      </c>
      <c r="B1214" s="104">
        <f>Table13[[#This Row],[Date]]</f>
        <v>46076</v>
      </c>
      <c r="C1214" s="105" t="s">
        <v>16</v>
      </c>
      <c r="D1214" s="109" t="s">
        <v>119</v>
      </c>
      <c r="E1214" s="105" t="s">
        <v>47</v>
      </c>
      <c r="F1214" s="105" t="s">
        <v>19</v>
      </c>
      <c r="G1214" s="105">
        <v>1</v>
      </c>
      <c r="H1214" s="105"/>
      <c r="I1214" s="105"/>
      <c r="J1214" s="105"/>
      <c r="K1214" s="108"/>
      <c r="L1214" s="105"/>
    </row>
    <row r="1215" spans="1:12">
      <c r="A1215" s="53">
        <v>46076</v>
      </c>
      <c r="B1215" s="54">
        <f>Table13[[#This Row],[Date]]</f>
        <v>46076</v>
      </c>
      <c r="C1215" s="55" t="s">
        <v>23</v>
      </c>
      <c r="D1215" s="59" t="s">
        <v>204</v>
      </c>
      <c r="E1215" s="55" t="s">
        <v>18</v>
      </c>
      <c r="F1215" s="55" t="s">
        <v>19</v>
      </c>
      <c r="G1215" s="55">
        <v>1</v>
      </c>
      <c r="H1215" s="55"/>
      <c r="I1215" s="55"/>
      <c r="J1215" s="55"/>
      <c r="K1215" s="57"/>
      <c r="L1215" s="55"/>
    </row>
    <row r="1216" spans="1:12">
      <c r="A1216" s="53">
        <v>46076</v>
      </c>
      <c r="B1216" s="54">
        <f>Table13[[#This Row],[Date]]</f>
        <v>46076</v>
      </c>
      <c r="C1216" s="55" t="s">
        <v>23</v>
      </c>
      <c r="D1216" s="132" t="s">
        <v>122</v>
      </c>
      <c r="E1216" s="55" t="s">
        <v>18</v>
      </c>
      <c r="F1216" s="55" t="s">
        <v>19</v>
      </c>
      <c r="G1216" s="55">
        <v>1</v>
      </c>
      <c r="H1216" s="55"/>
      <c r="I1216" s="55"/>
      <c r="J1216" s="55"/>
      <c r="K1216" s="57"/>
      <c r="L1216" s="55"/>
    </row>
    <row r="1217" spans="1:12">
      <c r="A1217" s="53">
        <v>46076</v>
      </c>
      <c r="B1217" s="54">
        <f>Table13[[#This Row],[Date]]</f>
        <v>46076</v>
      </c>
      <c r="C1217" s="55" t="s">
        <v>26</v>
      </c>
      <c r="D1217" s="61" t="s">
        <v>123</v>
      </c>
      <c r="E1217" s="55" t="s">
        <v>18</v>
      </c>
      <c r="F1217" s="55" t="s">
        <v>19</v>
      </c>
      <c r="G1217" s="55">
        <v>1</v>
      </c>
      <c r="H1217" s="55"/>
      <c r="I1217" s="55"/>
      <c r="J1217" s="55"/>
      <c r="K1217" s="57"/>
      <c r="L1217" s="55"/>
    </row>
    <row r="1218" spans="1:12">
      <c r="A1218" s="53">
        <v>46076</v>
      </c>
      <c r="B1218" s="54">
        <f>Table13[[#This Row],[Date]]</f>
        <v>46076</v>
      </c>
      <c r="C1218" s="55" t="s">
        <v>26</v>
      </c>
      <c r="D1218" s="61" t="s">
        <v>123</v>
      </c>
      <c r="E1218" s="55" t="s">
        <v>21</v>
      </c>
      <c r="F1218" s="55" t="s">
        <v>19</v>
      </c>
      <c r="G1218" s="55">
        <v>1</v>
      </c>
      <c r="H1218" s="55"/>
      <c r="I1218" s="55"/>
      <c r="J1218" s="55"/>
      <c r="K1218" s="57"/>
      <c r="L1218" s="55"/>
    </row>
    <row r="1219" spans="1:12">
      <c r="A1219" s="53">
        <v>46076</v>
      </c>
      <c r="B1219" s="54">
        <f>Table13[[#This Row],[Date]]</f>
        <v>46076</v>
      </c>
      <c r="C1219" s="55" t="s">
        <v>26</v>
      </c>
      <c r="D1219" s="61" t="s">
        <v>123</v>
      </c>
      <c r="E1219" s="55" t="s">
        <v>47</v>
      </c>
      <c r="F1219" s="55" t="s">
        <v>19</v>
      </c>
      <c r="G1219" s="55">
        <v>1</v>
      </c>
      <c r="H1219" s="55"/>
      <c r="I1219" s="55"/>
      <c r="J1219" s="55"/>
      <c r="K1219" s="57"/>
      <c r="L1219" s="55"/>
    </row>
    <row r="1220" spans="1:12">
      <c r="A1220" s="103">
        <v>46076</v>
      </c>
      <c r="B1220" s="104">
        <f>Table13[[#This Row],[Date]]</f>
        <v>46076</v>
      </c>
      <c r="C1220" s="105" t="s">
        <v>26</v>
      </c>
      <c r="D1220" s="106" t="s">
        <v>115</v>
      </c>
      <c r="E1220" s="107" t="s">
        <v>18</v>
      </c>
      <c r="F1220" s="105" t="s">
        <v>19</v>
      </c>
      <c r="G1220" s="105">
        <v>1</v>
      </c>
      <c r="H1220" s="105"/>
      <c r="I1220" s="105"/>
      <c r="J1220" s="105"/>
      <c r="K1220" s="108"/>
      <c r="L1220" s="105"/>
    </row>
    <row r="1221" spans="1:12">
      <c r="A1221" s="53">
        <v>46077</v>
      </c>
      <c r="B1221" s="54">
        <f>Table13[[#This Row],[Date]]</f>
        <v>46077</v>
      </c>
      <c r="C1221" s="55" t="s">
        <v>14</v>
      </c>
      <c r="D1221" s="59" t="s">
        <v>104</v>
      </c>
      <c r="E1221" s="55" t="s">
        <v>18</v>
      </c>
      <c r="F1221" s="55" t="s">
        <v>19</v>
      </c>
      <c r="G1221" s="55">
        <v>1</v>
      </c>
      <c r="H1221" s="55"/>
      <c r="I1221" s="55"/>
      <c r="J1221" s="55"/>
      <c r="K1221" s="57"/>
      <c r="L1221" s="55"/>
    </row>
    <row r="1222" spans="1:12">
      <c r="A1222" s="53">
        <v>46077</v>
      </c>
      <c r="B1222" s="54">
        <f>Table13[[#This Row],[Date]]</f>
        <v>46077</v>
      </c>
      <c r="C1222" s="55" t="s">
        <v>14</v>
      </c>
      <c r="D1222" s="59" t="s">
        <v>104</v>
      </c>
      <c r="E1222" s="55" t="s">
        <v>21</v>
      </c>
      <c r="F1222" s="55" t="s">
        <v>19</v>
      </c>
      <c r="G1222" s="55">
        <v>1</v>
      </c>
      <c r="H1222" s="55"/>
      <c r="I1222" s="55"/>
      <c r="J1222" s="55"/>
      <c r="K1222" s="57"/>
      <c r="L1222" s="55"/>
    </row>
    <row r="1223" spans="1:12">
      <c r="A1223" s="48">
        <v>46077</v>
      </c>
      <c r="B1223" s="49">
        <f>Table13[[#This Row],[Date]]</f>
        <v>46077</v>
      </c>
      <c r="C1223" s="50" t="s">
        <v>4</v>
      </c>
      <c r="D1223" s="51" t="s">
        <v>32</v>
      </c>
      <c r="E1223" s="50"/>
      <c r="F1223" s="50"/>
      <c r="G1223" s="50"/>
      <c r="H1223" s="50"/>
      <c r="I1223" s="50"/>
      <c r="J1223" s="50"/>
      <c r="K1223" s="52"/>
      <c r="L1223" s="50"/>
    </row>
    <row r="1224" spans="1:12">
      <c r="A1224" s="48">
        <v>46077</v>
      </c>
      <c r="B1224" s="49">
        <f>Table13[[#This Row],[Date]]</f>
        <v>46077</v>
      </c>
      <c r="C1224" s="50" t="s">
        <v>149</v>
      </c>
      <c r="D1224" s="51" t="s">
        <v>150</v>
      </c>
      <c r="E1224" s="50"/>
      <c r="F1224" s="50"/>
      <c r="G1224" s="50"/>
      <c r="H1224" s="50"/>
      <c r="I1224" s="50"/>
      <c r="J1224" s="50"/>
      <c r="K1224" s="52"/>
      <c r="L1224" s="50"/>
    </row>
    <row r="1225" spans="1:12">
      <c r="A1225" s="15">
        <v>46078</v>
      </c>
      <c r="B1225" s="54">
        <f>Table13[[#This Row],[Date]]</f>
        <v>46078</v>
      </c>
      <c r="C1225" s="55" t="s">
        <v>14</v>
      </c>
      <c r="D1225" s="59" t="s">
        <v>124</v>
      </c>
      <c r="E1225" s="55" t="s">
        <v>18</v>
      </c>
      <c r="F1225" s="55" t="s">
        <v>19</v>
      </c>
      <c r="G1225" s="55">
        <v>1</v>
      </c>
      <c r="H1225" s="55"/>
      <c r="I1225" s="55"/>
      <c r="J1225" s="55"/>
      <c r="K1225" s="57"/>
      <c r="L1225" s="55"/>
    </row>
    <row r="1226" spans="1:12">
      <c r="A1226" s="53">
        <v>46078</v>
      </c>
      <c r="B1226" s="54">
        <f>Table13[[#This Row],[Date]]</f>
        <v>46078</v>
      </c>
      <c r="C1226" s="55" t="s">
        <v>16</v>
      </c>
      <c r="D1226" s="59" t="s">
        <v>119</v>
      </c>
      <c r="E1226" s="55" t="s">
        <v>18</v>
      </c>
      <c r="F1226" s="55" t="s">
        <v>19</v>
      </c>
      <c r="G1226" s="55">
        <v>1</v>
      </c>
      <c r="H1226" s="55"/>
      <c r="I1226" s="55"/>
      <c r="J1226" s="55"/>
      <c r="K1226" s="57"/>
      <c r="L1226" s="55"/>
    </row>
    <row r="1227" spans="1:12">
      <c r="A1227" s="53">
        <v>46078</v>
      </c>
      <c r="B1227" s="54">
        <f>Table13[[#This Row],[Date]]</f>
        <v>46078</v>
      </c>
      <c r="C1227" s="55" t="s">
        <v>16</v>
      </c>
      <c r="D1227" s="59" t="s">
        <v>119</v>
      </c>
      <c r="E1227" s="55" t="s">
        <v>21</v>
      </c>
      <c r="F1227" s="55" t="s">
        <v>19</v>
      </c>
      <c r="G1227" s="55">
        <v>1</v>
      </c>
      <c r="H1227" s="55"/>
      <c r="I1227" s="55"/>
      <c r="J1227" s="55"/>
      <c r="K1227" s="57"/>
      <c r="L1227" s="55"/>
    </row>
    <row r="1228" spans="1:12">
      <c r="A1228" s="53">
        <v>46078</v>
      </c>
      <c r="B1228" s="54">
        <f>Table13[[#This Row],[Date]]</f>
        <v>46078</v>
      </c>
      <c r="C1228" s="55" t="s">
        <v>23</v>
      </c>
      <c r="D1228" s="61" t="s">
        <v>125</v>
      </c>
      <c r="E1228" s="55" t="s">
        <v>18</v>
      </c>
      <c r="F1228" s="55" t="s">
        <v>19</v>
      </c>
      <c r="G1228" s="55">
        <v>1</v>
      </c>
      <c r="H1228" s="55"/>
      <c r="I1228" s="55"/>
      <c r="J1228" s="55"/>
      <c r="K1228" s="57"/>
      <c r="L1228" s="55"/>
    </row>
    <row r="1229" spans="1:12">
      <c r="A1229" s="53">
        <v>46078</v>
      </c>
      <c r="B1229" s="54">
        <f>Table13[[#This Row],[Date]]</f>
        <v>46078</v>
      </c>
      <c r="C1229" s="55" t="s">
        <v>26</v>
      </c>
      <c r="D1229" s="59" t="s">
        <v>128</v>
      </c>
      <c r="E1229" s="55" t="s">
        <v>18</v>
      </c>
      <c r="F1229" s="55" t="s">
        <v>19</v>
      </c>
      <c r="G1229" s="55">
        <v>1</v>
      </c>
      <c r="H1229" s="55"/>
      <c r="I1229" s="55"/>
      <c r="J1229" s="55"/>
      <c r="K1229" s="57"/>
      <c r="L1229" s="55"/>
    </row>
    <row r="1230" spans="1:12">
      <c r="A1230" s="103">
        <v>46078</v>
      </c>
      <c r="B1230" s="104">
        <f>Table13[[#This Row],[Date]]</f>
        <v>46078</v>
      </c>
      <c r="C1230" s="105" t="s">
        <v>26</v>
      </c>
      <c r="D1230" s="109" t="s">
        <v>129</v>
      </c>
      <c r="E1230" s="105"/>
      <c r="F1230" s="105"/>
      <c r="G1230" s="105">
        <v>1</v>
      </c>
      <c r="H1230" s="105"/>
      <c r="I1230" s="105"/>
      <c r="J1230" s="105"/>
      <c r="K1230" s="108"/>
      <c r="L1230" s="105"/>
    </row>
    <row r="1231" spans="1:12">
      <c r="A1231" s="53">
        <v>46079</v>
      </c>
      <c r="B1231" s="54">
        <f>Table13[[#This Row],[Date]]</f>
        <v>46079</v>
      </c>
      <c r="C1231" s="55" t="s">
        <v>14</v>
      </c>
      <c r="D1231" s="59" t="s">
        <v>130</v>
      </c>
      <c r="E1231" s="55" t="s">
        <v>18</v>
      </c>
      <c r="F1231" s="55" t="s">
        <v>19</v>
      </c>
      <c r="G1231" s="55">
        <v>1</v>
      </c>
      <c r="H1231" s="55"/>
      <c r="I1231" s="55"/>
      <c r="J1231" s="55"/>
      <c r="K1231" s="57"/>
      <c r="L1231" s="55"/>
    </row>
    <row r="1232" spans="1:12">
      <c r="A1232" s="53">
        <v>46079</v>
      </c>
      <c r="B1232" s="54">
        <f>Table13[[#This Row],[Date]]</f>
        <v>46079</v>
      </c>
      <c r="C1232" s="55" t="s">
        <v>14</v>
      </c>
      <c r="D1232" s="59" t="s">
        <v>131</v>
      </c>
      <c r="E1232" s="64" t="s">
        <v>18</v>
      </c>
      <c r="F1232" s="55" t="s">
        <v>19</v>
      </c>
      <c r="G1232" s="55">
        <v>1</v>
      </c>
      <c r="H1232" s="55"/>
      <c r="I1232" s="55"/>
      <c r="J1232" s="55"/>
      <c r="K1232" s="57"/>
      <c r="L1232" s="55"/>
    </row>
    <row r="1233" spans="1:12">
      <c r="A1233" s="53">
        <v>46079</v>
      </c>
      <c r="B1233" s="54">
        <f>Table13[[#This Row],[Date]]</f>
        <v>46079</v>
      </c>
      <c r="C1233" s="55" t="s">
        <v>16</v>
      </c>
      <c r="D1233" s="59" t="s">
        <v>133</v>
      </c>
      <c r="E1233" s="55" t="s">
        <v>21</v>
      </c>
      <c r="F1233" s="55" t="s">
        <v>19</v>
      </c>
      <c r="G1233" s="55">
        <v>1</v>
      </c>
      <c r="H1233" s="55"/>
      <c r="I1233" s="55"/>
      <c r="J1233" s="55"/>
      <c r="K1233" s="57"/>
      <c r="L1233" s="55"/>
    </row>
    <row r="1234" spans="1:12">
      <c r="A1234" s="53">
        <v>46079</v>
      </c>
      <c r="B1234" s="54">
        <f>Table13[[#This Row],[Date]]</f>
        <v>46079</v>
      </c>
      <c r="C1234" s="55" t="s">
        <v>16</v>
      </c>
      <c r="D1234" s="59" t="s">
        <v>134</v>
      </c>
      <c r="E1234" s="55" t="s">
        <v>18</v>
      </c>
      <c r="F1234" s="55" t="s">
        <v>19</v>
      </c>
      <c r="G1234" s="55">
        <v>1</v>
      </c>
      <c r="H1234" s="55"/>
      <c r="I1234" s="55"/>
      <c r="J1234" s="55"/>
      <c r="K1234" s="57"/>
      <c r="L1234" s="55"/>
    </row>
    <row r="1235" spans="1:12">
      <c r="A1235" s="53">
        <v>46079</v>
      </c>
      <c r="B1235" s="54">
        <f>Table13[[#This Row],[Date]]</f>
        <v>46079</v>
      </c>
      <c r="C1235" s="55" t="s">
        <v>16</v>
      </c>
      <c r="D1235" s="59" t="s">
        <v>135</v>
      </c>
      <c r="E1235" s="77" t="s">
        <v>47</v>
      </c>
      <c r="F1235" s="55" t="s">
        <v>19</v>
      </c>
      <c r="G1235" s="55">
        <v>1</v>
      </c>
      <c r="H1235" s="55"/>
      <c r="I1235" s="55"/>
      <c r="J1235" s="55"/>
      <c r="K1235" s="57"/>
      <c r="L1235" s="55"/>
    </row>
    <row r="1236" spans="1:12">
      <c r="A1236" s="53">
        <v>46079</v>
      </c>
      <c r="B1236" s="54">
        <f>Table13[[#This Row],[Date]]</f>
        <v>46079</v>
      </c>
      <c r="C1236" s="55" t="s">
        <v>16</v>
      </c>
      <c r="D1236" s="59" t="s">
        <v>135</v>
      </c>
      <c r="E1236" s="77" t="s">
        <v>53</v>
      </c>
      <c r="F1236" s="55" t="s">
        <v>19</v>
      </c>
      <c r="G1236" s="55">
        <v>1</v>
      </c>
      <c r="H1236" s="55"/>
      <c r="I1236" s="55"/>
      <c r="J1236" s="55"/>
      <c r="K1236" s="57"/>
      <c r="L1236" s="55"/>
    </row>
    <row r="1237" spans="1:12">
      <c r="A1237" s="53">
        <v>46080</v>
      </c>
      <c r="B1237" s="54">
        <f>Table13[[#This Row],[Date]]</f>
        <v>46080</v>
      </c>
      <c r="C1237" s="55" t="s">
        <v>14</v>
      </c>
      <c r="D1237" s="59" t="s">
        <v>145</v>
      </c>
      <c r="E1237" s="55" t="s">
        <v>18</v>
      </c>
      <c r="F1237" s="55" t="s">
        <v>19</v>
      </c>
      <c r="G1237" s="55">
        <v>1</v>
      </c>
      <c r="H1237" s="55"/>
      <c r="I1237" s="55"/>
      <c r="J1237" s="55"/>
      <c r="K1237" s="57"/>
      <c r="L1237" s="55"/>
    </row>
    <row r="1238" spans="1:12">
      <c r="A1238" s="53">
        <v>46080</v>
      </c>
      <c r="B1238" s="54">
        <f>Table13[[#This Row],[Date]]</f>
        <v>46080</v>
      </c>
      <c r="C1238" s="55" t="s">
        <v>16</v>
      </c>
      <c r="D1238" s="59" t="s">
        <v>136</v>
      </c>
      <c r="E1238" s="55" t="s">
        <v>18</v>
      </c>
      <c r="F1238" s="55" t="s">
        <v>19</v>
      </c>
      <c r="G1238" s="55">
        <v>1</v>
      </c>
      <c r="H1238" s="55"/>
      <c r="I1238" s="55"/>
      <c r="J1238" s="55"/>
      <c r="K1238" s="57"/>
      <c r="L1238" s="55"/>
    </row>
    <row r="1239" spans="1:12">
      <c r="A1239" s="53">
        <v>46080</v>
      </c>
      <c r="B1239" s="54">
        <f>Table13[[#This Row],[Date]]</f>
        <v>46080</v>
      </c>
      <c r="C1239" s="55" t="s">
        <v>16</v>
      </c>
      <c r="D1239" s="59" t="s">
        <v>137</v>
      </c>
      <c r="E1239" s="55" t="s">
        <v>18</v>
      </c>
      <c r="F1239" s="55" t="s">
        <v>19</v>
      </c>
      <c r="G1239" s="55">
        <v>1</v>
      </c>
      <c r="H1239" s="55"/>
      <c r="I1239" s="55"/>
      <c r="J1239" s="55"/>
      <c r="K1239" s="57"/>
      <c r="L1239" s="55"/>
    </row>
    <row r="1240" spans="1:12">
      <c r="A1240" s="53">
        <v>46080</v>
      </c>
      <c r="B1240" s="54">
        <f>Table13[[#This Row],[Date]]</f>
        <v>46080</v>
      </c>
      <c r="C1240" s="55" t="s">
        <v>16</v>
      </c>
      <c r="D1240" s="59" t="s">
        <v>138</v>
      </c>
      <c r="E1240" s="55" t="s">
        <v>18</v>
      </c>
      <c r="F1240" s="55" t="s">
        <v>19</v>
      </c>
      <c r="G1240" s="55">
        <v>1</v>
      </c>
      <c r="H1240" s="55"/>
      <c r="I1240" s="55"/>
      <c r="J1240" s="55"/>
      <c r="K1240" s="57"/>
      <c r="L1240" s="55"/>
    </row>
    <row r="1241" spans="1:12">
      <c r="A1241" s="53">
        <v>46080</v>
      </c>
      <c r="B1241" s="54">
        <f>Table13[[#This Row],[Date]]</f>
        <v>46080</v>
      </c>
      <c r="C1241" s="55" t="s">
        <v>23</v>
      </c>
      <c r="D1241" s="59" t="s">
        <v>139</v>
      </c>
      <c r="E1241" s="55" t="s">
        <v>18</v>
      </c>
      <c r="F1241" s="55" t="s">
        <v>19</v>
      </c>
      <c r="G1241" s="55">
        <v>1</v>
      </c>
      <c r="H1241" s="55"/>
      <c r="I1241" s="55"/>
      <c r="J1241" s="55"/>
      <c r="K1241" s="57"/>
      <c r="L1241" s="55"/>
    </row>
    <row r="1242" spans="1:12">
      <c r="A1242" s="53">
        <v>46080</v>
      </c>
      <c r="B1242" s="54">
        <f>Table13[[#This Row],[Date]]</f>
        <v>46080</v>
      </c>
      <c r="C1242" s="55" t="s">
        <v>23</v>
      </c>
      <c r="D1242" s="59" t="s">
        <v>140</v>
      </c>
      <c r="E1242" s="55" t="s">
        <v>18</v>
      </c>
      <c r="F1242" s="55" t="s">
        <v>19</v>
      </c>
      <c r="G1242" s="55">
        <v>1</v>
      </c>
      <c r="H1242" s="55"/>
      <c r="I1242" s="55"/>
      <c r="J1242" s="55"/>
      <c r="K1242" s="57"/>
      <c r="L1242" s="55"/>
    </row>
    <row r="1243" spans="1:12">
      <c r="A1243" s="53">
        <v>46080</v>
      </c>
      <c r="B1243" s="54">
        <f>Table13[[#This Row],[Date]]</f>
        <v>46080</v>
      </c>
      <c r="C1243" s="55" t="s">
        <v>23</v>
      </c>
      <c r="D1243" s="59" t="s">
        <v>141</v>
      </c>
      <c r="E1243" s="55" t="s">
        <v>18</v>
      </c>
      <c r="F1243" s="55" t="s">
        <v>19</v>
      </c>
      <c r="G1243" s="55">
        <v>1</v>
      </c>
      <c r="H1243" s="55"/>
      <c r="I1243" s="55"/>
      <c r="J1243" s="55"/>
      <c r="K1243" s="57"/>
      <c r="L1243" s="55"/>
    </row>
    <row r="1244" spans="1:12">
      <c r="A1244" s="53">
        <v>46080</v>
      </c>
      <c r="B1244" s="54">
        <f>Table13[[#This Row],[Date]]</f>
        <v>46080</v>
      </c>
      <c r="C1244" s="55" t="s">
        <v>23</v>
      </c>
      <c r="D1244" s="59" t="s">
        <v>142</v>
      </c>
      <c r="E1244" s="55" t="s">
        <v>18</v>
      </c>
      <c r="F1244" s="55" t="s">
        <v>19</v>
      </c>
      <c r="G1244" s="55">
        <v>1</v>
      </c>
      <c r="H1244" s="55"/>
      <c r="I1244" s="55"/>
      <c r="J1244" s="55"/>
      <c r="K1244" s="57"/>
      <c r="L1244" s="55"/>
    </row>
    <row r="1245" spans="1:12">
      <c r="A1245" s="53">
        <v>46080</v>
      </c>
      <c r="B1245" s="54">
        <f>Table13[[#This Row],[Date]]</f>
        <v>46080</v>
      </c>
      <c r="C1245" s="55" t="s">
        <v>23</v>
      </c>
      <c r="D1245" s="59" t="s">
        <v>146</v>
      </c>
      <c r="E1245" s="55" t="s">
        <v>18</v>
      </c>
      <c r="F1245" s="55" t="s">
        <v>19</v>
      </c>
      <c r="G1245" s="55">
        <v>1</v>
      </c>
      <c r="H1245" s="55"/>
      <c r="I1245" s="55"/>
      <c r="J1245" s="55"/>
      <c r="K1245" s="57"/>
      <c r="L1245" s="55"/>
    </row>
    <row r="1246" spans="1:12">
      <c r="A1246" s="53">
        <v>46080</v>
      </c>
      <c r="B1246" s="54">
        <f>Table13[[#This Row],[Date]]</f>
        <v>46080</v>
      </c>
      <c r="C1246" s="55" t="s">
        <v>23</v>
      </c>
      <c r="D1246" s="59" t="s">
        <v>146</v>
      </c>
      <c r="E1246" s="55" t="s">
        <v>21</v>
      </c>
      <c r="F1246" s="55" t="s">
        <v>19</v>
      </c>
      <c r="G1246" s="55">
        <v>1</v>
      </c>
      <c r="H1246" s="55"/>
      <c r="I1246" s="55"/>
      <c r="J1246" s="55"/>
      <c r="K1246" s="57"/>
      <c r="L1246" s="55"/>
    </row>
    <row r="1247" spans="1:12">
      <c r="A1247" s="53">
        <v>46080</v>
      </c>
      <c r="B1247" s="54">
        <f>Table13[[#This Row],[Date]]</f>
        <v>46080</v>
      </c>
      <c r="C1247" s="55" t="s">
        <v>23</v>
      </c>
      <c r="D1247" s="59" t="s">
        <v>146</v>
      </c>
      <c r="E1247" s="55" t="s">
        <v>147</v>
      </c>
      <c r="F1247" s="55" t="s">
        <v>19</v>
      </c>
      <c r="G1247" s="55">
        <v>1</v>
      </c>
      <c r="H1247" s="55"/>
      <c r="I1247" s="55"/>
      <c r="J1247" s="55"/>
      <c r="K1247" s="57"/>
      <c r="L1247" s="55"/>
    </row>
    <row r="1248" spans="1:12">
      <c r="A1248" s="53">
        <v>46080</v>
      </c>
      <c r="B1248" s="54">
        <f>Table13[[#This Row],[Date]]</f>
        <v>46080</v>
      </c>
      <c r="C1248" s="55" t="s">
        <v>23</v>
      </c>
      <c r="D1248" s="59" t="s">
        <v>146</v>
      </c>
      <c r="E1248" s="55" t="s">
        <v>148</v>
      </c>
      <c r="F1248" s="55" t="s">
        <v>19</v>
      </c>
      <c r="G1248" s="55">
        <v>1</v>
      </c>
      <c r="H1248" s="55"/>
      <c r="I1248" s="55"/>
      <c r="J1248" s="55"/>
      <c r="K1248" s="57"/>
      <c r="L1248" s="55"/>
    </row>
    <row r="1249" spans="1:12">
      <c r="A1249" s="53">
        <v>46080</v>
      </c>
      <c r="B1249" s="54">
        <f>Table13[[#This Row],[Date]]</f>
        <v>46080</v>
      </c>
      <c r="C1249" s="55"/>
      <c r="D1249" s="61" t="s">
        <v>179</v>
      </c>
      <c r="E1249" s="55" t="s">
        <v>47</v>
      </c>
      <c r="F1249" s="55" t="s">
        <v>19</v>
      </c>
      <c r="G1249" s="55">
        <v>1</v>
      </c>
      <c r="H1249" s="55"/>
      <c r="I1249" s="55"/>
      <c r="J1249" s="55"/>
      <c r="K1249" s="57"/>
      <c r="L1249" s="55"/>
    </row>
    <row r="1250" spans="1:12">
      <c r="A1250" s="16">
        <v>46081</v>
      </c>
      <c r="B1250" s="18">
        <f>Table13[[#This Row],[Date]]</f>
        <v>46081</v>
      </c>
      <c r="C1250" s="10" t="s">
        <v>14</v>
      </c>
      <c r="D1250" s="9" t="s">
        <v>144</v>
      </c>
      <c r="E1250" s="10" t="s">
        <v>18</v>
      </c>
      <c r="F1250" s="10" t="s">
        <v>19</v>
      </c>
      <c r="G1250" s="10">
        <v>1</v>
      </c>
      <c r="H1250" s="10"/>
      <c r="I1250" s="10"/>
      <c r="J1250" s="10"/>
      <c r="K1250" s="13"/>
      <c r="L1250" s="10"/>
    </row>
    <row r="1251" spans="1:12">
      <c r="A1251" s="16">
        <v>46081</v>
      </c>
      <c r="B1251" s="18">
        <f>Table13[[#This Row],[Date]]</f>
        <v>46081</v>
      </c>
      <c r="C1251" s="10" t="s">
        <v>14</v>
      </c>
      <c r="D1251" s="9" t="s">
        <v>144</v>
      </c>
      <c r="E1251" s="10" t="s">
        <v>21</v>
      </c>
      <c r="F1251" s="10" t="s">
        <v>19</v>
      </c>
      <c r="G1251" s="10">
        <v>1</v>
      </c>
      <c r="H1251" s="10"/>
      <c r="I1251" s="10"/>
      <c r="J1251" s="10"/>
      <c r="K1251" s="13"/>
      <c r="L1251" s="10"/>
    </row>
    <row r="1252" spans="1:12">
      <c r="A1252" s="16">
        <v>46081</v>
      </c>
      <c r="B1252" s="18">
        <f>Table13[[#This Row],[Date]]</f>
        <v>46081</v>
      </c>
      <c r="C1252" s="10" t="s">
        <v>23</v>
      </c>
      <c r="D1252" s="9" t="s">
        <v>143</v>
      </c>
      <c r="E1252" s="10" t="s">
        <v>41</v>
      </c>
      <c r="F1252" s="10" t="s">
        <v>19</v>
      </c>
      <c r="G1252" s="10">
        <v>1</v>
      </c>
      <c r="H1252" s="10"/>
      <c r="I1252" s="10"/>
      <c r="J1252" s="10"/>
      <c r="K1252" s="13"/>
      <c r="L1252" s="10"/>
    </row>
    <row r="1253" spans="1:12">
      <c r="A1253" s="16">
        <v>46081</v>
      </c>
      <c r="B1253" s="18">
        <f>Table13[[#This Row],[Date]]</f>
        <v>46081</v>
      </c>
      <c r="C1253" s="10" t="s">
        <v>23</v>
      </c>
      <c r="D1253" s="9" t="s">
        <v>143</v>
      </c>
      <c r="E1253" s="10" t="s">
        <v>42</v>
      </c>
      <c r="F1253" s="10" t="s">
        <v>19</v>
      </c>
      <c r="G1253" s="10">
        <v>1</v>
      </c>
      <c r="H1253" s="10"/>
      <c r="I1253" s="10"/>
      <c r="J1253" s="10"/>
      <c r="K1253" s="13"/>
      <c r="L1253" s="10"/>
    </row>
    <row r="1254" spans="1:12">
      <c r="A1254" s="53">
        <v>46083</v>
      </c>
      <c r="B1254" s="54">
        <f>Table13[[#This Row],[Date]]</f>
        <v>46083</v>
      </c>
      <c r="C1254" s="55" t="s">
        <v>23</v>
      </c>
      <c r="D1254" s="91" t="s">
        <v>24</v>
      </c>
      <c r="E1254" s="64" t="s">
        <v>18</v>
      </c>
      <c r="F1254" s="55" t="s">
        <v>19</v>
      </c>
      <c r="G1254" s="55">
        <v>1</v>
      </c>
      <c r="H1254" s="55"/>
      <c r="I1254" s="55"/>
      <c r="J1254" s="55"/>
      <c r="K1254" s="57"/>
      <c r="L1254" s="55"/>
    </row>
    <row r="1255" spans="1:12">
      <c r="A1255" s="41">
        <v>46083</v>
      </c>
      <c r="B1255" s="42">
        <f>Table13[[#This Row],[Date]]</f>
        <v>46083</v>
      </c>
      <c r="C1255" s="43" t="s">
        <v>23</v>
      </c>
      <c r="D1255" s="153" t="s">
        <v>25</v>
      </c>
      <c r="E1255" s="90" t="s">
        <v>18</v>
      </c>
      <c r="F1255" s="43" t="s">
        <v>19</v>
      </c>
      <c r="G1255" s="43">
        <v>1</v>
      </c>
      <c r="H1255" s="43"/>
      <c r="I1255" s="43"/>
      <c r="J1255" s="43"/>
      <c r="K1255" s="45"/>
      <c r="L1255" s="43"/>
    </row>
    <row r="1256" spans="1:12">
      <c r="A1256" s="41">
        <v>46083</v>
      </c>
      <c r="B1256" s="42">
        <f>Table13[[#This Row],[Date]]</f>
        <v>46083</v>
      </c>
      <c r="C1256" s="43" t="s">
        <v>23</v>
      </c>
      <c r="D1256" s="153" t="s">
        <v>25</v>
      </c>
      <c r="E1256" s="90" t="s">
        <v>21</v>
      </c>
      <c r="F1256" s="43" t="s">
        <v>19</v>
      </c>
      <c r="G1256" s="43">
        <v>1</v>
      </c>
      <c r="H1256" s="43"/>
      <c r="I1256" s="43"/>
      <c r="J1256" s="43"/>
      <c r="K1256" s="45"/>
      <c r="L1256" s="43"/>
    </row>
    <row r="1257" spans="1:12">
      <c r="A1257" s="41">
        <v>46083</v>
      </c>
      <c r="B1257" s="42">
        <f>Table13[[#This Row],[Date]]</f>
        <v>46083</v>
      </c>
      <c r="C1257" s="43"/>
      <c r="D1257" s="44" t="s">
        <v>205</v>
      </c>
      <c r="E1257" s="43"/>
      <c r="F1257" s="43"/>
      <c r="G1257" s="43"/>
      <c r="H1257" s="43"/>
      <c r="I1257" s="43"/>
      <c r="J1257" s="43"/>
      <c r="K1257" s="45"/>
      <c r="L1257" s="43"/>
    </row>
    <row r="1258" spans="1:12">
      <c r="A1258" s="53">
        <v>46084</v>
      </c>
      <c r="B1258" s="54">
        <f>Table13[[#This Row],[Date]]</f>
        <v>46084</v>
      </c>
      <c r="C1258" s="55" t="s">
        <v>26</v>
      </c>
      <c r="D1258" s="74" t="s">
        <v>27</v>
      </c>
      <c r="E1258" s="55" t="s">
        <v>18</v>
      </c>
      <c r="F1258" s="55" t="s">
        <v>19</v>
      </c>
      <c r="G1258" s="55">
        <v>1</v>
      </c>
      <c r="H1258" s="55"/>
      <c r="I1258" s="55"/>
      <c r="J1258" s="55"/>
      <c r="K1258" s="57"/>
      <c r="L1258" s="55"/>
    </row>
    <row r="1259" spans="1:12">
      <c r="A1259" s="53">
        <v>46084</v>
      </c>
      <c r="B1259" s="54">
        <f>Table13[[#This Row],[Date]]</f>
        <v>46084</v>
      </c>
      <c r="C1259" s="55" t="s">
        <v>26</v>
      </c>
      <c r="D1259" s="74" t="s">
        <v>27</v>
      </c>
      <c r="E1259" s="55" t="s">
        <v>28</v>
      </c>
      <c r="F1259" s="55" t="s">
        <v>19</v>
      </c>
      <c r="G1259" s="55">
        <v>1</v>
      </c>
      <c r="H1259" s="55"/>
      <c r="I1259" s="55"/>
      <c r="J1259" s="55"/>
      <c r="K1259" s="57"/>
      <c r="L1259" s="55"/>
    </row>
    <row r="1260" spans="1:12">
      <c r="A1260" s="53">
        <v>46084</v>
      </c>
      <c r="B1260" s="54">
        <f>Table13[[#This Row],[Date]]</f>
        <v>46084</v>
      </c>
      <c r="C1260" s="55" t="s">
        <v>26</v>
      </c>
      <c r="D1260" s="74" t="s">
        <v>29</v>
      </c>
      <c r="E1260" s="55" t="s">
        <v>18</v>
      </c>
      <c r="F1260" s="55" t="s">
        <v>19</v>
      </c>
      <c r="G1260" s="55">
        <v>1</v>
      </c>
      <c r="H1260" s="55"/>
      <c r="I1260" s="55"/>
      <c r="J1260" s="55"/>
      <c r="K1260" s="57"/>
      <c r="L1260" s="55"/>
    </row>
    <row r="1261" spans="1:12">
      <c r="A1261" s="53">
        <v>46084</v>
      </c>
      <c r="B1261" s="54">
        <f>Table13[[#This Row],[Date]]</f>
        <v>46084</v>
      </c>
      <c r="C1261" s="55" t="s">
        <v>26</v>
      </c>
      <c r="D1261" s="74" t="s">
        <v>29</v>
      </c>
      <c r="E1261" s="55" t="s">
        <v>28</v>
      </c>
      <c r="F1261" s="55" t="s">
        <v>19</v>
      </c>
      <c r="G1261" s="55">
        <v>1</v>
      </c>
      <c r="H1261" s="55"/>
      <c r="I1261" s="55"/>
      <c r="J1261" s="55"/>
      <c r="K1261" s="57"/>
      <c r="L1261" s="55"/>
    </row>
    <row r="1262" spans="1:12">
      <c r="A1262" s="48">
        <v>46084</v>
      </c>
      <c r="B1262" s="49">
        <f>Table13[[#This Row],[Date]]</f>
        <v>46084</v>
      </c>
      <c r="C1262" s="50" t="s">
        <v>4</v>
      </c>
      <c r="D1262" s="51" t="s">
        <v>32</v>
      </c>
      <c r="E1262" s="50"/>
      <c r="F1262" s="50"/>
      <c r="G1262" s="50"/>
      <c r="H1262" s="50"/>
      <c r="I1262" s="50"/>
      <c r="J1262" s="50"/>
      <c r="K1262" s="52"/>
      <c r="L1262" s="50"/>
    </row>
    <row r="1263" spans="1:12">
      <c r="A1263" s="53">
        <v>46085</v>
      </c>
      <c r="B1263" s="54">
        <f>Table13[[#This Row],[Date]]</f>
        <v>46085</v>
      </c>
      <c r="C1263" s="55" t="s">
        <v>14</v>
      </c>
      <c r="D1263" s="91" t="s">
        <v>33</v>
      </c>
      <c r="E1263" s="77" t="s">
        <v>18</v>
      </c>
      <c r="F1263" s="55" t="s">
        <v>19</v>
      </c>
      <c r="G1263" s="55">
        <v>1</v>
      </c>
      <c r="H1263" s="55"/>
      <c r="I1263" s="55"/>
      <c r="J1263" s="55"/>
      <c r="K1263" s="57"/>
      <c r="L1263" s="55"/>
    </row>
    <row r="1264" spans="1:12">
      <c r="A1264" s="53">
        <v>46085</v>
      </c>
      <c r="B1264" s="54">
        <f>Table13[[#This Row],[Date]]</f>
        <v>46085</v>
      </c>
      <c r="C1264" s="55" t="s">
        <v>14</v>
      </c>
      <c r="D1264" s="91" t="s">
        <v>33</v>
      </c>
      <c r="E1264" s="55" t="s">
        <v>21</v>
      </c>
      <c r="F1264" s="55" t="s">
        <v>19</v>
      </c>
      <c r="G1264" s="55">
        <v>1</v>
      </c>
      <c r="H1264" s="55"/>
      <c r="I1264" s="55"/>
      <c r="J1264" s="55"/>
      <c r="K1264" s="57"/>
      <c r="L1264" s="55"/>
    </row>
    <row r="1265" spans="1:12">
      <c r="A1265" s="53">
        <v>46085</v>
      </c>
      <c r="B1265" s="54">
        <f>Table13[[#This Row],[Date]]</f>
        <v>46085</v>
      </c>
      <c r="C1265" s="55" t="s">
        <v>14</v>
      </c>
      <c r="D1265" s="91" t="s">
        <v>33</v>
      </c>
      <c r="E1265" s="77" t="s">
        <v>34</v>
      </c>
      <c r="F1265" s="55" t="s">
        <v>19</v>
      </c>
      <c r="G1265" s="55">
        <v>1</v>
      </c>
      <c r="H1265" s="55"/>
      <c r="I1265" s="55"/>
      <c r="J1265" s="55"/>
      <c r="K1265" s="57"/>
      <c r="L1265" s="55"/>
    </row>
    <row r="1266" spans="1:12">
      <c r="A1266" s="53">
        <v>46085</v>
      </c>
      <c r="B1266" s="54">
        <f>Table13[[#This Row],[Date]]</f>
        <v>46085</v>
      </c>
      <c r="C1266" s="55" t="s">
        <v>14</v>
      </c>
      <c r="D1266" s="91" t="s">
        <v>33</v>
      </c>
      <c r="E1266" s="77" t="s">
        <v>35</v>
      </c>
      <c r="F1266" s="55" t="s">
        <v>19</v>
      </c>
      <c r="G1266" s="55">
        <v>1</v>
      </c>
      <c r="H1266" s="55"/>
      <c r="I1266" s="55"/>
      <c r="J1266" s="55"/>
      <c r="K1266" s="57"/>
      <c r="L1266" s="55"/>
    </row>
    <row r="1267" spans="1:12">
      <c r="A1267" s="15">
        <v>46085</v>
      </c>
      <c r="B1267" s="104">
        <f>Table13[[#This Row],[Date]]</f>
        <v>46085</v>
      </c>
      <c r="C1267" s="105" t="s">
        <v>16</v>
      </c>
      <c r="D1267" s="271" t="s">
        <v>22</v>
      </c>
      <c r="E1267" s="107" t="s">
        <v>18</v>
      </c>
      <c r="F1267" s="105" t="s">
        <v>19</v>
      </c>
      <c r="G1267" s="105">
        <v>1</v>
      </c>
      <c r="H1267" s="105"/>
      <c r="I1267" s="105"/>
      <c r="J1267" s="105"/>
      <c r="K1267" s="108"/>
      <c r="L1267" s="105"/>
    </row>
    <row r="1268" spans="1:12">
      <c r="A1268" s="53">
        <v>46085</v>
      </c>
      <c r="B1268" s="54">
        <f>Table13[[#This Row],[Date]]</f>
        <v>46085</v>
      </c>
      <c r="C1268" s="55" t="s">
        <v>23</v>
      </c>
      <c r="D1268" s="59" t="s">
        <v>36</v>
      </c>
      <c r="E1268" s="55" t="s">
        <v>18</v>
      </c>
      <c r="F1268" s="55" t="s">
        <v>19</v>
      </c>
      <c r="G1268" s="55">
        <v>1</v>
      </c>
      <c r="H1268" s="55"/>
      <c r="I1268" s="55"/>
      <c r="J1268" s="55"/>
      <c r="K1268" s="57"/>
      <c r="L1268" s="55"/>
    </row>
    <row r="1269" spans="1:12">
      <c r="A1269" s="15">
        <v>46085</v>
      </c>
      <c r="B1269" s="17">
        <f>Table13[[#This Row],[Date]]</f>
        <v>46085</v>
      </c>
      <c r="C1269" s="1" t="s">
        <v>23</v>
      </c>
      <c r="D1269" s="141" t="s">
        <v>38</v>
      </c>
      <c r="E1269" s="1" t="s">
        <v>18</v>
      </c>
      <c r="F1269" s="1" t="s">
        <v>19</v>
      </c>
      <c r="G1269" s="1">
        <v>1</v>
      </c>
      <c r="H1269" s="1"/>
      <c r="I1269" s="1"/>
      <c r="J1269" s="1"/>
      <c r="K1269" s="3"/>
      <c r="L1269" s="1"/>
    </row>
    <row r="1270" spans="1:12">
      <c r="A1270" s="53">
        <v>46085</v>
      </c>
      <c r="B1270" s="54">
        <f>Table13[[#This Row],[Date]]</f>
        <v>46085</v>
      </c>
      <c r="C1270" s="55" t="s">
        <v>26</v>
      </c>
      <c r="D1270" s="74" t="s">
        <v>30</v>
      </c>
      <c r="E1270" s="55" t="s">
        <v>18</v>
      </c>
      <c r="F1270" s="55" t="s">
        <v>19</v>
      </c>
      <c r="G1270" s="55">
        <v>1</v>
      </c>
      <c r="H1270" s="55"/>
      <c r="I1270" s="55"/>
      <c r="J1270" s="55"/>
      <c r="K1270" s="57"/>
      <c r="L1270" s="55"/>
    </row>
    <row r="1271" spans="1:12">
      <c r="A1271" s="53">
        <v>46085</v>
      </c>
      <c r="B1271" s="54">
        <f>Table13[[#This Row],[Date]]</f>
        <v>46085</v>
      </c>
      <c r="C1271" s="55" t="s">
        <v>26</v>
      </c>
      <c r="D1271" s="74" t="s">
        <v>30</v>
      </c>
      <c r="E1271" s="55" t="s">
        <v>28</v>
      </c>
      <c r="F1271" s="55" t="s">
        <v>19</v>
      </c>
      <c r="G1271" s="55">
        <v>1</v>
      </c>
      <c r="H1271" s="55"/>
      <c r="I1271" s="55"/>
      <c r="J1271" s="55"/>
      <c r="K1271" s="57"/>
      <c r="L1271" s="55"/>
    </row>
    <row r="1272" spans="1:12">
      <c r="A1272" s="53">
        <v>46085</v>
      </c>
      <c r="B1272" s="54">
        <f>Table13[[#This Row],[Date]]</f>
        <v>46085</v>
      </c>
      <c r="C1272" s="55" t="s">
        <v>26</v>
      </c>
      <c r="D1272" s="74" t="s">
        <v>31</v>
      </c>
      <c r="E1272" s="55" t="s">
        <v>18</v>
      </c>
      <c r="F1272" s="55" t="s">
        <v>19</v>
      </c>
      <c r="G1272" s="55">
        <v>1</v>
      </c>
      <c r="H1272" s="55"/>
      <c r="I1272" s="55"/>
      <c r="J1272" s="55"/>
      <c r="K1272" s="57"/>
      <c r="L1272" s="55"/>
    </row>
    <row r="1273" spans="1:12">
      <c r="A1273" s="53">
        <v>46085</v>
      </c>
      <c r="B1273" s="54">
        <f>Table13[[#This Row],[Date]]</f>
        <v>46085</v>
      </c>
      <c r="C1273" s="55" t="s">
        <v>26</v>
      </c>
      <c r="D1273" s="74" t="s">
        <v>31</v>
      </c>
      <c r="E1273" s="55" t="s">
        <v>28</v>
      </c>
      <c r="F1273" s="55" t="s">
        <v>19</v>
      </c>
      <c r="G1273" s="55">
        <v>1</v>
      </c>
      <c r="H1273" s="55"/>
      <c r="I1273" s="55"/>
      <c r="J1273" s="55"/>
      <c r="K1273" s="57"/>
      <c r="L1273" s="55"/>
    </row>
    <row r="1274" spans="1:12">
      <c r="A1274" s="53">
        <v>46086</v>
      </c>
      <c r="B1274" s="54">
        <f>Table13[[#This Row],[Date]]</f>
        <v>46086</v>
      </c>
      <c r="C1274" s="55" t="s">
        <v>14</v>
      </c>
      <c r="D1274" s="91" t="s">
        <v>33</v>
      </c>
      <c r="E1274" s="64" t="s">
        <v>41</v>
      </c>
      <c r="F1274" s="55" t="s">
        <v>19</v>
      </c>
      <c r="G1274" s="55">
        <v>1</v>
      </c>
      <c r="H1274" s="55"/>
      <c r="I1274" s="55"/>
      <c r="J1274" s="55"/>
      <c r="K1274" s="57"/>
      <c r="L1274" s="55"/>
    </row>
    <row r="1275" spans="1:12">
      <c r="A1275" s="53">
        <v>46086</v>
      </c>
      <c r="B1275" s="54">
        <f>Table13[[#This Row],[Date]]</f>
        <v>46086</v>
      </c>
      <c r="C1275" s="55" t="s">
        <v>14</v>
      </c>
      <c r="D1275" s="91" t="s">
        <v>33</v>
      </c>
      <c r="E1275" s="55" t="s">
        <v>42</v>
      </c>
      <c r="F1275" s="55" t="s">
        <v>19</v>
      </c>
      <c r="G1275" s="55">
        <v>1</v>
      </c>
      <c r="H1275" s="55"/>
      <c r="I1275" s="55"/>
      <c r="J1275" s="55"/>
      <c r="K1275" s="57"/>
      <c r="L1275" s="55"/>
    </row>
    <row r="1276" spans="1:12">
      <c r="A1276" s="53">
        <v>46086</v>
      </c>
      <c r="B1276" s="54">
        <f>Table13[[#This Row],[Date]]</f>
        <v>46086</v>
      </c>
      <c r="C1276" s="55" t="s">
        <v>14</v>
      </c>
      <c r="D1276" s="91" t="s">
        <v>33</v>
      </c>
      <c r="E1276" s="55" t="s">
        <v>43</v>
      </c>
      <c r="F1276" s="55" t="s">
        <v>19</v>
      </c>
      <c r="G1276" s="55">
        <v>1</v>
      </c>
      <c r="H1276" s="55"/>
      <c r="I1276" s="55"/>
      <c r="J1276" s="55"/>
      <c r="K1276" s="57"/>
      <c r="L1276" s="55"/>
    </row>
    <row r="1277" spans="1:12">
      <c r="A1277" s="53">
        <v>46086</v>
      </c>
      <c r="B1277" s="54">
        <f>Table13[[#This Row],[Date]]</f>
        <v>46086</v>
      </c>
      <c r="C1277" s="55" t="s">
        <v>14</v>
      </c>
      <c r="D1277" s="91" t="s">
        <v>33</v>
      </c>
      <c r="E1277" s="64" t="s">
        <v>44</v>
      </c>
      <c r="F1277" s="55" t="s">
        <v>19</v>
      </c>
      <c r="G1277" s="55">
        <v>1</v>
      </c>
      <c r="H1277" s="55"/>
      <c r="I1277" s="55"/>
      <c r="J1277" s="55"/>
      <c r="K1277" s="57"/>
      <c r="L1277" s="55"/>
    </row>
    <row r="1278" spans="1:12">
      <c r="A1278" s="53">
        <v>46086</v>
      </c>
      <c r="B1278" s="54">
        <f>Table13[[#This Row],[Date]]</f>
        <v>46086</v>
      </c>
      <c r="C1278" s="55" t="s">
        <v>14</v>
      </c>
      <c r="D1278" s="91" t="s">
        <v>33</v>
      </c>
      <c r="E1278" s="64" t="s">
        <v>45</v>
      </c>
      <c r="F1278" s="55" t="s">
        <v>19</v>
      </c>
      <c r="G1278" s="55">
        <v>1</v>
      </c>
      <c r="H1278" s="55"/>
      <c r="I1278" s="55"/>
      <c r="J1278" s="55"/>
      <c r="K1278" s="57"/>
      <c r="L1278" s="55"/>
    </row>
    <row r="1279" spans="1:12">
      <c r="A1279" s="53">
        <v>46086</v>
      </c>
      <c r="B1279" s="54">
        <f>Table13[[#This Row],[Date]]</f>
        <v>46086</v>
      </c>
      <c r="C1279" s="55" t="s">
        <v>16</v>
      </c>
      <c r="D1279" s="59" t="s">
        <v>46</v>
      </c>
      <c r="E1279" s="64" t="s">
        <v>18</v>
      </c>
      <c r="F1279" s="55" t="s">
        <v>19</v>
      </c>
      <c r="G1279" s="55">
        <v>1</v>
      </c>
      <c r="H1279" s="55"/>
      <c r="I1279" s="55"/>
      <c r="J1279" s="55"/>
      <c r="K1279" s="57"/>
      <c r="L1279" s="55"/>
    </row>
    <row r="1280" spans="1:12">
      <c r="A1280" s="53">
        <v>46086</v>
      </c>
      <c r="B1280" s="54">
        <f>Table13[[#This Row],[Date]]</f>
        <v>46086</v>
      </c>
      <c r="C1280" s="55" t="s">
        <v>16</v>
      </c>
      <c r="D1280" s="59" t="s">
        <v>46</v>
      </c>
      <c r="E1280" s="64" t="s">
        <v>21</v>
      </c>
      <c r="F1280" s="55" t="s">
        <v>19</v>
      </c>
      <c r="G1280" s="55">
        <v>1</v>
      </c>
      <c r="H1280" s="55"/>
      <c r="I1280" s="55"/>
      <c r="J1280" s="55"/>
      <c r="K1280" s="57"/>
      <c r="L1280" s="55"/>
    </row>
    <row r="1281" spans="1:12">
      <c r="A1281" s="53">
        <v>46086</v>
      </c>
      <c r="B1281" s="54">
        <f>Table13[[#This Row],[Date]]</f>
        <v>46086</v>
      </c>
      <c r="C1281" s="55" t="s">
        <v>16</v>
      </c>
      <c r="D1281" s="59" t="s">
        <v>46</v>
      </c>
      <c r="E1281" s="64" t="s">
        <v>47</v>
      </c>
      <c r="F1281" s="55" t="s">
        <v>19</v>
      </c>
      <c r="G1281" s="55">
        <v>1</v>
      </c>
      <c r="H1281" s="55"/>
      <c r="I1281" s="55"/>
      <c r="J1281" s="55"/>
      <c r="K1281" s="57"/>
      <c r="L1281" s="55"/>
    </row>
    <row r="1282" spans="1:12">
      <c r="A1282" s="53">
        <v>46086</v>
      </c>
      <c r="B1282" s="54">
        <f>Table13[[#This Row],[Date]]</f>
        <v>46086</v>
      </c>
      <c r="C1282" s="55" t="s">
        <v>26</v>
      </c>
      <c r="D1282" s="74" t="s">
        <v>39</v>
      </c>
      <c r="E1282" s="55" t="s">
        <v>18</v>
      </c>
      <c r="F1282" s="55" t="s">
        <v>19</v>
      </c>
      <c r="G1282" s="55">
        <v>1</v>
      </c>
      <c r="H1282" s="55"/>
      <c r="I1282" s="55"/>
      <c r="J1282" s="55"/>
      <c r="K1282" s="57"/>
      <c r="L1282" s="55"/>
    </row>
    <row r="1283" spans="1:12">
      <c r="A1283" s="53">
        <v>46086</v>
      </c>
      <c r="B1283" s="54">
        <f>Table13[[#This Row],[Date]]</f>
        <v>46086</v>
      </c>
      <c r="C1283" s="55" t="s">
        <v>26</v>
      </c>
      <c r="D1283" s="74" t="s">
        <v>39</v>
      </c>
      <c r="E1283" s="55" t="s">
        <v>28</v>
      </c>
      <c r="F1283" s="55" t="s">
        <v>19</v>
      </c>
      <c r="G1283" s="55">
        <v>1</v>
      </c>
      <c r="H1283" s="55"/>
      <c r="I1283" s="55"/>
      <c r="J1283" s="55"/>
      <c r="K1283" s="57"/>
      <c r="L1283" s="55"/>
    </row>
    <row r="1284" spans="1:12">
      <c r="A1284" s="53">
        <v>46086</v>
      </c>
      <c r="B1284" s="54">
        <f>Table13[[#This Row],[Date]]</f>
        <v>46086</v>
      </c>
      <c r="C1284" s="55" t="s">
        <v>26</v>
      </c>
      <c r="D1284" s="74" t="s">
        <v>40</v>
      </c>
      <c r="E1284" s="55" t="s">
        <v>18</v>
      </c>
      <c r="F1284" s="55" t="s">
        <v>19</v>
      </c>
      <c r="G1284" s="55">
        <v>1</v>
      </c>
      <c r="H1284" s="55"/>
      <c r="I1284" s="55"/>
      <c r="J1284" s="55"/>
      <c r="K1284" s="57"/>
      <c r="L1284" s="55"/>
    </row>
    <row r="1285" spans="1:12">
      <c r="A1285" s="53">
        <v>46086</v>
      </c>
      <c r="B1285" s="54">
        <f>Table13[[#This Row],[Date]]</f>
        <v>46086</v>
      </c>
      <c r="C1285" s="55" t="s">
        <v>26</v>
      </c>
      <c r="D1285" s="74" t="s">
        <v>40</v>
      </c>
      <c r="E1285" s="55" t="s">
        <v>28</v>
      </c>
      <c r="F1285" s="55" t="s">
        <v>19</v>
      </c>
      <c r="G1285" s="55">
        <v>1</v>
      </c>
      <c r="H1285" s="55"/>
      <c r="I1285" s="55"/>
      <c r="J1285" s="55"/>
      <c r="K1285" s="57"/>
      <c r="L1285" s="55"/>
    </row>
    <row r="1286" spans="1:12">
      <c r="A1286" s="103">
        <v>46087</v>
      </c>
      <c r="B1286" s="104">
        <f>Table13[[#This Row],[Date]]</f>
        <v>46087</v>
      </c>
      <c r="C1286" s="105" t="s">
        <v>16</v>
      </c>
      <c r="D1286" s="117" t="s">
        <v>50</v>
      </c>
      <c r="E1286" s="107" t="s">
        <v>47</v>
      </c>
      <c r="F1286" s="105" t="s">
        <v>19</v>
      </c>
      <c r="G1286" s="105">
        <v>1</v>
      </c>
      <c r="H1286" s="105"/>
      <c r="I1286" s="105"/>
      <c r="J1286" s="105"/>
      <c r="K1286" s="108"/>
      <c r="L1286" s="105"/>
    </row>
    <row r="1287" spans="1:12">
      <c r="A1287" s="103">
        <v>46087</v>
      </c>
      <c r="B1287" s="104">
        <f>Table13[[#This Row],[Date]]</f>
        <v>46087</v>
      </c>
      <c r="C1287" s="105" t="s">
        <v>16</v>
      </c>
      <c r="D1287" s="117" t="s">
        <v>50</v>
      </c>
      <c r="E1287" s="107" t="s">
        <v>18</v>
      </c>
      <c r="F1287" s="105" t="s">
        <v>19</v>
      </c>
      <c r="G1287" s="105">
        <v>1</v>
      </c>
      <c r="H1287" s="105"/>
      <c r="I1287" s="105"/>
      <c r="J1287" s="105"/>
      <c r="K1287" s="108"/>
      <c r="L1287" s="105"/>
    </row>
    <row r="1288" spans="1:12">
      <c r="A1288" s="103">
        <v>46087</v>
      </c>
      <c r="B1288" s="104">
        <f>Table13[[#This Row],[Date]]</f>
        <v>46087</v>
      </c>
      <c r="C1288" s="105" t="s">
        <v>16</v>
      </c>
      <c r="D1288" s="117" t="s">
        <v>50</v>
      </c>
      <c r="E1288" s="107" t="s">
        <v>21</v>
      </c>
      <c r="F1288" s="105" t="s">
        <v>19</v>
      </c>
      <c r="G1288" s="105">
        <v>1</v>
      </c>
      <c r="H1288" s="105"/>
      <c r="I1288" s="105"/>
      <c r="J1288" s="105"/>
      <c r="K1288" s="108"/>
      <c r="L1288" s="105"/>
    </row>
    <row r="1289" spans="1:12">
      <c r="A1289" s="53">
        <v>46087</v>
      </c>
      <c r="B1289" s="54">
        <f>Table13[[#This Row],[Date]]</f>
        <v>46087</v>
      </c>
      <c r="C1289" s="55" t="s">
        <v>23</v>
      </c>
      <c r="D1289" s="123" t="s">
        <v>52</v>
      </c>
      <c r="E1289" s="64" t="s">
        <v>47</v>
      </c>
      <c r="F1289" s="55" t="s">
        <v>19</v>
      </c>
      <c r="G1289" s="55">
        <v>1</v>
      </c>
      <c r="H1289" s="55"/>
      <c r="I1289" s="55"/>
      <c r="J1289" s="55"/>
      <c r="K1289" s="57"/>
      <c r="L1289" s="55"/>
    </row>
    <row r="1290" spans="1:12">
      <c r="A1290" s="53">
        <v>46087</v>
      </c>
      <c r="B1290" s="54">
        <f>Table13[[#This Row],[Date]]</f>
        <v>46087</v>
      </c>
      <c r="C1290" s="55" t="s">
        <v>23</v>
      </c>
      <c r="D1290" s="123" t="s">
        <v>52</v>
      </c>
      <c r="E1290" s="64" t="s">
        <v>53</v>
      </c>
      <c r="F1290" s="55" t="s">
        <v>19</v>
      </c>
      <c r="G1290" s="55">
        <v>1</v>
      </c>
      <c r="H1290" s="55"/>
      <c r="I1290" s="55"/>
      <c r="J1290" s="55"/>
      <c r="K1290" s="57"/>
      <c r="L1290" s="55"/>
    </row>
    <row r="1291" spans="1:12">
      <c r="A1291" s="53">
        <v>46087</v>
      </c>
      <c r="B1291" s="54">
        <f>Table13[[#This Row],[Date]]</f>
        <v>46087</v>
      </c>
      <c r="C1291" s="55" t="s">
        <v>23</v>
      </c>
      <c r="D1291" s="91" t="s">
        <v>54</v>
      </c>
      <c r="E1291" s="64" t="s">
        <v>18</v>
      </c>
      <c r="F1291" s="55" t="s">
        <v>19</v>
      </c>
      <c r="G1291" s="55">
        <v>1</v>
      </c>
      <c r="H1291" s="55"/>
      <c r="I1291" s="55"/>
      <c r="J1291" s="55"/>
      <c r="K1291" s="57"/>
      <c r="L1291" s="55"/>
    </row>
    <row r="1292" spans="1:12">
      <c r="A1292" s="53">
        <v>46087</v>
      </c>
      <c r="B1292" s="54">
        <f>Table13[[#This Row],[Date]]</f>
        <v>46087</v>
      </c>
      <c r="C1292" s="55" t="s">
        <v>23</v>
      </c>
      <c r="D1292" s="91" t="s">
        <v>54</v>
      </c>
      <c r="E1292" s="64" t="s">
        <v>21</v>
      </c>
      <c r="F1292" s="55" t="s">
        <v>19</v>
      </c>
      <c r="G1292" s="55">
        <v>1</v>
      </c>
      <c r="H1292" s="55"/>
      <c r="I1292" s="55"/>
      <c r="J1292" s="55"/>
      <c r="K1292" s="57"/>
      <c r="L1292" s="55"/>
    </row>
    <row r="1293" spans="1:12">
      <c r="A1293" s="53">
        <v>46087</v>
      </c>
      <c r="B1293" s="54">
        <f>Table13[[#This Row],[Date]]</f>
        <v>46087</v>
      </c>
      <c r="C1293" s="55" t="s">
        <v>26</v>
      </c>
      <c r="D1293" s="61" t="s">
        <v>48</v>
      </c>
      <c r="E1293" s="64" t="s">
        <v>18</v>
      </c>
      <c r="F1293" s="55" t="s">
        <v>19</v>
      </c>
      <c r="G1293" s="55">
        <v>1</v>
      </c>
      <c r="H1293" s="55"/>
      <c r="I1293" s="55"/>
      <c r="J1293" s="55"/>
      <c r="K1293" s="57"/>
      <c r="L1293" s="55"/>
    </row>
    <row r="1294" spans="1:12">
      <c r="A1294" s="53">
        <v>46087</v>
      </c>
      <c r="B1294" s="54">
        <f>Table13[[#This Row],[Date]]</f>
        <v>46087</v>
      </c>
      <c r="C1294" s="55" t="s">
        <v>26</v>
      </c>
      <c r="D1294" s="61" t="s">
        <v>48</v>
      </c>
      <c r="E1294" s="64" t="s">
        <v>21</v>
      </c>
      <c r="F1294" s="55" t="s">
        <v>19</v>
      </c>
      <c r="G1294" s="55">
        <v>1</v>
      </c>
      <c r="H1294" s="55"/>
      <c r="I1294" s="55"/>
      <c r="J1294" s="55"/>
      <c r="K1294" s="57"/>
      <c r="L1294" s="55"/>
    </row>
    <row r="1295" spans="1:12">
      <c r="A1295" s="53">
        <v>46087</v>
      </c>
      <c r="B1295" s="54">
        <f>Table13[[#This Row],[Date]]</f>
        <v>46087</v>
      </c>
      <c r="C1295" s="55" t="s">
        <v>26</v>
      </c>
      <c r="D1295" s="61" t="s">
        <v>48</v>
      </c>
      <c r="E1295" s="64" t="s">
        <v>49</v>
      </c>
      <c r="F1295" s="55" t="s">
        <v>19</v>
      </c>
      <c r="G1295" s="55">
        <v>1</v>
      </c>
      <c r="H1295" s="55"/>
      <c r="I1295" s="55"/>
      <c r="J1295" s="55"/>
      <c r="K1295" s="57"/>
      <c r="L1295" s="55"/>
    </row>
    <row r="1296" spans="1:12">
      <c r="A1296" s="53">
        <v>46087</v>
      </c>
      <c r="B1296" s="54">
        <f>Table13[[#This Row],[Date]]</f>
        <v>46087</v>
      </c>
      <c r="C1296" s="55" t="s">
        <v>26</v>
      </c>
      <c r="D1296" s="61" t="s">
        <v>48</v>
      </c>
      <c r="E1296" s="64" t="s">
        <v>41</v>
      </c>
      <c r="F1296" s="55" t="s">
        <v>19</v>
      </c>
      <c r="G1296" s="55">
        <v>1</v>
      </c>
      <c r="H1296" s="55"/>
      <c r="I1296" s="55"/>
      <c r="J1296" s="55"/>
      <c r="K1296" s="57"/>
      <c r="L1296" s="55"/>
    </row>
    <row r="1297" spans="1:12">
      <c r="A1297" s="16">
        <v>46088</v>
      </c>
      <c r="B1297" s="18">
        <f>Table13[[#This Row],[Date]]</f>
        <v>46088</v>
      </c>
      <c r="C1297" s="10" t="s">
        <v>14</v>
      </c>
      <c r="D1297" s="9" t="s">
        <v>57</v>
      </c>
      <c r="E1297" s="55" t="s">
        <v>18</v>
      </c>
      <c r="F1297" s="55" t="s">
        <v>19</v>
      </c>
      <c r="G1297" s="55">
        <v>1</v>
      </c>
      <c r="H1297" s="1"/>
      <c r="I1297" s="1"/>
      <c r="J1297" s="1"/>
      <c r="K1297" s="3"/>
      <c r="L1297" s="1"/>
    </row>
    <row r="1298" spans="1:12" ht="28.9">
      <c r="A1298" s="16">
        <v>46089</v>
      </c>
      <c r="B1298" s="18">
        <f>Table13[[#This Row],[Date]]</f>
        <v>46089</v>
      </c>
      <c r="C1298" s="10" t="s">
        <v>16</v>
      </c>
      <c r="D1298" s="9" t="s">
        <v>62</v>
      </c>
      <c r="E1298" s="10" t="s">
        <v>18</v>
      </c>
      <c r="F1298" s="10" t="s">
        <v>19</v>
      </c>
      <c r="G1298" s="10">
        <v>1</v>
      </c>
      <c r="H1298" s="10"/>
      <c r="I1298" s="10"/>
      <c r="J1298" s="10"/>
      <c r="K1298" s="13"/>
      <c r="L1298" s="10"/>
    </row>
    <row r="1299" spans="1:12">
      <c r="A1299" s="16">
        <v>46089</v>
      </c>
      <c r="B1299" s="18">
        <f>Table13[[#This Row],[Date]]</f>
        <v>46089</v>
      </c>
      <c r="C1299" s="10" t="s">
        <v>16</v>
      </c>
      <c r="D1299" s="9" t="s">
        <v>63</v>
      </c>
      <c r="E1299" s="10" t="s">
        <v>18</v>
      </c>
      <c r="F1299" s="10" t="s">
        <v>19</v>
      </c>
      <c r="G1299" s="10">
        <v>1</v>
      </c>
      <c r="H1299" s="10"/>
      <c r="I1299" s="10"/>
      <c r="J1299" s="10"/>
      <c r="K1299" s="13"/>
      <c r="L1299" s="10"/>
    </row>
    <row r="1300" spans="1:12">
      <c r="A1300" s="15">
        <v>46090</v>
      </c>
      <c r="B1300" s="17">
        <f>Table13[[#This Row],[Date]]</f>
        <v>46090</v>
      </c>
      <c r="C1300" s="1" t="s">
        <v>14</v>
      </c>
      <c r="D1300" s="152" t="s">
        <v>66</v>
      </c>
      <c r="E1300" s="150" t="s">
        <v>18</v>
      </c>
      <c r="F1300" s="1" t="s">
        <v>19</v>
      </c>
      <c r="G1300" s="1">
        <v>1</v>
      </c>
      <c r="H1300" s="1"/>
      <c r="I1300" s="1"/>
      <c r="J1300" s="1"/>
      <c r="K1300" s="3"/>
      <c r="L1300" s="1"/>
    </row>
    <row r="1301" spans="1:12">
      <c r="A1301" s="53">
        <v>46090</v>
      </c>
      <c r="B1301" s="54">
        <f>Table13[[#This Row],[Date]]</f>
        <v>46090</v>
      </c>
      <c r="C1301" s="55" t="s">
        <v>23</v>
      </c>
      <c r="D1301" s="69" t="s">
        <v>68</v>
      </c>
      <c r="E1301" s="65" t="s">
        <v>18</v>
      </c>
      <c r="F1301" s="55" t="s">
        <v>19</v>
      </c>
      <c r="G1301" s="55">
        <v>1</v>
      </c>
      <c r="H1301" s="55"/>
      <c r="I1301" s="55"/>
      <c r="J1301" s="55"/>
      <c r="K1301" s="57"/>
      <c r="L1301" s="55"/>
    </row>
    <row r="1302" spans="1:12">
      <c r="A1302" s="53">
        <v>46090</v>
      </c>
      <c r="B1302" s="54">
        <f>Table13[[#This Row],[Date]]</f>
        <v>46090</v>
      </c>
      <c r="C1302" s="55" t="s">
        <v>23</v>
      </c>
      <c r="D1302" s="59" t="s">
        <v>68</v>
      </c>
      <c r="E1302" s="64" t="s">
        <v>21</v>
      </c>
      <c r="F1302" s="55" t="s">
        <v>19</v>
      </c>
      <c r="G1302" s="55">
        <v>1</v>
      </c>
      <c r="H1302" s="55"/>
      <c r="I1302" s="55"/>
      <c r="J1302" s="55"/>
      <c r="K1302" s="57"/>
      <c r="L1302" s="55"/>
    </row>
    <row r="1303" spans="1:12">
      <c r="A1303" s="53">
        <v>46090</v>
      </c>
      <c r="B1303" s="54">
        <f>Table13[[#This Row],[Date]]</f>
        <v>46090</v>
      </c>
      <c r="C1303" s="55" t="s">
        <v>23</v>
      </c>
      <c r="D1303" s="59" t="s">
        <v>68</v>
      </c>
      <c r="E1303" s="64" t="s">
        <v>49</v>
      </c>
      <c r="F1303" s="55" t="s">
        <v>19</v>
      </c>
      <c r="G1303" s="55">
        <v>1</v>
      </c>
      <c r="H1303" s="55"/>
      <c r="I1303" s="55"/>
      <c r="J1303" s="55"/>
      <c r="K1303" s="57"/>
      <c r="L1303" s="55"/>
    </row>
    <row r="1304" spans="1:12">
      <c r="A1304" s="53">
        <v>46090</v>
      </c>
      <c r="B1304" s="54">
        <f>Table13[[#This Row],[Date]]</f>
        <v>46090</v>
      </c>
      <c r="C1304" s="55" t="s">
        <v>23</v>
      </c>
      <c r="D1304" s="59" t="s">
        <v>68</v>
      </c>
      <c r="E1304" s="64" t="s">
        <v>41</v>
      </c>
      <c r="F1304" s="55" t="s">
        <v>19</v>
      </c>
      <c r="G1304" s="55">
        <v>1</v>
      </c>
      <c r="H1304" s="55"/>
      <c r="I1304" s="55"/>
      <c r="J1304" s="55"/>
      <c r="K1304" s="57"/>
      <c r="L1304" s="55"/>
    </row>
    <row r="1305" spans="1:12">
      <c r="A1305" s="53">
        <v>46090</v>
      </c>
      <c r="B1305" s="54">
        <f>Table13[[#This Row],[Date]]</f>
        <v>46090</v>
      </c>
      <c r="C1305" s="55" t="s">
        <v>26</v>
      </c>
      <c r="D1305" s="61" t="s">
        <v>69</v>
      </c>
      <c r="E1305" s="64" t="s">
        <v>18</v>
      </c>
      <c r="F1305" s="55" t="s">
        <v>19</v>
      </c>
      <c r="G1305" s="55">
        <v>1</v>
      </c>
      <c r="H1305" s="55"/>
      <c r="I1305" s="55"/>
      <c r="J1305" s="55"/>
      <c r="K1305" s="57"/>
      <c r="L1305" s="55"/>
    </row>
    <row r="1306" spans="1:12">
      <c r="A1306" s="53">
        <v>46090</v>
      </c>
      <c r="B1306" s="54">
        <f>Table13[[#This Row],[Date]]</f>
        <v>46090</v>
      </c>
      <c r="C1306" s="55" t="s">
        <v>26</v>
      </c>
      <c r="D1306" s="61" t="s">
        <v>69</v>
      </c>
      <c r="E1306" s="64" t="s">
        <v>21</v>
      </c>
      <c r="F1306" s="55" t="s">
        <v>19</v>
      </c>
      <c r="G1306" s="55">
        <v>1</v>
      </c>
      <c r="H1306" s="55"/>
      <c r="I1306" s="55"/>
      <c r="J1306" s="55"/>
      <c r="K1306" s="57"/>
      <c r="L1306" s="55"/>
    </row>
    <row r="1307" spans="1:12">
      <c r="A1307" s="53">
        <v>46090</v>
      </c>
      <c r="B1307" s="54">
        <f>Table13[[#This Row],[Date]]</f>
        <v>46090</v>
      </c>
      <c r="C1307" s="55" t="s">
        <v>26</v>
      </c>
      <c r="D1307" s="61" t="s">
        <v>69</v>
      </c>
      <c r="E1307" s="64" t="s">
        <v>49</v>
      </c>
      <c r="F1307" s="55" t="s">
        <v>19</v>
      </c>
      <c r="G1307" s="55">
        <v>1</v>
      </c>
      <c r="H1307" s="55"/>
      <c r="I1307" s="55"/>
      <c r="J1307" s="55"/>
      <c r="K1307" s="57"/>
      <c r="L1307" s="55"/>
    </row>
    <row r="1308" spans="1:12">
      <c r="A1308" s="53">
        <v>46090</v>
      </c>
      <c r="B1308" s="54">
        <f>Table13[[#This Row],[Date]]</f>
        <v>46090</v>
      </c>
      <c r="C1308" s="55" t="s">
        <v>26</v>
      </c>
      <c r="D1308" s="61" t="s">
        <v>69</v>
      </c>
      <c r="E1308" s="64" t="s">
        <v>41</v>
      </c>
      <c r="F1308" s="55" t="s">
        <v>19</v>
      </c>
      <c r="G1308" s="55">
        <v>1</v>
      </c>
      <c r="H1308" s="55"/>
      <c r="I1308" s="55"/>
      <c r="J1308" s="55"/>
      <c r="K1308" s="57"/>
      <c r="L1308" s="55"/>
    </row>
    <row r="1309" spans="1:12">
      <c r="A1309" s="53">
        <v>46091</v>
      </c>
      <c r="B1309" s="54">
        <f>Table13[[#This Row],[Date]]</f>
        <v>46091</v>
      </c>
      <c r="C1309" s="55" t="s">
        <v>14</v>
      </c>
      <c r="D1309" s="59" t="s">
        <v>104</v>
      </c>
      <c r="E1309" s="55" t="s">
        <v>59</v>
      </c>
      <c r="F1309" s="55" t="s">
        <v>60</v>
      </c>
      <c r="G1309" s="55">
        <v>1</v>
      </c>
      <c r="H1309" s="55"/>
      <c r="I1309" s="55"/>
      <c r="J1309" s="55"/>
      <c r="K1309" s="57"/>
      <c r="L1309" s="55"/>
    </row>
    <row r="1310" spans="1:12">
      <c r="A1310" s="53">
        <v>46091</v>
      </c>
      <c r="B1310" s="54">
        <f>Table13[[#This Row],[Date]]</f>
        <v>46091</v>
      </c>
      <c r="C1310" s="55" t="s">
        <v>14</v>
      </c>
      <c r="D1310" s="59" t="s">
        <v>104</v>
      </c>
      <c r="E1310" s="55" t="s">
        <v>61</v>
      </c>
      <c r="F1310" s="55" t="s">
        <v>60</v>
      </c>
      <c r="G1310" s="55">
        <v>1</v>
      </c>
      <c r="H1310" s="55"/>
      <c r="I1310" s="55"/>
      <c r="J1310" s="55"/>
      <c r="K1310" s="57"/>
      <c r="L1310" s="55"/>
    </row>
    <row r="1311" spans="1:12">
      <c r="A1311" s="53">
        <v>46091</v>
      </c>
      <c r="B1311" s="54">
        <f>Table13[[#This Row],[Date]]</f>
        <v>46091</v>
      </c>
      <c r="C1311" s="55" t="s">
        <v>26</v>
      </c>
      <c r="D1311" s="61" t="s">
        <v>55</v>
      </c>
      <c r="E1311" s="64" t="s">
        <v>18</v>
      </c>
      <c r="F1311" s="55" t="s">
        <v>19</v>
      </c>
      <c r="G1311" s="55">
        <v>1</v>
      </c>
      <c r="H1311" s="55"/>
      <c r="I1311" s="55"/>
      <c r="J1311" s="55"/>
      <c r="K1311" s="57"/>
      <c r="L1311" s="55"/>
    </row>
    <row r="1312" spans="1:12">
      <c r="A1312" s="53">
        <v>46091</v>
      </c>
      <c r="B1312" s="54">
        <f>Table13[[#This Row],[Date]]</f>
        <v>46091</v>
      </c>
      <c r="C1312" s="55" t="s">
        <v>26</v>
      </c>
      <c r="D1312" s="61" t="s">
        <v>55</v>
      </c>
      <c r="E1312" s="64" t="s">
        <v>21</v>
      </c>
      <c r="F1312" s="55" t="s">
        <v>19</v>
      </c>
      <c r="G1312" s="55">
        <v>1</v>
      </c>
      <c r="H1312" s="55"/>
      <c r="I1312" s="55"/>
      <c r="J1312" s="55"/>
      <c r="K1312" s="57"/>
      <c r="L1312" s="55"/>
    </row>
    <row r="1313" spans="1:12">
      <c r="A1313" s="48">
        <v>46091</v>
      </c>
      <c r="B1313" s="49">
        <f>Table13[[#This Row],[Date]]</f>
        <v>46091</v>
      </c>
      <c r="C1313" s="50" t="s">
        <v>4</v>
      </c>
      <c r="D1313" s="51" t="s">
        <v>32</v>
      </c>
      <c r="E1313" s="50"/>
      <c r="F1313" s="50"/>
      <c r="G1313" s="50"/>
      <c r="H1313" s="50"/>
      <c r="I1313" s="50"/>
      <c r="J1313" s="50"/>
      <c r="K1313" s="52"/>
      <c r="L1313" s="50"/>
    </row>
    <row r="1314" spans="1:12">
      <c r="A1314" s="53">
        <v>46092</v>
      </c>
      <c r="B1314" s="54">
        <f>Table13[[#This Row],[Date]]</f>
        <v>46092</v>
      </c>
      <c r="C1314" s="55" t="s">
        <v>23</v>
      </c>
      <c r="D1314" s="59" t="s">
        <v>68</v>
      </c>
      <c r="E1314" s="55" t="s">
        <v>47</v>
      </c>
      <c r="F1314" s="55" t="s">
        <v>19</v>
      </c>
      <c r="G1314" s="55">
        <v>1</v>
      </c>
      <c r="H1314" s="55"/>
      <c r="I1314" s="55"/>
      <c r="J1314" s="55"/>
      <c r="K1314" s="57"/>
      <c r="L1314" s="55"/>
    </row>
    <row r="1315" spans="1:12">
      <c r="A1315" s="53">
        <v>46092</v>
      </c>
      <c r="B1315" s="54">
        <f>Table13[[#This Row],[Date]]</f>
        <v>46092</v>
      </c>
      <c r="C1315" s="55" t="s">
        <v>26</v>
      </c>
      <c r="D1315" s="61" t="s">
        <v>70</v>
      </c>
      <c r="E1315" s="64" t="s">
        <v>18</v>
      </c>
      <c r="F1315" s="55" t="s">
        <v>19</v>
      </c>
      <c r="G1315" s="55">
        <v>1</v>
      </c>
      <c r="H1315" s="55"/>
      <c r="I1315" s="55"/>
      <c r="J1315" s="55"/>
      <c r="K1315" s="57"/>
      <c r="L1315" s="55"/>
    </row>
    <row r="1316" spans="1:12">
      <c r="A1316" s="53">
        <v>46092</v>
      </c>
      <c r="B1316" s="54">
        <f>Table13[[#This Row],[Date]]</f>
        <v>46092</v>
      </c>
      <c r="C1316" s="55" t="s">
        <v>26</v>
      </c>
      <c r="D1316" s="61" t="s">
        <v>70</v>
      </c>
      <c r="E1316" s="64" t="s">
        <v>21</v>
      </c>
      <c r="F1316" s="55" t="s">
        <v>19</v>
      </c>
      <c r="G1316" s="55">
        <v>1</v>
      </c>
      <c r="H1316" s="55"/>
      <c r="I1316" s="55"/>
      <c r="J1316" s="55"/>
      <c r="K1316" s="57"/>
      <c r="L1316" s="55"/>
    </row>
    <row r="1317" spans="1:12">
      <c r="A1317" s="53">
        <v>46092</v>
      </c>
      <c r="B1317" s="54">
        <f>Table13[[#This Row],[Date]]</f>
        <v>46092</v>
      </c>
      <c r="C1317" s="55" t="s">
        <v>26</v>
      </c>
      <c r="D1317" s="61" t="s">
        <v>70</v>
      </c>
      <c r="E1317" s="64" t="s">
        <v>49</v>
      </c>
      <c r="F1317" s="55" t="s">
        <v>19</v>
      </c>
      <c r="G1317" s="55">
        <v>1</v>
      </c>
      <c r="H1317" s="55"/>
      <c r="I1317" s="55"/>
      <c r="J1317" s="55"/>
      <c r="K1317" s="57"/>
      <c r="L1317" s="55"/>
    </row>
    <row r="1318" spans="1:12">
      <c r="A1318" s="53">
        <v>46092</v>
      </c>
      <c r="B1318" s="54">
        <f>Table13[[#This Row],[Date]]</f>
        <v>46092</v>
      </c>
      <c r="C1318" s="55" t="s">
        <v>26</v>
      </c>
      <c r="D1318" s="61" t="s">
        <v>70</v>
      </c>
      <c r="E1318" s="64" t="s">
        <v>41</v>
      </c>
      <c r="F1318" s="55" t="s">
        <v>19</v>
      </c>
      <c r="G1318" s="55">
        <v>1</v>
      </c>
      <c r="H1318" s="55"/>
      <c r="I1318" s="55"/>
      <c r="J1318" s="55"/>
      <c r="K1318" s="57"/>
      <c r="L1318" s="55"/>
    </row>
    <row r="1319" spans="1:12">
      <c r="A1319" s="53">
        <v>46093</v>
      </c>
      <c r="B1319" s="54">
        <f>Table13[[#This Row],[Date]]</f>
        <v>46093</v>
      </c>
      <c r="C1319" s="55" t="s">
        <v>26</v>
      </c>
      <c r="D1319" s="61" t="s">
        <v>75</v>
      </c>
      <c r="E1319" s="55" t="s">
        <v>18</v>
      </c>
      <c r="F1319" s="55" t="s">
        <v>19</v>
      </c>
      <c r="G1319" s="55">
        <v>1</v>
      </c>
      <c r="H1319" s="55"/>
      <c r="I1319" s="55"/>
      <c r="J1319" s="55"/>
      <c r="K1319" s="57"/>
      <c r="L1319" s="55"/>
    </row>
    <row r="1320" spans="1:12">
      <c r="A1320" s="53">
        <v>46093</v>
      </c>
      <c r="B1320" s="54">
        <f>Table13[[#This Row],[Date]]</f>
        <v>46093</v>
      </c>
      <c r="C1320" s="55" t="s">
        <v>26</v>
      </c>
      <c r="D1320" s="61" t="s">
        <v>75</v>
      </c>
      <c r="E1320" s="55" t="s">
        <v>21</v>
      </c>
      <c r="F1320" s="55" t="s">
        <v>19</v>
      </c>
      <c r="G1320" s="55">
        <v>1</v>
      </c>
      <c r="H1320" s="55"/>
      <c r="I1320" s="55"/>
      <c r="J1320" s="55"/>
      <c r="K1320" s="57"/>
      <c r="L1320" s="55"/>
    </row>
    <row r="1321" spans="1:12">
      <c r="A1321" s="53">
        <v>46093</v>
      </c>
      <c r="B1321" s="54">
        <f>Table13[[#This Row],[Date]]</f>
        <v>46093</v>
      </c>
      <c r="C1321" s="55" t="s">
        <v>26</v>
      </c>
      <c r="D1321" s="61" t="s">
        <v>75</v>
      </c>
      <c r="E1321" s="55" t="s">
        <v>28</v>
      </c>
      <c r="F1321" s="55" t="s">
        <v>19</v>
      </c>
      <c r="G1321" s="55">
        <v>1</v>
      </c>
      <c r="H1321" s="55"/>
      <c r="I1321" s="55"/>
      <c r="J1321" s="55"/>
      <c r="K1321" s="57"/>
      <c r="L1321" s="55"/>
    </row>
    <row r="1322" spans="1:12">
      <c r="A1322" s="53">
        <v>46094</v>
      </c>
      <c r="B1322" s="54">
        <f>Table13[[#This Row],[Date]]</f>
        <v>46094</v>
      </c>
      <c r="C1322" s="55" t="s">
        <v>23</v>
      </c>
      <c r="D1322" s="59" t="s">
        <v>81</v>
      </c>
      <c r="E1322" s="55" t="s">
        <v>18</v>
      </c>
      <c r="F1322" s="55" t="s">
        <v>19</v>
      </c>
      <c r="G1322" s="55">
        <v>1</v>
      </c>
      <c r="H1322" s="55"/>
      <c r="I1322" s="55"/>
      <c r="J1322" s="55"/>
      <c r="K1322" s="57"/>
      <c r="L1322" s="55"/>
    </row>
    <row r="1323" spans="1:12">
      <c r="A1323" s="53">
        <v>46094</v>
      </c>
      <c r="B1323" s="54">
        <f>Table13[[#This Row],[Date]]</f>
        <v>46094</v>
      </c>
      <c r="C1323" s="55" t="s">
        <v>23</v>
      </c>
      <c r="D1323" s="59" t="s">
        <v>82</v>
      </c>
      <c r="E1323" s="55" t="s">
        <v>18</v>
      </c>
      <c r="F1323" s="55" t="s">
        <v>19</v>
      </c>
      <c r="G1323" s="55">
        <v>1</v>
      </c>
      <c r="H1323" s="55"/>
      <c r="I1323" s="55"/>
      <c r="J1323" s="55"/>
      <c r="K1323" s="57"/>
      <c r="L1323" s="55"/>
    </row>
    <row r="1324" spans="1:12">
      <c r="A1324" s="53">
        <v>46094</v>
      </c>
      <c r="B1324" s="54">
        <f>Table13[[#This Row],[Date]]</f>
        <v>46094</v>
      </c>
      <c r="C1324" s="55" t="s">
        <v>23</v>
      </c>
      <c r="D1324" s="61" t="s">
        <v>83</v>
      </c>
      <c r="E1324" s="55" t="s">
        <v>18</v>
      </c>
      <c r="F1324" s="55" t="s">
        <v>19</v>
      </c>
      <c r="G1324" s="55">
        <v>1</v>
      </c>
      <c r="H1324" s="55"/>
      <c r="I1324" s="55"/>
      <c r="J1324" s="55"/>
      <c r="K1324" s="57"/>
      <c r="L1324" s="55"/>
    </row>
    <row r="1325" spans="1:12">
      <c r="A1325" s="53">
        <v>46094</v>
      </c>
      <c r="B1325" s="54">
        <f>Table13[[#This Row],[Date]]</f>
        <v>46094</v>
      </c>
      <c r="C1325" s="55" t="s">
        <v>26</v>
      </c>
      <c r="D1325" s="61" t="s">
        <v>78</v>
      </c>
      <c r="E1325" s="55" t="s">
        <v>18</v>
      </c>
      <c r="F1325" s="55" t="s">
        <v>19</v>
      </c>
      <c r="G1325" s="55">
        <v>1</v>
      </c>
      <c r="H1325" s="55"/>
      <c r="I1325" s="55"/>
      <c r="J1325" s="55"/>
      <c r="K1325" s="57"/>
      <c r="L1325" s="55"/>
    </row>
    <row r="1326" spans="1:12">
      <c r="A1326" s="53">
        <v>46094</v>
      </c>
      <c r="B1326" s="54">
        <f>Table13[[#This Row],[Date]]</f>
        <v>46094</v>
      </c>
      <c r="C1326" s="55" t="s">
        <v>26</v>
      </c>
      <c r="D1326" s="61" t="s">
        <v>78</v>
      </c>
      <c r="E1326" s="55" t="s">
        <v>21</v>
      </c>
      <c r="F1326" s="55" t="s">
        <v>19</v>
      </c>
      <c r="G1326" s="55">
        <v>1</v>
      </c>
      <c r="H1326" s="55"/>
      <c r="I1326" s="55"/>
      <c r="J1326" s="55"/>
      <c r="K1326" s="57"/>
      <c r="L1326" s="55"/>
    </row>
    <row r="1327" spans="1:12">
      <c r="A1327" s="53">
        <v>46094</v>
      </c>
      <c r="B1327" s="54">
        <f>Table13[[#This Row],[Date]]</f>
        <v>46094</v>
      </c>
      <c r="C1327" s="55" t="s">
        <v>26</v>
      </c>
      <c r="D1327" s="61" t="s">
        <v>78</v>
      </c>
      <c r="E1327" s="55" t="s">
        <v>28</v>
      </c>
      <c r="F1327" s="55" t="s">
        <v>19</v>
      </c>
      <c r="G1327" s="55">
        <v>1</v>
      </c>
      <c r="H1327" s="55"/>
      <c r="I1327" s="55"/>
      <c r="J1327" s="55"/>
      <c r="K1327" s="57"/>
      <c r="L1327" s="55"/>
    </row>
    <row r="1328" spans="1:12">
      <c r="A1328" s="16">
        <v>46095</v>
      </c>
      <c r="B1328" s="18">
        <f>Table13[[#This Row],[Date]]</f>
        <v>46095</v>
      </c>
      <c r="C1328" s="10" t="s">
        <v>23</v>
      </c>
      <c r="D1328" s="9" t="s">
        <v>86</v>
      </c>
      <c r="E1328" s="10" t="s">
        <v>18</v>
      </c>
      <c r="F1328" s="10" t="s">
        <v>19</v>
      </c>
      <c r="G1328" s="10">
        <v>1</v>
      </c>
      <c r="H1328" s="10"/>
      <c r="I1328" s="10"/>
      <c r="J1328" s="10"/>
      <c r="K1328" s="13"/>
      <c r="L1328" s="10"/>
    </row>
    <row r="1329" spans="1:12">
      <c r="A1329" s="16">
        <v>46095</v>
      </c>
      <c r="B1329" s="18">
        <f>Table13[[#This Row],[Date]]</f>
        <v>46095</v>
      </c>
      <c r="C1329" s="10" t="s">
        <v>23</v>
      </c>
      <c r="D1329" s="9" t="s">
        <v>86</v>
      </c>
      <c r="E1329" s="10" t="s">
        <v>21</v>
      </c>
      <c r="F1329" s="10" t="s">
        <v>19</v>
      </c>
      <c r="G1329" s="10">
        <v>1</v>
      </c>
      <c r="H1329" s="10"/>
      <c r="I1329" s="10"/>
      <c r="J1329" s="10"/>
      <c r="K1329" s="13"/>
      <c r="L1329" s="10"/>
    </row>
    <row r="1330" spans="1:12">
      <c r="A1330" s="16">
        <v>46095</v>
      </c>
      <c r="B1330" s="18">
        <f>Table13[[#This Row],[Date]]</f>
        <v>46095</v>
      </c>
      <c r="C1330" s="10" t="s">
        <v>23</v>
      </c>
      <c r="D1330" s="9" t="s">
        <v>86</v>
      </c>
      <c r="E1330" s="10" t="s">
        <v>49</v>
      </c>
      <c r="F1330" s="10" t="s">
        <v>19</v>
      </c>
      <c r="G1330" s="10">
        <v>1</v>
      </c>
      <c r="H1330" s="10"/>
      <c r="I1330" s="10"/>
      <c r="J1330" s="10"/>
      <c r="K1330" s="13"/>
      <c r="L1330" s="10"/>
    </row>
    <row r="1331" spans="1:12">
      <c r="A1331" s="53">
        <v>46097</v>
      </c>
      <c r="B1331" s="54">
        <f>Table13[[#This Row],[Date]]</f>
        <v>46097</v>
      </c>
      <c r="C1331" s="55" t="s">
        <v>14</v>
      </c>
      <c r="D1331" s="61" t="s">
        <v>181</v>
      </c>
      <c r="E1331" s="55" t="s">
        <v>18</v>
      </c>
      <c r="F1331" s="55" t="s">
        <v>19</v>
      </c>
      <c r="G1331" s="55">
        <v>1</v>
      </c>
      <c r="H1331" s="55"/>
      <c r="I1331" s="55"/>
      <c r="J1331" s="55"/>
      <c r="K1331" s="57"/>
      <c r="L1331" s="55"/>
    </row>
    <row r="1332" spans="1:12">
      <c r="A1332" s="53">
        <v>46097</v>
      </c>
      <c r="B1332" s="54">
        <f>Table13[[#This Row],[Date]]</f>
        <v>46097</v>
      </c>
      <c r="C1332" s="55" t="s">
        <v>14</v>
      </c>
      <c r="D1332" s="59" t="s">
        <v>96</v>
      </c>
      <c r="E1332" s="55" t="s">
        <v>18</v>
      </c>
      <c r="F1332" s="55" t="s">
        <v>19</v>
      </c>
      <c r="G1332" s="55">
        <v>1</v>
      </c>
      <c r="H1332" s="55"/>
      <c r="I1332" s="55"/>
      <c r="J1332" s="55"/>
      <c r="K1332" s="57"/>
      <c r="L1332" s="55"/>
    </row>
    <row r="1333" spans="1:12">
      <c r="A1333" s="53">
        <v>46097</v>
      </c>
      <c r="B1333" s="54">
        <f>Table13[[#This Row],[Date]]</f>
        <v>46097</v>
      </c>
      <c r="C1333" s="55" t="s">
        <v>14</v>
      </c>
      <c r="D1333" s="59" t="s">
        <v>97</v>
      </c>
      <c r="E1333" s="55" t="s">
        <v>18</v>
      </c>
      <c r="F1333" s="55" t="s">
        <v>19</v>
      </c>
      <c r="G1333" s="55">
        <v>1</v>
      </c>
      <c r="H1333" s="55"/>
      <c r="I1333" s="55"/>
      <c r="J1333" s="55"/>
      <c r="K1333" s="57"/>
      <c r="L1333" s="55"/>
    </row>
    <row r="1334" spans="1:12">
      <c r="A1334" s="53">
        <v>46097</v>
      </c>
      <c r="B1334" s="54">
        <f>Table13[[#This Row],[Date]]</f>
        <v>46097</v>
      </c>
      <c r="C1334" s="55" t="s">
        <v>14</v>
      </c>
      <c r="D1334" s="122" t="s">
        <v>100</v>
      </c>
      <c r="E1334" s="55" t="s">
        <v>18</v>
      </c>
      <c r="F1334" s="55" t="s">
        <v>19</v>
      </c>
      <c r="G1334" s="55">
        <v>1</v>
      </c>
      <c r="H1334" s="55"/>
      <c r="I1334" s="55"/>
      <c r="J1334" s="55"/>
      <c r="K1334" s="57"/>
      <c r="L1334" s="55"/>
    </row>
    <row r="1335" spans="1:12">
      <c r="A1335" s="53">
        <v>46097</v>
      </c>
      <c r="B1335" s="54">
        <f>Table13[[#This Row],[Date]]</f>
        <v>46097</v>
      </c>
      <c r="C1335" s="55" t="s">
        <v>16</v>
      </c>
      <c r="D1335" s="59" t="s">
        <v>101</v>
      </c>
      <c r="E1335" s="64" t="s">
        <v>18</v>
      </c>
      <c r="F1335" s="55" t="s">
        <v>19</v>
      </c>
      <c r="G1335" s="55">
        <v>1</v>
      </c>
      <c r="H1335" s="55"/>
      <c r="I1335" s="55"/>
      <c r="J1335" s="55"/>
      <c r="K1335" s="57"/>
      <c r="L1335" s="55"/>
    </row>
    <row r="1336" spans="1:12">
      <c r="A1336" s="53">
        <v>46097</v>
      </c>
      <c r="B1336" s="54">
        <f>Table13[[#This Row],[Date]]</f>
        <v>46097</v>
      </c>
      <c r="C1336" s="55" t="s">
        <v>16</v>
      </c>
      <c r="D1336" s="59" t="s">
        <v>101</v>
      </c>
      <c r="E1336" s="64" t="s">
        <v>21</v>
      </c>
      <c r="F1336" s="55" t="s">
        <v>19</v>
      </c>
      <c r="G1336" s="55">
        <v>1</v>
      </c>
      <c r="H1336" s="55"/>
      <c r="I1336" s="55"/>
      <c r="J1336" s="55"/>
      <c r="K1336" s="57"/>
      <c r="L1336" s="55"/>
    </row>
    <row r="1337" spans="1:12">
      <c r="A1337" s="53">
        <v>46097</v>
      </c>
      <c r="B1337" s="54">
        <f>Table13[[#This Row],[Date]]</f>
        <v>46097</v>
      </c>
      <c r="C1337" s="55" t="s">
        <v>16</v>
      </c>
      <c r="D1337" s="59" t="s">
        <v>101</v>
      </c>
      <c r="E1337" s="55" t="s">
        <v>47</v>
      </c>
      <c r="F1337" s="55" t="s">
        <v>19</v>
      </c>
      <c r="G1337" s="55">
        <v>1</v>
      </c>
      <c r="H1337" s="55"/>
      <c r="I1337" s="55"/>
      <c r="J1337" s="55"/>
      <c r="K1337" s="57"/>
      <c r="L1337" s="55"/>
    </row>
    <row r="1338" spans="1:12">
      <c r="A1338" s="103">
        <v>46097</v>
      </c>
      <c r="B1338" s="104">
        <f>Table13[[#This Row],[Date]]</f>
        <v>46097</v>
      </c>
      <c r="C1338" s="105" t="s">
        <v>26</v>
      </c>
      <c r="D1338" s="106" t="s">
        <v>85</v>
      </c>
      <c r="E1338" s="133" t="s">
        <v>18</v>
      </c>
      <c r="F1338" s="105" t="s">
        <v>19</v>
      </c>
      <c r="G1338" s="105">
        <v>1</v>
      </c>
      <c r="H1338" s="105"/>
      <c r="I1338" s="105"/>
      <c r="J1338" s="105"/>
      <c r="K1338" s="108"/>
      <c r="L1338" s="105"/>
    </row>
    <row r="1339" spans="1:12">
      <c r="A1339" s="103">
        <v>46097</v>
      </c>
      <c r="B1339" s="104">
        <f>Table13[[#This Row],[Date]]</f>
        <v>46097</v>
      </c>
      <c r="C1339" s="105" t="s">
        <v>26</v>
      </c>
      <c r="D1339" s="106" t="s">
        <v>85</v>
      </c>
      <c r="E1339" s="133" t="s">
        <v>21</v>
      </c>
      <c r="F1339" s="105" t="s">
        <v>19</v>
      </c>
      <c r="G1339" s="105">
        <v>1</v>
      </c>
      <c r="H1339" s="105"/>
      <c r="I1339" s="105"/>
      <c r="J1339" s="105"/>
      <c r="K1339" s="108"/>
      <c r="L1339" s="105"/>
    </row>
    <row r="1340" spans="1:12">
      <c r="A1340" s="53">
        <v>46098</v>
      </c>
      <c r="B1340" s="54">
        <f>Table13[[#This Row],[Date]]</f>
        <v>46098</v>
      </c>
      <c r="C1340" s="55" t="s">
        <v>14</v>
      </c>
      <c r="D1340" s="59" t="s">
        <v>104</v>
      </c>
      <c r="E1340" s="55" t="s">
        <v>72</v>
      </c>
      <c r="F1340" s="55" t="s">
        <v>60</v>
      </c>
      <c r="G1340" s="55">
        <v>1</v>
      </c>
      <c r="H1340" s="55"/>
      <c r="I1340" s="55"/>
      <c r="J1340" s="55"/>
      <c r="K1340" s="57"/>
      <c r="L1340" s="55"/>
    </row>
    <row r="1341" spans="1:12">
      <c r="A1341" s="53">
        <v>46098</v>
      </c>
      <c r="B1341" s="54">
        <f>Table13[[#This Row],[Date]]</f>
        <v>46098</v>
      </c>
      <c r="C1341" s="55" t="s">
        <v>14</v>
      </c>
      <c r="D1341" s="59" t="s">
        <v>104</v>
      </c>
      <c r="E1341" s="55" t="s">
        <v>76</v>
      </c>
      <c r="F1341" s="55" t="s">
        <v>60</v>
      </c>
      <c r="G1341" s="55">
        <v>1</v>
      </c>
      <c r="H1341" s="55"/>
      <c r="I1341" s="55"/>
      <c r="J1341" s="55"/>
      <c r="K1341" s="57"/>
      <c r="L1341" s="55"/>
    </row>
    <row r="1342" spans="1:12">
      <c r="A1342" s="48">
        <v>46098</v>
      </c>
      <c r="B1342" s="49">
        <f>Table13[[#This Row],[Date]]</f>
        <v>46098</v>
      </c>
      <c r="C1342" s="50" t="s">
        <v>4</v>
      </c>
      <c r="D1342" s="51" t="s">
        <v>32</v>
      </c>
      <c r="E1342" s="50"/>
      <c r="F1342" s="50"/>
      <c r="G1342" s="50"/>
      <c r="H1342" s="50"/>
      <c r="I1342" s="50"/>
      <c r="J1342" s="50"/>
      <c r="K1342" s="52"/>
      <c r="L1342" s="50"/>
    </row>
    <row r="1343" spans="1:12">
      <c r="A1343" s="53">
        <v>46099</v>
      </c>
      <c r="B1343" s="54">
        <f>Table13[[#This Row],[Date]]</f>
        <v>46099</v>
      </c>
      <c r="C1343" s="55" t="s">
        <v>16</v>
      </c>
      <c r="D1343" s="59" t="s">
        <v>105</v>
      </c>
      <c r="E1343" s="77" t="s">
        <v>18</v>
      </c>
      <c r="F1343" s="55" t="s">
        <v>19</v>
      </c>
      <c r="G1343" s="55">
        <v>1</v>
      </c>
      <c r="H1343" s="55"/>
      <c r="I1343" s="55"/>
      <c r="J1343" s="55"/>
      <c r="K1343" s="57"/>
      <c r="L1343" s="55"/>
    </row>
    <row r="1344" spans="1:12">
      <c r="A1344" s="53">
        <v>46099</v>
      </c>
      <c r="B1344" s="54">
        <f>Table13[[#This Row],[Date]]</f>
        <v>46099</v>
      </c>
      <c r="C1344" s="55" t="s">
        <v>16</v>
      </c>
      <c r="D1344" s="59" t="s">
        <v>105</v>
      </c>
      <c r="E1344" s="77" t="s">
        <v>21</v>
      </c>
      <c r="F1344" s="55" t="s">
        <v>19</v>
      </c>
      <c r="G1344" s="55">
        <v>1</v>
      </c>
      <c r="H1344" s="55"/>
      <c r="I1344" s="55"/>
      <c r="J1344" s="55"/>
      <c r="K1344" s="57"/>
      <c r="L1344" s="55"/>
    </row>
    <row r="1345" spans="1:12">
      <c r="A1345" s="53">
        <v>46099</v>
      </c>
      <c r="B1345" s="54">
        <f>Table13[[#This Row],[Date]]</f>
        <v>46099</v>
      </c>
      <c r="C1345" s="55" t="s">
        <v>16</v>
      </c>
      <c r="D1345" s="59" t="s">
        <v>105</v>
      </c>
      <c r="E1345" s="77" t="s">
        <v>49</v>
      </c>
      <c r="F1345" s="55" t="s">
        <v>19</v>
      </c>
      <c r="G1345" s="55">
        <v>1</v>
      </c>
      <c r="H1345" s="55"/>
      <c r="I1345" s="55"/>
      <c r="J1345" s="55"/>
      <c r="K1345" s="57"/>
      <c r="L1345" s="55"/>
    </row>
    <row r="1346" spans="1:12">
      <c r="A1346" s="53">
        <v>46099</v>
      </c>
      <c r="B1346" s="54">
        <f>Table13[[#This Row],[Date]]</f>
        <v>46099</v>
      </c>
      <c r="C1346" s="55" t="s">
        <v>23</v>
      </c>
      <c r="D1346" s="61" t="s">
        <v>106</v>
      </c>
      <c r="E1346" s="64" t="s">
        <v>28</v>
      </c>
      <c r="F1346" s="55" t="s">
        <v>19</v>
      </c>
      <c r="G1346" s="55">
        <v>1</v>
      </c>
      <c r="H1346" s="55"/>
      <c r="I1346" s="55"/>
      <c r="J1346" s="55"/>
      <c r="K1346" s="57"/>
      <c r="L1346" s="55"/>
    </row>
    <row r="1347" spans="1:12">
      <c r="A1347" s="53">
        <v>46099</v>
      </c>
      <c r="B1347" s="54">
        <f>Table13[[#This Row],[Date]]</f>
        <v>46099</v>
      </c>
      <c r="C1347" s="55" t="s">
        <v>23</v>
      </c>
      <c r="D1347" s="61" t="s">
        <v>106</v>
      </c>
      <c r="E1347" s="55" t="s">
        <v>107</v>
      </c>
      <c r="F1347" s="55" t="s">
        <v>19</v>
      </c>
      <c r="G1347" s="55">
        <v>1</v>
      </c>
      <c r="H1347" s="55"/>
      <c r="I1347" s="55"/>
      <c r="J1347" s="55"/>
      <c r="K1347" s="57"/>
      <c r="L1347" s="55"/>
    </row>
    <row r="1348" spans="1:12">
      <c r="A1348" s="53">
        <v>46099</v>
      </c>
      <c r="B1348" s="54">
        <f>Table13[[#This Row],[Date]]</f>
        <v>46099</v>
      </c>
      <c r="C1348" s="55" t="s">
        <v>23</v>
      </c>
      <c r="D1348" s="61" t="s">
        <v>106</v>
      </c>
      <c r="E1348" s="64" t="s">
        <v>41</v>
      </c>
      <c r="F1348" s="55" t="s">
        <v>19</v>
      </c>
      <c r="G1348" s="55">
        <v>1</v>
      </c>
      <c r="H1348" s="55"/>
      <c r="I1348" s="55"/>
      <c r="J1348" s="55"/>
      <c r="K1348" s="57"/>
      <c r="L1348" s="55"/>
    </row>
    <row r="1349" spans="1:12">
      <c r="A1349" s="53">
        <v>46099</v>
      </c>
      <c r="B1349" s="54">
        <f>Table13[[#This Row],[Date]]</f>
        <v>46099</v>
      </c>
      <c r="C1349" s="55" t="s">
        <v>26</v>
      </c>
      <c r="D1349" s="61" t="s">
        <v>102</v>
      </c>
      <c r="E1349" s="64" t="s">
        <v>18</v>
      </c>
      <c r="F1349" s="55" t="s">
        <v>19</v>
      </c>
      <c r="G1349" s="55">
        <v>1</v>
      </c>
      <c r="H1349" s="55"/>
      <c r="I1349" s="55"/>
      <c r="J1349" s="55"/>
      <c r="K1349" s="57"/>
      <c r="L1349" s="55"/>
    </row>
    <row r="1350" spans="1:12">
      <c r="A1350" s="53">
        <v>46099</v>
      </c>
      <c r="B1350" s="54">
        <f>Table13[[#This Row],[Date]]</f>
        <v>46099</v>
      </c>
      <c r="C1350" s="55" t="s">
        <v>26</v>
      </c>
      <c r="D1350" s="61" t="s">
        <v>103</v>
      </c>
      <c r="E1350" s="55" t="s">
        <v>18</v>
      </c>
      <c r="F1350" s="55" t="s">
        <v>19</v>
      </c>
      <c r="G1350" s="55">
        <v>1</v>
      </c>
      <c r="H1350" s="55"/>
      <c r="I1350" s="55"/>
      <c r="J1350" s="55"/>
      <c r="K1350" s="57"/>
      <c r="L1350" s="55"/>
    </row>
    <row r="1351" spans="1:12">
      <c r="A1351" s="53">
        <v>46099</v>
      </c>
      <c r="B1351" s="54">
        <f>Table13[[#This Row],[Date]]</f>
        <v>46099</v>
      </c>
      <c r="C1351" s="55" t="s">
        <v>26</v>
      </c>
      <c r="D1351" s="61" t="s">
        <v>103</v>
      </c>
      <c r="E1351" s="55" t="s">
        <v>21</v>
      </c>
      <c r="F1351" s="55" t="s">
        <v>19</v>
      </c>
      <c r="G1351" s="55">
        <v>1</v>
      </c>
      <c r="H1351" s="55"/>
      <c r="I1351" s="55"/>
      <c r="J1351" s="55"/>
      <c r="K1351" s="57"/>
      <c r="L1351" s="55"/>
    </row>
    <row r="1352" spans="1:12">
      <c r="A1352" s="103">
        <v>46099</v>
      </c>
      <c r="B1352" s="104">
        <f>Table13[[#This Row],[Date]]</f>
        <v>46099</v>
      </c>
      <c r="C1352" s="105" t="s">
        <v>26</v>
      </c>
      <c r="D1352" s="106" t="s">
        <v>84</v>
      </c>
      <c r="E1352" s="105" t="s">
        <v>47</v>
      </c>
      <c r="F1352" s="105" t="s">
        <v>19</v>
      </c>
      <c r="G1352" s="105">
        <v>1</v>
      </c>
      <c r="H1352" s="105"/>
      <c r="I1352" s="105"/>
      <c r="J1352" s="105"/>
      <c r="K1352" s="108"/>
      <c r="L1352" s="105"/>
    </row>
    <row r="1353" spans="1:12">
      <c r="A1353" s="53">
        <v>46100</v>
      </c>
      <c r="B1353" s="54">
        <f>Table13[[#This Row],[Date]]</f>
        <v>46100</v>
      </c>
      <c r="C1353" s="55" t="s">
        <v>16</v>
      </c>
      <c r="D1353" s="59" t="s">
        <v>105</v>
      </c>
      <c r="E1353" s="77" t="s">
        <v>47</v>
      </c>
      <c r="F1353" s="55" t="s">
        <v>19</v>
      </c>
      <c r="G1353" s="55">
        <v>1</v>
      </c>
      <c r="H1353" s="55"/>
      <c r="I1353" s="55"/>
      <c r="J1353" s="55"/>
      <c r="K1353" s="57"/>
      <c r="L1353" s="55"/>
    </row>
    <row r="1354" spans="1:12">
      <c r="A1354" s="53">
        <v>46100</v>
      </c>
      <c r="B1354" s="54">
        <f>Table13[[#This Row],[Date]]</f>
        <v>46100</v>
      </c>
      <c r="C1354" s="55" t="s">
        <v>16</v>
      </c>
      <c r="D1354" s="59" t="s">
        <v>105</v>
      </c>
      <c r="E1354" s="77" t="s">
        <v>53</v>
      </c>
      <c r="F1354" s="55" t="s">
        <v>19</v>
      </c>
      <c r="G1354" s="55">
        <v>1</v>
      </c>
      <c r="H1354" s="55"/>
      <c r="I1354" s="55"/>
      <c r="J1354" s="55"/>
      <c r="K1354" s="57"/>
      <c r="L1354" s="55"/>
    </row>
    <row r="1355" spans="1:12">
      <c r="A1355" s="53">
        <v>46100</v>
      </c>
      <c r="B1355" s="54">
        <f>Table13[[#This Row],[Date]]</f>
        <v>46100</v>
      </c>
      <c r="C1355" s="55" t="s">
        <v>16</v>
      </c>
      <c r="D1355" s="59" t="s">
        <v>105</v>
      </c>
      <c r="E1355" s="77" t="s">
        <v>41</v>
      </c>
      <c r="F1355" s="55" t="s">
        <v>19</v>
      </c>
      <c r="G1355" s="55">
        <v>1</v>
      </c>
      <c r="H1355" s="55"/>
      <c r="I1355" s="55"/>
      <c r="J1355" s="55"/>
      <c r="K1355" s="57"/>
      <c r="L1355" s="55"/>
    </row>
    <row r="1356" spans="1:12">
      <c r="A1356" s="53">
        <v>46100</v>
      </c>
      <c r="B1356" s="54">
        <f>Table13[[#This Row],[Date]]</f>
        <v>46100</v>
      </c>
      <c r="C1356" s="55" t="s">
        <v>23</v>
      </c>
      <c r="D1356" s="59" t="s">
        <v>106</v>
      </c>
      <c r="E1356" s="64" t="s">
        <v>18</v>
      </c>
      <c r="F1356" s="55" t="s">
        <v>19</v>
      </c>
      <c r="G1356" s="55">
        <v>1</v>
      </c>
      <c r="H1356" s="55"/>
      <c r="I1356" s="55"/>
      <c r="J1356" s="55"/>
      <c r="K1356" s="57"/>
      <c r="L1356" s="55"/>
    </row>
    <row r="1357" spans="1:12">
      <c r="A1357" s="53">
        <v>46100</v>
      </c>
      <c r="B1357" s="54">
        <f>Table13[[#This Row],[Date]]</f>
        <v>46100</v>
      </c>
      <c r="C1357" s="55" t="s">
        <v>23</v>
      </c>
      <c r="D1357" s="59" t="s">
        <v>106</v>
      </c>
      <c r="E1357" s="64" t="s">
        <v>21</v>
      </c>
      <c r="F1357" s="55" t="s">
        <v>19</v>
      </c>
      <c r="G1357" s="55">
        <v>1</v>
      </c>
      <c r="H1357" s="55"/>
      <c r="I1357" s="55"/>
      <c r="J1357" s="55"/>
      <c r="K1357" s="57"/>
      <c r="L1357" s="55"/>
    </row>
    <row r="1358" spans="1:12">
      <c r="A1358" s="53">
        <v>46100</v>
      </c>
      <c r="B1358" s="54">
        <f>Table13[[#This Row],[Date]]</f>
        <v>46100</v>
      </c>
      <c r="C1358" s="55" t="s">
        <v>23</v>
      </c>
      <c r="D1358" s="59" t="s">
        <v>106</v>
      </c>
      <c r="E1358" s="64" t="s">
        <v>49</v>
      </c>
      <c r="F1358" s="55" t="s">
        <v>19</v>
      </c>
      <c r="G1358" s="55">
        <v>1</v>
      </c>
      <c r="H1358" s="55"/>
      <c r="I1358" s="55"/>
      <c r="J1358" s="55"/>
      <c r="K1358" s="57"/>
      <c r="L1358" s="55"/>
    </row>
    <row r="1359" spans="1:12">
      <c r="A1359" s="96">
        <v>46100</v>
      </c>
      <c r="B1359" s="37">
        <f>Table13[[#This Row],[Date]]</f>
        <v>46100</v>
      </c>
      <c r="C1359" s="38" t="s">
        <v>26</v>
      </c>
      <c r="D1359" s="40" t="s">
        <v>108</v>
      </c>
      <c r="E1359" s="38" t="s">
        <v>28</v>
      </c>
      <c r="F1359" s="38" t="s">
        <v>19</v>
      </c>
      <c r="G1359" s="38">
        <v>1</v>
      </c>
      <c r="H1359" s="38"/>
      <c r="I1359" s="38"/>
      <c r="J1359" s="38"/>
      <c r="K1359" s="97"/>
      <c r="L1359" s="38"/>
    </row>
    <row r="1360" spans="1:12">
      <c r="A1360" s="96">
        <v>46100</v>
      </c>
      <c r="B1360" s="37">
        <f>Table13[[#This Row],[Date]]</f>
        <v>46100</v>
      </c>
      <c r="C1360" s="38" t="s">
        <v>26</v>
      </c>
      <c r="D1360" s="40" t="s">
        <v>108</v>
      </c>
      <c r="E1360" s="38" t="s">
        <v>107</v>
      </c>
      <c r="F1360" s="38" t="s">
        <v>19</v>
      </c>
      <c r="G1360" s="38">
        <v>1</v>
      </c>
      <c r="H1360" s="38"/>
      <c r="I1360" s="38"/>
      <c r="J1360" s="38"/>
      <c r="K1360" s="97"/>
      <c r="L1360" s="38"/>
    </row>
    <row r="1361" spans="1:12">
      <c r="A1361" s="96">
        <v>46100</v>
      </c>
      <c r="B1361" s="37">
        <f>Table13[[#This Row],[Date]]</f>
        <v>46100</v>
      </c>
      <c r="C1361" s="38" t="s">
        <v>26</v>
      </c>
      <c r="D1361" s="40" t="s">
        <v>108</v>
      </c>
      <c r="E1361" s="38" t="s">
        <v>35</v>
      </c>
      <c r="F1361" s="38" t="s">
        <v>19</v>
      </c>
      <c r="G1361" s="38">
        <v>1</v>
      </c>
      <c r="H1361" s="38"/>
      <c r="I1361" s="38"/>
      <c r="J1361" s="38"/>
      <c r="K1361" s="97"/>
      <c r="L1361" s="38"/>
    </row>
    <row r="1362" spans="1:12">
      <c r="A1362" s="96">
        <v>46100</v>
      </c>
      <c r="B1362" s="37">
        <f>Table13[[#This Row],[Date]]</f>
        <v>46100</v>
      </c>
      <c r="C1362" s="38" t="s">
        <v>26</v>
      </c>
      <c r="D1362" s="40" t="s">
        <v>108</v>
      </c>
      <c r="E1362" s="38" t="s">
        <v>109</v>
      </c>
      <c r="F1362" s="38" t="s">
        <v>19</v>
      </c>
      <c r="G1362" s="38">
        <v>1</v>
      </c>
      <c r="H1362" s="38"/>
      <c r="I1362" s="38"/>
      <c r="J1362" s="38"/>
      <c r="K1362" s="97"/>
      <c r="L1362" s="38"/>
    </row>
    <row r="1363" spans="1:12">
      <c r="A1363" s="53">
        <v>46101</v>
      </c>
      <c r="B1363" s="54">
        <f>Table13[[#This Row],[Date]]</f>
        <v>46101</v>
      </c>
      <c r="C1363" s="55" t="s">
        <v>23</v>
      </c>
      <c r="D1363" s="59" t="s">
        <v>114</v>
      </c>
      <c r="E1363" s="55" t="s">
        <v>18</v>
      </c>
      <c r="F1363" s="55" t="s">
        <v>19</v>
      </c>
      <c r="G1363" s="55">
        <v>1</v>
      </c>
      <c r="H1363" s="55"/>
      <c r="I1363" s="55"/>
      <c r="J1363" s="55"/>
      <c r="K1363" s="57"/>
      <c r="L1363" s="55"/>
    </row>
    <row r="1364" spans="1:12">
      <c r="A1364" s="53">
        <v>46101</v>
      </c>
      <c r="B1364" s="54">
        <f>Table13[[#This Row],[Date]]</f>
        <v>46101</v>
      </c>
      <c r="C1364" s="55" t="s">
        <v>23</v>
      </c>
      <c r="D1364" s="59" t="s">
        <v>114</v>
      </c>
      <c r="E1364" s="55" t="s">
        <v>21</v>
      </c>
      <c r="F1364" s="55" t="s">
        <v>19</v>
      </c>
      <c r="G1364" s="55">
        <v>1</v>
      </c>
      <c r="H1364" s="55"/>
      <c r="I1364" s="55"/>
      <c r="J1364" s="55"/>
      <c r="K1364" s="57"/>
      <c r="L1364" s="55"/>
    </row>
    <row r="1365" spans="1:12">
      <c r="A1365" s="53">
        <v>46101</v>
      </c>
      <c r="B1365" s="54">
        <f>Table13[[#This Row],[Date]]</f>
        <v>46101</v>
      </c>
      <c r="C1365" s="55" t="s">
        <v>26</v>
      </c>
      <c r="D1365" s="59" t="s">
        <v>110</v>
      </c>
      <c r="E1365" s="55" t="s">
        <v>18</v>
      </c>
      <c r="F1365" s="55" t="s">
        <v>19</v>
      </c>
      <c r="G1365" s="55">
        <v>1</v>
      </c>
      <c r="H1365" s="55"/>
      <c r="I1365" s="55"/>
      <c r="J1365" s="55"/>
      <c r="K1365" s="57"/>
      <c r="L1365" s="55"/>
    </row>
    <row r="1366" spans="1:12">
      <c r="A1366" s="53">
        <v>46101</v>
      </c>
      <c r="B1366" s="54">
        <f>Table13[[#This Row],[Date]]</f>
        <v>46101</v>
      </c>
      <c r="C1366" s="55" t="s">
        <v>26</v>
      </c>
      <c r="D1366" s="59" t="s">
        <v>110</v>
      </c>
      <c r="E1366" s="55" t="s">
        <v>21</v>
      </c>
      <c r="F1366" s="55" t="s">
        <v>19</v>
      </c>
      <c r="G1366" s="55">
        <v>1</v>
      </c>
      <c r="H1366" s="55"/>
      <c r="I1366" s="55"/>
      <c r="J1366" s="55"/>
      <c r="K1366" s="57"/>
      <c r="L1366" s="55"/>
    </row>
    <row r="1367" spans="1:12">
      <c r="A1367" s="16">
        <v>46102</v>
      </c>
      <c r="B1367" s="18">
        <f>Table13[[#This Row],[Date]]</f>
        <v>46102</v>
      </c>
      <c r="C1367" s="10" t="s">
        <v>4</v>
      </c>
      <c r="D1367" s="12" t="s">
        <v>116</v>
      </c>
      <c r="E1367" s="10" t="s">
        <v>18</v>
      </c>
      <c r="F1367" s="10" t="s">
        <v>99</v>
      </c>
      <c r="G1367" s="10">
        <v>1</v>
      </c>
      <c r="H1367" s="10"/>
      <c r="I1367" s="10"/>
      <c r="J1367" s="10"/>
      <c r="K1367" s="13"/>
      <c r="L1367" s="10"/>
    </row>
    <row r="1368" spans="1:12">
      <c r="A1368" s="103">
        <v>46104</v>
      </c>
      <c r="B1368" s="104">
        <f>Table13[[#This Row],[Date]]</f>
        <v>46104</v>
      </c>
      <c r="C1368" s="105" t="s">
        <v>16</v>
      </c>
      <c r="D1368" s="109" t="s">
        <v>119</v>
      </c>
      <c r="E1368" s="105" t="s">
        <v>47</v>
      </c>
      <c r="F1368" s="105" t="s">
        <v>19</v>
      </c>
      <c r="G1368" s="105">
        <v>1</v>
      </c>
      <c r="H1368" s="105"/>
      <c r="I1368" s="105"/>
      <c r="J1368" s="105"/>
      <c r="K1368" s="108"/>
      <c r="L1368" s="105"/>
    </row>
    <row r="1369" spans="1:12">
      <c r="A1369" s="53">
        <v>46104</v>
      </c>
      <c r="B1369" s="54">
        <f>Table13[[#This Row],[Date]]</f>
        <v>46104</v>
      </c>
      <c r="C1369" s="55" t="s">
        <v>23</v>
      </c>
      <c r="D1369" s="59" t="s">
        <v>206</v>
      </c>
      <c r="E1369" s="55" t="s">
        <v>21</v>
      </c>
      <c r="F1369" s="55" t="s">
        <v>19</v>
      </c>
      <c r="G1369" s="55">
        <v>1</v>
      </c>
      <c r="H1369" s="55"/>
      <c r="I1369" s="55"/>
      <c r="J1369" s="55"/>
      <c r="K1369" s="57"/>
      <c r="L1369" s="55"/>
    </row>
    <row r="1370" spans="1:12">
      <c r="A1370" s="53">
        <v>46104</v>
      </c>
      <c r="B1370" s="54">
        <f>Table13[[#This Row],[Date]]</f>
        <v>46104</v>
      </c>
      <c r="C1370" s="55" t="s">
        <v>23</v>
      </c>
      <c r="D1370" s="132" t="s">
        <v>122</v>
      </c>
      <c r="E1370" s="55" t="s">
        <v>18</v>
      </c>
      <c r="F1370" s="55" t="s">
        <v>19</v>
      </c>
      <c r="G1370" s="55">
        <v>1</v>
      </c>
      <c r="H1370" s="55"/>
      <c r="I1370" s="55"/>
      <c r="J1370" s="55"/>
      <c r="K1370" s="57"/>
      <c r="L1370" s="55"/>
    </row>
    <row r="1371" spans="1:12">
      <c r="A1371" s="53">
        <v>46104</v>
      </c>
      <c r="B1371" s="54">
        <f>Table13[[#This Row],[Date]]</f>
        <v>46104</v>
      </c>
      <c r="C1371" s="55" t="s">
        <v>26</v>
      </c>
      <c r="D1371" s="61" t="s">
        <v>123</v>
      </c>
      <c r="E1371" s="55" t="s">
        <v>18</v>
      </c>
      <c r="F1371" s="55" t="s">
        <v>19</v>
      </c>
      <c r="G1371" s="55">
        <v>1</v>
      </c>
      <c r="H1371" s="55"/>
      <c r="I1371" s="55"/>
      <c r="J1371" s="55"/>
      <c r="K1371" s="57"/>
      <c r="L1371" s="55"/>
    </row>
    <row r="1372" spans="1:12">
      <c r="A1372" s="53">
        <v>46104</v>
      </c>
      <c r="B1372" s="54">
        <f>Table13[[#This Row],[Date]]</f>
        <v>46104</v>
      </c>
      <c r="C1372" s="55" t="s">
        <v>26</v>
      </c>
      <c r="D1372" s="61" t="s">
        <v>123</v>
      </c>
      <c r="E1372" s="55" t="s">
        <v>21</v>
      </c>
      <c r="F1372" s="55" t="s">
        <v>19</v>
      </c>
      <c r="G1372" s="55">
        <v>1</v>
      </c>
      <c r="H1372" s="55"/>
      <c r="I1372" s="55"/>
      <c r="J1372" s="55"/>
      <c r="K1372" s="57"/>
      <c r="L1372" s="55"/>
    </row>
    <row r="1373" spans="1:12">
      <c r="A1373" s="53">
        <v>46104</v>
      </c>
      <c r="B1373" s="54">
        <f>Table13[[#This Row],[Date]]</f>
        <v>46104</v>
      </c>
      <c r="C1373" s="55" t="s">
        <v>26</v>
      </c>
      <c r="D1373" s="61" t="s">
        <v>123</v>
      </c>
      <c r="E1373" s="55" t="s">
        <v>47</v>
      </c>
      <c r="F1373" s="55" t="s">
        <v>19</v>
      </c>
      <c r="G1373" s="55">
        <v>1</v>
      </c>
      <c r="H1373" s="55"/>
      <c r="I1373" s="55"/>
      <c r="J1373" s="55"/>
      <c r="K1373" s="57"/>
      <c r="L1373" s="55"/>
    </row>
    <row r="1374" spans="1:12">
      <c r="A1374" s="103">
        <v>46104</v>
      </c>
      <c r="B1374" s="104">
        <f>Table13[[#This Row],[Date]]</f>
        <v>46104</v>
      </c>
      <c r="C1374" s="105" t="s">
        <v>26</v>
      </c>
      <c r="D1374" s="106" t="s">
        <v>115</v>
      </c>
      <c r="E1374" s="107" t="s">
        <v>18</v>
      </c>
      <c r="F1374" s="105" t="s">
        <v>19</v>
      </c>
      <c r="G1374" s="105">
        <v>1</v>
      </c>
      <c r="H1374" s="105"/>
      <c r="I1374" s="105"/>
      <c r="J1374" s="105"/>
      <c r="K1374" s="108"/>
      <c r="L1374" s="105"/>
    </row>
    <row r="1375" spans="1:12">
      <c r="A1375" s="53">
        <v>46105</v>
      </c>
      <c r="B1375" s="54">
        <f>Table13[[#This Row],[Date]]</f>
        <v>46105</v>
      </c>
      <c r="C1375" s="55" t="s">
        <v>14</v>
      </c>
      <c r="D1375" s="59" t="s">
        <v>104</v>
      </c>
      <c r="E1375" s="55" t="s">
        <v>18</v>
      </c>
      <c r="F1375" s="55" t="s">
        <v>19</v>
      </c>
      <c r="G1375" s="55">
        <v>1</v>
      </c>
      <c r="H1375" s="55"/>
      <c r="I1375" s="55"/>
      <c r="J1375" s="55"/>
      <c r="K1375" s="57"/>
      <c r="L1375" s="55"/>
    </row>
    <row r="1376" spans="1:12">
      <c r="A1376" s="53">
        <v>46105</v>
      </c>
      <c r="B1376" s="54">
        <f>Table13[[#This Row],[Date]]</f>
        <v>46105</v>
      </c>
      <c r="C1376" s="55" t="s">
        <v>14</v>
      </c>
      <c r="D1376" s="59" t="s">
        <v>104</v>
      </c>
      <c r="E1376" s="55" t="s">
        <v>21</v>
      </c>
      <c r="F1376" s="55" t="s">
        <v>19</v>
      </c>
      <c r="G1376" s="55">
        <v>1</v>
      </c>
      <c r="H1376" s="55"/>
      <c r="I1376" s="55"/>
      <c r="J1376" s="55"/>
      <c r="K1376" s="57"/>
      <c r="L1376" s="55"/>
    </row>
    <row r="1377" spans="1:12">
      <c r="A1377" s="48">
        <v>46105</v>
      </c>
      <c r="B1377" s="49">
        <f>Table13[[#This Row],[Date]]</f>
        <v>46105</v>
      </c>
      <c r="C1377" s="50" t="s">
        <v>4</v>
      </c>
      <c r="D1377" s="51" t="s">
        <v>32</v>
      </c>
      <c r="E1377" s="50"/>
      <c r="F1377" s="50"/>
      <c r="G1377" s="50"/>
      <c r="H1377" s="50"/>
      <c r="I1377" s="50"/>
      <c r="J1377" s="50"/>
      <c r="K1377" s="52"/>
      <c r="L1377" s="50"/>
    </row>
    <row r="1378" spans="1:12">
      <c r="A1378" s="15">
        <v>46106</v>
      </c>
      <c r="B1378" s="54">
        <f>Table13[[#This Row],[Date]]</f>
        <v>46106</v>
      </c>
      <c r="C1378" s="55" t="s">
        <v>14</v>
      </c>
      <c r="D1378" s="59" t="s">
        <v>124</v>
      </c>
      <c r="E1378" s="55" t="s">
        <v>18</v>
      </c>
      <c r="F1378" s="55" t="s">
        <v>19</v>
      </c>
      <c r="G1378" s="55">
        <v>1</v>
      </c>
      <c r="H1378" s="55"/>
      <c r="I1378" s="55"/>
      <c r="J1378" s="55"/>
      <c r="K1378" s="57"/>
      <c r="L1378" s="55"/>
    </row>
    <row r="1379" spans="1:12">
      <c r="A1379" s="53">
        <v>46106</v>
      </c>
      <c r="B1379" s="54">
        <f>Table13[[#This Row],[Date]]</f>
        <v>46106</v>
      </c>
      <c r="C1379" s="55" t="s">
        <v>16</v>
      </c>
      <c r="D1379" s="59" t="s">
        <v>119</v>
      </c>
      <c r="E1379" s="55" t="s">
        <v>18</v>
      </c>
      <c r="F1379" s="55" t="s">
        <v>19</v>
      </c>
      <c r="G1379" s="55">
        <v>1</v>
      </c>
      <c r="H1379" s="55"/>
      <c r="I1379" s="55"/>
      <c r="J1379" s="55"/>
      <c r="K1379" s="57"/>
      <c r="L1379" s="55"/>
    </row>
    <row r="1380" spans="1:12">
      <c r="A1380" s="53">
        <v>46106</v>
      </c>
      <c r="B1380" s="54">
        <f>Table13[[#This Row],[Date]]</f>
        <v>46106</v>
      </c>
      <c r="C1380" s="55" t="s">
        <v>16</v>
      </c>
      <c r="D1380" s="82" t="s">
        <v>119</v>
      </c>
      <c r="E1380" s="55" t="s">
        <v>21</v>
      </c>
      <c r="F1380" s="55" t="s">
        <v>19</v>
      </c>
      <c r="G1380" s="55">
        <v>1</v>
      </c>
      <c r="H1380" s="55"/>
      <c r="I1380" s="55"/>
      <c r="J1380" s="55"/>
      <c r="K1380" s="57"/>
      <c r="L1380" s="55"/>
    </row>
    <row r="1381" spans="1:12">
      <c r="A1381" s="53">
        <v>46106</v>
      </c>
      <c r="B1381" s="54">
        <f>Table13[[#This Row],[Date]]</f>
        <v>46106</v>
      </c>
      <c r="C1381" s="55" t="s">
        <v>23</v>
      </c>
      <c r="D1381" s="73" t="s">
        <v>125</v>
      </c>
      <c r="E1381" s="55" t="s">
        <v>18</v>
      </c>
      <c r="F1381" s="55" t="s">
        <v>19</v>
      </c>
      <c r="G1381" s="55">
        <v>1</v>
      </c>
      <c r="H1381" s="55"/>
      <c r="I1381" s="55"/>
      <c r="J1381" s="55"/>
      <c r="K1381" s="57"/>
      <c r="L1381" s="55"/>
    </row>
    <row r="1382" spans="1:12">
      <c r="A1382" s="53">
        <v>46106</v>
      </c>
      <c r="B1382" s="54">
        <f>Table13[[#This Row],[Date]]</f>
        <v>46106</v>
      </c>
      <c r="C1382" s="55" t="s">
        <v>23</v>
      </c>
      <c r="D1382" s="73" t="s">
        <v>127</v>
      </c>
      <c r="E1382" s="55" t="s">
        <v>18</v>
      </c>
      <c r="F1382" s="55" t="s">
        <v>19</v>
      </c>
      <c r="G1382" s="55">
        <v>1</v>
      </c>
      <c r="H1382" s="55"/>
      <c r="I1382" s="55"/>
      <c r="J1382" s="55"/>
      <c r="K1382" s="57"/>
      <c r="L1382" s="55"/>
    </row>
    <row r="1383" spans="1:12">
      <c r="A1383" s="53">
        <v>46106</v>
      </c>
      <c r="B1383" s="54">
        <f>Table13[[#This Row],[Date]]</f>
        <v>46106</v>
      </c>
      <c r="C1383" s="55" t="s">
        <v>26</v>
      </c>
      <c r="D1383" s="82" t="s">
        <v>128</v>
      </c>
      <c r="E1383" s="55" t="s">
        <v>21</v>
      </c>
      <c r="F1383" s="55" t="s">
        <v>19</v>
      </c>
      <c r="G1383" s="55">
        <v>1</v>
      </c>
      <c r="H1383" s="55"/>
      <c r="I1383" s="55"/>
      <c r="J1383" s="55"/>
      <c r="K1383" s="57"/>
      <c r="L1383" s="55"/>
    </row>
    <row r="1384" spans="1:12">
      <c r="A1384" s="103">
        <v>46106</v>
      </c>
      <c r="B1384" s="104">
        <f>Table13[[#This Row],[Date]]</f>
        <v>46106</v>
      </c>
      <c r="C1384" s="105" t="s">
        <v>26</v>
      </c>
      <c r="D1384" s="131" t="s">
        <v>129</v>
      </c>
      <c r="E1384" s="105"/>
      <c r="F1384" s="105"/>
      <c r="G1384" s="105">
        <v>1</v>
      </c>
      <c r="H1384" s="105"/>
      <c r="I1384" s="105"/>
      <c r="J1384" s="105"/>
      <c r="K1384" s="108"/>
      <c r="L1384" s="105"/>
    </row>
    <row r="1385" spans="1:12">
      <c r="A1385" s="53">
        <v>46107</v>
      </c>
      <c r="B1385" s="54">
        <f>Table13[[#This Row],[Date]]</f>
        <v>46107</v>
      </c>
      <c r="C1385" s="55" t="s">
        <v>14</v>
      </c>
      <c r="D1385" s="82" t="s">
        <v>130</v>
      </c>
      <c r="E1385" s="55" t="s">
        <v>18</v>
      </c>
      <c r="F1385" s="55" t="s">
        <v>19</v>
      </c>
      <c r="G1385" s="55">
        <v>1</v>
      </c>
      <c r="H1385" s="55"/>
      <c r="I1385" s="55"/>
      <c r="J1385" s="55"/>
      <c r="K1385" s="57"/>
      <c r="L1385" s="55"/>
    </row>
    <row r="1386" spans="1:12">
      <c r="A1386" s="53">
        <v>46107</v>
      </c>
      <c r="B1386" s="54">
        <f>Table13[[#This Row],[Date]]</f>
        <v>46107</v>
      </c>
      <c r="C1386" s="55" t="s">
        <v>14</v>
      </c>
      <c r="D1386" s="82" t="s">
        <v>131</v>
      </c>
      <c r="E1386" s="64" t="s">
        <v>18</v>
      </c>
      <c r="F1386" s="55" t="s">
        <v>19</v>
      </c>
      <c r="G1386" s="55">
        <v>1</v>
      </c>
      <c r="H1386" s="55"/>
      <c r="I1386" s="55"/>
      <c r="J1386" s="55"/>
      <c r="K1386" s="57"/>
      <c r="L1386" s="55"/>
    </row>
    <row r="1387" spans="1:12">
      <c r="A1387" s="53">
        <v>46107</v>
      </c>
      <c r="B1387" s="54">
        <f>Table13[[#This Row],[Date]]</f>
        <v>46107</v>
      </c>
      <c r="C1387" s="55" t="s">
        <v>14</v>
      </c>
      <c r="D1387" s="82" t="s">
        <v>132</v>
      </c>
      <c r="E1387" s="55" t="s">
        <v>18</v>
      </c>
      <c r="F1387" s="55" t="s">
        <v>19</v>
      </c>
      <c r="G1387" s="55">
        <v>1</v>
      </c>
      <c r="H1387" s="55"/>
      <c r="I1387" s="55"/>
      <c r="J1387" s="55"/>
      <c r="K1387" s="57"/>
      <c r="L1387" s="55"/>
    </row>
    <row r="1388" spans="1:12">
      <c r="A1388" s="53">
        <v>46107</v>
      </c>
      <c r="B1388" s="54">
        <f>Table13[[#This Row],[Date]]</f>
        <v>46107</v>
      </c>
      <c r="C1388" s="55" t="s">
        <v>16</v>
      </c>
      <c r="D1388" s="82" t="s">
        <v>133</v>
      </c>
      <c r="E1388" s="55" t="s">
        <v>21</v>
      </c>
      <c r="F1388" s="55" t="s">
        <v>19</v>
      </c>
      <c r="G1388" s="55">
        <v>1</v>
      </c>
      <c r="H1388" s="55"/>
      <c r="I1388" s="55"/>
      <c r="J1388" s="55"/>
      <c r="K1388" s="57"/>
      <c r="L1388" s="55"/>
    </row>
    <row r="1389" spans="1:12">
      <c r="A1389" s="53">
        <v>46107</v>
      </c>
      <c r="B1389" s="54">
        <f>Table13[[#This Row],[Date]]</f>
        <v>46107</v>
      </c>
      <c r="C1389" s="55" t="s">
        <v>16</v>
      </c>
      <c r="D1389" s="82" t="s">
        <v>134</v>
      </c>
      <c r="E1389" s="55" t="s">
        <v>18</v>
      </c>
      <c r="F1389" s="55" t="s">
        <v>19</v>
      </c>
      <c r="G1389" s="55">
        <v>1</v>
      </c>
      <c r="H1389" s="55"/>
      <c r="I1389" s="55"/>
      <c r="J1389" s="55"/>
      <c r="K1389" s="57"/>
      <c r="L1389" s="55"/>
    </row>
    <row r="1390" spans="1:12">
      <c r="A1390" s="53">
        <v>46107</v>
      </c>
      <c r="B1390" s="54">
        <f>Table13[[#This Row],[Date]]</f>
        <v>46107</v>
      </c>
      <c r="C1390" s="55" t="s">
        <v>16</v>
      </c>
      <c r="D1390" s="82" t="s">
        <v>135</v>
      </c>
      <c r="E1390" s="77" t="s">
        <v>47</v>
      </c>
      <c r="F1390" s="55" t="s">
        <v>19</v>
      </c>
      <c r="G1390" s="55">
        <v>1</v>
      </c>
      <c r="H1390" s="55"/>
      <c r="I1390" s="55"/>
      <c r="J1390" s="55"/>
      <c r="K1390" s="57"/>
      <c r="L1390" s="55"/>
    </row>
    <row r="1391" spans="1:12">
      <c r="A1391" s="53">
        <v>46107</v>
      </c>
      <c r="B1391" s="54">
        <f>Table13[[#This Row],[Date]]</f>
        <v>46107</v>
      </c>
      <c r="C1391" s="55" t="s">
        <v>16</v>
      </c>
      <c r="D1391" s="82" t="s">
        <v>135</v>
      </c>
      <c r="E1391" s="77" t="s">
        <v>53</v>
      </c>
      <c r="F1391" s="55" t="s">
        <v>19</v>
      </c>
      <c r="G1391" s="55">
        <v>1</v>
      </c>
      <c r="H1391" s="55"/>
      <c r="I1391" s="55"/>
      <c r="J1391" s="55"/>
      <c r="K1391" s="57"/>
      <c r="L1391" s="55"/>
    </row>
    <row r="1392" spans="1:12">
      <c r="A1392" s="53">
        <v>46108</v>
      </c>
      <c r="B1392" s="54">
        <f>Table13[[#This Row],[Date]]</f>
        <v>46108</v>
      </c>
      <c r="C1392" s="55" t="s">
        <v>16</v>
      </c>
      <c r="D1392" s="82" t="s">
        <v>136</v>
      </c>
      <c r="E1392" s="55" t="s">
        <v>18</v>
      </c>
      <c r="F1392" s="55" t="s">
        <v>19</v>
      </c>
      <c r="G1392" s="55">
        <v>1</v>
      </c>
      <c r="H1392" s="55"/>
      <c r="I1392" s="55"/>
      <c r="J1392" s="55"/>
      <c r="K1392" s="57"/>
      <c r="L1392" s="55"/>
    </row>
    <row r="1393" spans="1:12">
      <c r="A1393" s="53">
        <v>46108</v>
      </c>
      <c r="B1393" s="54">
        <f>Table13[[#This Row],[Date]]</f>
        <v>46108</v>
      </c>
      <c r="C1393" s="55" t="s">
        <v>16</v>
      </c>
      <c r="D1393" s="82" t="s">
        <v>137</v>
      </c>
      <c r="E1393" s="55" t="s">
        <v>18</v>
      </c>
      <c r="F1393" s="55" t="s">
        <v>19</v>
      </c>
      <c r="G1393" s="55">
        <v>1</v>
      </c>
      <c r="H1393" s="55"/>
      <c r="I1393" s="55"/>
      <c r="J1393" s="55"/>
      <c r="K1393" s="57"/>
      <c r="L1393" s="55"/>
    </row>
    <row r="1394" spans="1:12">
      <c r="A1394" s="53">
        <v>46108</v>
      </c>
      <c r="B1394" s="54">
        <f>Table13[[#This Row],[Date]]</f>
        <v>46108</v>
      </c>
      <c r="C1394" s="55" t="s">
        <v>16</v>
      </c>
      <c r="D1394" s="59" t="s">
        <v>138</v>
      </c>
      <c r="E1394" s="55" t="s">
        <v>18</v>
      </c>
      <c r="F1394" s="55" t="s">
        <v>19</v>
      </c>
      <c r="G1394" s="55">
        <v>1</v>
      </c>
      <c r="H1394" s="55"/>
      <c r="I1394" s="55"/>
      <c r="J1394" s="55"/>
      <c r="K1394" s="57"/>
      <c r="L1394" s="55"/>
    </row>
    <row r="1395" spans="1:12">
      <c r="A1395" s="53">
        <v>46108</v>
      </c>
      <c r="B1395" s="54">
        <f>Table13[[#This Row],[Date]]</f>
        <v>46108</v>
      </c>
      <c r="C1395" s="55" t="s">
        <v>23</v>
      </c>
      <c r="D1395" s="59" t="s">
        <v>139</v>
      </c>
      <c r="E1395" s="55" t="s">
        <v>18</v>
      </c>
      <c r="F1395" s="55" t="s">
        <v>19</v>
      </c>
      <c r="G1395" s="55">
        <v>1</v>
      </c>
      <c r="H1395" s="55"/>
      <c r="I1395" s="55"/>
      <c r="J1395" s="55"/>
      <c r="K1395" s="57"/>
      <c r="L1395" s="55"/>
    </row>
    <row r="1396" spans="1:12">
      <c r="A1396" s="53">
        <v>46108</v>
      </c>
      <c r="B1396" s="54">
        <f>Table13[[#This Row],[Date]]</f>
        <v>46108</v>
      </c>
      <c r="C1396" s="55" t="s">
        <v>23</v>
      </c>
      <c r="D1396" s="82" t="s">
        <v>140</v>
      </c>
      <c r="E1396" s="55" t="s">
        <v>18</v>
      </c>
      <c r="F1396" s="55" t="s">
        <v>19</v>
      </c>
      <c r="G1396" s="55">
        <v>1</v>
      </c>
      <c r="H1396" s="55"/>
      <c r="I1396" s="55"/>
      <c r="J1396" s="55"/>
      <c r="K1396" s="57"/>
      <c r="L1396" s="55"/>
    </row>
    <row r="1397" spans="1:12">
      <c r="A1397" s="53">
        <v>46108</v>
      </c>
      <c r="B1397" s="54">
        <f>Table13[[#This Row],[Date]]</f>
        <v>46108</v>
      </c>
      <c r="C1397" s="55" t="s">
        <v>23</v>
      </c>
      <c r="D1397" s="82" t="s">
        <v>141</v>
      </c>
      <c r="E1397" s="55" t="s">
        <v>18</v>
      </c>
      <c r="F1397" s="55" t="s">
        <v>19</v>
      </c>
      <c r="G1397" s="55">
        <v>1</v>
      </c>
      <c r="H1397" s="55"/>
      <c r="I1397" s="55"/>
      <c r="J1397" s="55"/>
      <c r="K1397" s="57"/>
      <c r="L1397" s="55"/>
    </row>
    <row r="1398" spans="1:12">
      <c r="A1398" s="53">
        <v>46108</v>
      </c>
      <c r="B1398" s="54">
        <f>Table13[[#This Row],[Date]]</f>
        <v>46108</v>
      </c>
      <c r="C1398" s="55" t="s">
        <v>23</v>
      </c>
      <c r="D1398" s="82" t="s">
        <v>142</v>
      </c>
      <c r="E1398" s="55" t="s">
        <v>18</v>
      </c>
      <c r="F1398" s="55" t="s">
        <v>19</v>
      </c>
      <c r="G1398" s="55">
        <v>1</v>
      </c>
      <c r="H1398" s="55"/>
      <c r="I1398" s="55"/>
      <c r="J1398" s="55"/>
      <c r="K1398" s="57"/>
      <c r="L1398" s="55"/>
    </row>
    <row r="1399" spans="1:12">
      <c r="A1399" s="41">
        <v>46108</v>
      </c>
      <c r="B1399" s="42">
        <f>Table13[[#This Row],[Date]]</f>
        <v>46108</v>
      </c>
      <c r="C1399" s="43"/>
      <c r="D1399" s="162" t="s">
        <v>207</v>
      </c>
      <c r="E1399" s="43"/>
      <c r="F1399" s="43"/>
      <c r="G1399" s="43"/>
      <c r="H1399" s="43"/>
      <c r="I1399" s="43"/>
      <c r="J1399" s="43"/>
      <c r="K1399" s="45"/>
      <c r="L1399" s="43"/>
    </row>
    <row r="1400" spans="1:12">
      <c r="A1400" s="53">
        <v>46108</v>
      </c>
      <c r="B1400" s="54">
        <f>Table13[[#This Row],[Date]]</f>
        <v>46108</v>
      </c>
      <c r="C1400" s="55"/>
      <c r="D1400" s="73" t="s">
        <v>179</v>
      </c>
      <c r="E1400" s="55" t="s">
        <v>47</v>
      </c>
      <c r="F1400" s="55" t="s">
        <v>19</v>
      </c>
      <c r="G1400" s="55">
        <v>1</v>
      </c>
      <c r="H1400" s="55"/>
      <c r="I1400" s="55"/>
      <c r="J1400" s="55"/>
      <c r="K1400" s="57"/>
      <c r="L1400" s="55"/>
    </row>
    <row r="1401" spans="1:12">
      <c r="A1401" s="16">
        <v>46109</v>
      </c>
      <c r="B1401" s="18">
        <f>Table13[[#This Row],[Date]]</f>
        <v>46109</v>
      </c>
      <c r="C1401" s="10" t="s">
        <v>23</v>
      </c>
      <c r="D1401" s="81" t="s">
        <v>143</v>
      </c>
      <c r="E1401" s="10" t="s">
        <v>41</v>
      </c>
      <c r="F1401" s="10" t="s">
        <v>19</v>
      </c>
      <c r="G1401" s="10">
        <v>1</v>
      </c>
      <c r="H1401" s="10"/>
      <c r="I1401" s="10"/>
      <c r="J1401" s="10"/>
      <c r="K1401" s="13"/>
      <c r="L1401" s="10"/>
    </row>
    <row r="1402" spans="1:12">
      <c r="A1402" s="16">
        <v>46109</v>
      </c>
      <c r="B1402" s="18">
        <f>Table13[[#This Row],[Date]]</f>
        <v>46109</v>
      </c>
      <c r="C1402" s="10" t="s">
        <v>23</v>
      </c>
      <c r="D1402" s="81" t="s">
        <v>143</v>
      </c>
      <c r="E1402" s="10" t="s">
        <v>42</v>
      </c>
      <c r="F1402" s="10" t="s">
        <v>19</v>
      </c>
      <c r="G1402" s="10">
        <v>1</v>
      </c>
      <c r="H1402" s="10"/>
      <c r="I1402" s="10"/>
      <c r="J1402" s="10"/>
      <c r="K1402" s="13"/>
      <c r="L1402" s="10"/>
    </row>
    <row r="1403" spans="1:12">
      <c r="A1403" s="16">
        <v>46110</v>
      </c>
      <c r="B1403" s="18">
        <f>Table13[[#This Row],[Date]]</f>
        <v>46110</v>
      </c>
      <c r="C1403" s="10" t="s">
        <v>14</v>
      </c>
      <c r="D1403" s="81" t="s">
        <v>144</v>
      </c>
      <c r="E1403" s="10" t="s">
        <v>18</v>
      </c>
      <c r="F1403" s="10" t="s">
        <v>19</v>
      </c>
      <c r="G1403" s="10">
        <v>1</v>
      </c>
      <c r="H1403" s="10"/>
      <c r="I1403" s="10"/>
      <c r="J1403" s="10"/>
      <c r="K1403" s="13"/>
      <c r="L1403" s="10"/>
    </row>
    <row r="1404" spans="1:12">
      <c r="A1404" s="16">
        <v>46110</v>
      </c>
      <c r="B1404" s="18">
        <f>Table13[[#This Row],[Date]]</f>
        <v>46110</v>
      </c>
      <c r="C1404" s="10" t="s">
        <v>14</v>
      </c>
      <c r="D1404" s="81" t="s">
        <v>144</v>
      </c>
      <c r="E1404" s="10" t="s">
        <v>21</v>
      </c>
      <c r="F1404" s="10" t="s">
        <v>19</v>
      </c>
      <c r="G1404" s="10">
        <v>1</v>
      </c>
      <c r="H1404" s="10"/>
      <c r="I1404" s="10"/>
      <c r="J1404" s="10"/>
      <c r="K1404" s="13"/>
      <c r="L1404" s="10"/>
    </row>
    <row r="1405" spans="1:12">
      <c r="A1405" s="53">
        <v>46111</v>
      </c>
      <c r="B1405" s="54">
        <f>Table13[[#This Row],[Date]]</f>
        <v>46111</v>
      </c>
      <c r="C1405" s="55" t="s">
        <v>14</v>
      </c>
      <c r="D1405" s="82" t="s">
        <v>145</v>
      </c>
      <c r="E1405" s="55" t="s">
        <v>18</v>
      </c>
      <c r="F1405" s="55" t="s">
        <v>19</v>
      </c>
      <c r="G1405" s="55">
        <v>1</v>
      </c>
      <c r="H1405" s="55"/>
      <c r="I1405" s="55"/>
      <c r="J1405" s="55"/>
      <c r="K1405" s="57"/>
      <c r="L1405" s="55"/>
    </row>
    <row r="1406" spans="1:12">
      <c r="A1406" s="53">
        <v>46111</v>
      </c>
      <c r="B1406" s="54">
        <f>Table13[[#This Row],[Date]]</f>
        <v>46111</v>
      </c>
      <c r="C1406" s="55" t="s">
        <v>23</v>
      </c>
      <c r="D1406" s="82" t="s">
        <v>146</v>
      </c>
      <c r="E1406" s="55" t="s">
        <v>18</v>
      </c>
      <c r="F1406" s="55" t="s">
        <v>19</v>
      </c>
      <c r="G1406" s="55">
        <v>1</v>
      </c>
      <c r="H1406" s="55"/>
      <c r="I1406" s="55"/>
      <c r="J1406" s="55"/>
      <c r="K1406" s="57"/>
      <c r="L1406" s="55"/>
    </row>
    <row r="1407" spans="1:12">
      <c r="A1407" s="53">
        <v>46111</v>
      </c>
      <c r="B1407" s="54">
        <f>Table13[[#This Row],[Date]]</f>
        <v>46111</v>
      </c>
      <c r="C1407" s="55" t="s">
        <v>23</v>
      </c>
      <c r="D1407" s="82" t="s">
        <v>146</v>
      </c>
      <c r="E1407" s="55" t="s">
        <v>21</v>
      </c>
      <c r="F1407" s="55" t="s">
        <v>19</v>
      </c>
      <c r="G1407" s="55">
        <v>1</v>
      </c>
      <c r="H1407" s="55"/>
      <c r="I1407" s="55"/>
      <c r="J1407" s="55"/>
      <c r="K1407" s="57"/>
      <c r="L1407" s="55"/>
    </row>
    <row r="1408" spans="1:12">
      <c r="A1408" s="53">
        <v>46111</v>
      </c>
      <c r="B1408" s="54">
        <f>Table13[[#This Row],[Date]]</f>
        <v>46111</v>
      </c>
      <c r="C1408" s="55" t="s">
        <v>23</v>
      </c>
      <c r="D1408" s="59" t="s">
        <v>146</v>
      </c>
      <c r="E1408" s="55" t="s">
        <v>147</v>
      </c>
      <c r="F1408" s="55" t="s">
        <v>19</v>
      </c>
      <c r="G1408" s="55">
        <v>1</v>
      </c>
      <c r="H1408" s="55"/>
      <c r="I1408" s="55"/>
      <c r="J1408" s="55"/>
      <c r="K1408" s="57"/>
      <c r="L1408" s="55"/>
    </row>
    <row r="1409" spans="1:12">
      <c r="A1409" s="53">
        <v>46111</v>
      </c>
      <c r="B1409" s="54">
        <f>Table13[[#This Row],[Date]]</f>
        <v>46111</v>
      </c>
      <c r="C1409" s="55" t="s">
        <v>23</v>
      </c>
      <c r="D1409" s="59" t="s">
        <v>146</v>
      </c>
      <c r="E1409" s="55" t="s">
        <v>148</v>
      </c>
      <c r="F1409" s="55" t="s">
        <v>19</v>
      </c>
      <c r="G1409" s="55">
        <v>1</v>
      </c>
      <c r="H1409" s="55"/>
      <c r="I1409" s="55"/>
      <c r="J1409" s="55"/>
      <c r="K1409" s="57"/>
      <c r="L1409" s="55"/>
    </row>
    <row r="1410" spans="1:12">
      <c r="A1410" s="48">
        <v>46112</v>
      </c>
      <c r="B1410" s="49">
        <f>Table13[[#This Row],[Date]]</f>
        <v>46112</v>
      </c>
      <c r="C1410" s="50" t="s">
        <v>149</v>
      </c>
      <c r="D1410" s="51" t="s">
        <v>150</v>
      </c>
      <c r="E1410" s="50"/>
      <c r="F1410" s="50"/>
      <c r="G1410" s="50"/>
      <c r="H1410" s="50"/>
      <c r="I1410" s="50"/>
      <c r="J1410" s="50"/>
      <c r="K1410" s="52"/>
      <c r="L1410" s="50"/>
    </row>
    <row r="1411" spans="1:12">
      <c r="A1411" s="53">
        <v>46113</v>
      </c>
      <c r="B1411" s="54">
        <f>Table13[[#This Row],[Date]]</f>
        <v>46113</v>
      </c>
      <c r="C1411" s="55" t="s">
        <v>14</v>
      </c>
      <c r="D1411" s="91" t="s">
        <v>33</v>
      </c>
      <c r="E1411" s="77" t="s">
        <v>18</v>
      </c>
      <c r="F1411" s="55" t="s">
        <v>19</v>
      </c>
      <c r="G1411" s="55">
        <v>1</v>
      </c>
      <c r="H1411" s="55"/>
      <c r="I1411" s="55"/>
      <c r="J1411" s="55"/>
      <c r="K1411" s="57"/>
      <c r="L1411" s="55"/>
    </row>
    <row r="1412" spans="1:12">
      <c r="A1412" s="53">
        <v>46113</v>
      </c>
      <c r="B1412" s="54">
        <f>Table13[[#This Row],[Date]]</f>
        <v>46113</v>
      </c>
      <c r="C1412" s="55" t="s">
        <v>14</v>
      </c>
      <c r="D1412" s="91" t="s">
        <v>33</v>
      </c>
      <c r="E1412" s="55" t="s">
        <v>21</v>
      </c>
      <c r="F1412" s="55" t="s">
        <v>19</v>
      </c>
      <c r="G1412" s="55">
        <v>1</v>
      </c>
      <c r="H1412" s="55"/>
      <c r="I1412" s="55"/>
      <c r="J1412" s="55"/>
      <c r="K1412" s="57"/>
      <c r="L1412" s="55"/>
    </row>
    <row r="1413" spans="1:12">
      <c r="A1413" s="53">
        <v>46113</v>
      </c>
      <c r="B1413" s="54">
        <f>Table13[[#This Row],[Date]]</f>
        <v>46113</v>
      </c>
      <c r="C1413" s="55" t="s">
        <v>14</v>
      </c>
      <c r="D1413" s="91" t="s">
        <v>33</v>
      </c>
      <c r="E1413" s="77" t="s">
        <v>34</v>
      </c>
      <c r="F1413" s="55" t="s">
        <v>19</v>
      </c>
      <c r="G1413" s="55">
        <v>1</v>
      </c>
      <c r="H1413" s="55"/>
      <c r="I1413" s="55"/>
      <c r="J1413" s="55"/>
      <c r="K1413" s="57"/>
      <c r="L1413" s="55"/>
    </row>
    <row r="1414" spans="1:12">
      <c r="A1414" s="53">
        <v>46113</v>
      </c>
      <c r="B1414" s="54">
        <f>Table13[[#This Row],[Date]]</f>
        <v>46113</v>
      </c>
      <c r="C1414" s="55" t="s">
        <v>14</v>
      </c>
      <c r="D1414" s="91" t="s">
        <v>33</v>
      </c>
      <c r="E1414" s="77" t="s">
        <v>35</v>
      </c>
      <c r="F1414" s="55" t="s">
        <v>19</v>
      </c>
      <c r="G1414" s="55">
        <v>1</v>
      </c>
      <c r="H1414" s="55"/>
      <c r="I1414" s="55"/>
      <c r="J1414" s="55"/>
      <c r="K1414" s="57"/>
      <c r="L1414" s="55"/>
    </row>
    <row r="1415" spans="1:12">
      <c r="A1415" s="15">
        <v>46113</v>
      </c>
      <c r="B1415" s="104">
        <f>Table13[[#This Row],[Date]]</f>
        <v>46113</v>
      </c>
      <c r="C1415" s="105" t="s">
        <v>16</v>
      </c>
      <c r="D1415" s="271" t="s">
        <v>22</v>
      </c>
      <c r="E1415" s="107" t="s">
        <v>18</v>
      </c>
      <c r="F1415" s="105" t="s">
        <v>19</v>
      </c>
      <c r="G1415" s="105">
        <v>1</v>
      </c>
      <c r="H1415" s="105"/>
      <c r="I1415" s="105"/>
      <c r="J1415" s="105"/>
      <c r="K1415" s="108"/>
      <c r="L1415" s="105"/>
    </row>
    <row r="1416" spans="1:12">
      <c r="A1416" s="53">
        <v>46113</v>
      </c>
      <c r="B1416" s="54">
        <f>Table13[[#This Row],[Date]]</f>
        <v>46113</v>
      </c>
      <c r="C1416" s="55" t="s">
        <v>23</v>
      </c>
      <c r="D1416" s="59" t="s">
        <v>36</v>
      </c>
      <c r="E1416" s="55" t="s">
        <v>18</v>
      </c>
      <c r="F1416" s="55" t="s">
        <v>19</v>
      </c>
      <c r="G1416" s="55">
        <v>1</v>
      </c>
      <c r="H1416" s="55"/>
      <c r="I1416" s="55"/>
      <c r="J1416" s="55"/>
      <c r="K1416" s="57"/>
      <c r="L1416" s="55"/>
    </row>
    <row r="1417" spans="1:12">
      <c r="A1417" s="15">
        <v>46113</v>
      </c>
      <c r="B1417" s="17">
        <f>Table13[[#This Row],[Date]]</f>
        <v>46113</v>
      </c>
      <c r="C1417" s="1" t="s">
        <v>23</v>
      </c>
      <c r="D1417" s="141" t="s">
        <v>38</v>
      </c>
      <c r="E1417" s="1" t="s">
        <v>18</v>
      </c>
      <c r="F1417" s="1" t="s">
        <v>19</v>
      </c>
      <c r="G1417" s="1">
        <v>1</v>
      </c>
      <c r="H1417" s="1"/>
      <c r="I1417" s="1"/>
      <c r="J1417" s="1"/>
      <c r="K1417" s="3"/>
      <c r="L1417" s="1"/>
    </row>
    <row r="1418" spans="1:12">
      <c r="A1418" s="53">
        <v>46114</v>
      </c>
      <c r="B1418" s="54">
        <f>Table13[[#This Row],[Date]]</f>
        <v>46114</v>
      </c>
      <c r="C1418" s="55" t="s">
        <v>14</v>
      </c>
      <c r="D1418" s="91" t="s">
        <v>33</v>
      </c>
      <c r="E1418" s="64" t="s">
        <v>41</v>
      </c>
      <c r="F1418" s="55" t="s">
        <v>19</v>
      </c>
      <c r="G1418" s="55">
        <v>1</v>
      </c>
      <c r="H1418" s="55"/>
      <c r="I1418" s="55"/>
      <c r="J1418" s="55"/>
      <c r="K1418" s="57"/>
      <c r="L1418" s="55"/>
    </row>
    <row r="1419" spans="1:12">
      <c r="A1419" s="53">
        <v>46114</v>
      </c>
      <c r="B1419" s="54">
        <f>Table13[[#This Row],[Date]]</f>
        <v>46114</v>
      </c>
      <c r="C1419" s="55" t="s">
        <v>14</v>
      </c>
      <c r="D1419" s="91" t="s">
        <v>33</v>
      </c>
      <c r="E1419" s="55" t="s">
        <v>42</v>
      </c>
      <c r="F1419" s="55" t="s">
        <v>19</v>
      </c>
      <c r="G1419" s="55">
        <v>1</v>
      </c>
      <c r="H1419" s="55"/>
      <c r="I1419" s="55"/>
      <c r="J1419" s="55"/>
      <c r="K1419" s="57"/>
      <c r="L1419" s="55"/>
    </row>
    <row r="1420" spans="1:12">
      <c r="A1420" s="53">
        <v>46114</v>
      </c>
      <c r="B1420" s="54">
        <f>Table13[[#This Row],[Date]]</f>
        <v>46114</v>
      </c>
      <c r="C1420" s="55" t="s">
        <v>14</v>
      </c>
      <c r="D1420" s="91" t="s">
        <v>33</v>
      </c>
      <c r="E1420" s="55" t="s">
        <v>43</v>
      </c>
      <c r="F1420" s="55" t="s">
        <v>19</v>
      </c>
      <c r="G1420" s="55">
        <v>1</v>
      </c>
      <c r="H1420" s="55"/>
      <c r="I1420" s="55"/>
      <c r="J1420" s="55"/>
      <c r="K1420" s="57"/>
      <c r="L1420" s="55"/>
    </row>
    <row r="1421" spans="1:12">
      <c r="A1421" s="53">
        <v>46114</v>
      </c>
      <c r="B1421" s="54">
        <f>Table13[[#This Row],[Date]]</f>
        <v>46114</v>
      </c>
      <c r="C1421" s="55" t="s">
        <v>14</v>
      </c>
      <c r="D1421" s="91" t="s">
        <v>33</v>
      </c>
      <c r="E1421" s="64" t="s">
        <v>44</v>
      </c>
      <c r="F1421" s="55" t="s">
        <v>19</v>
      </c>
      <c r="G1421" s="55">
        <v>1</v>
      </c>
      <c r="H1421" s="55"/>
      <c r="I1421" s="55"/>
      <c r="J1421" s="55"/>
      <c r="K1421" s="57"/>
      <c r="L1421" s="55"/>
    </row>
    <row r="1422" spans="1:12">
      <c r="A1422" s="53">
        <v>46114</v>
      </c>
      <c r="B1422" s="54">
        <f>Table13[[#This Row],[Date]]</f>
        <v>46114</v>
      </c>
      <c r="C1422" s="55" t="s">
        <v>14</v>
      </c>
      <c r="D1422" s="91" t="s">
        <v>33</v>
      </c>
      <c r="E1422" s="64" t="s">
        <v>45</v>
      </c>
      <c r="F1422" s="55" t="s">
        <v>19</v>
      </c>
      <c r="G1422" s="55">
        <v>1</v>
      </c>
      <c r="H1422" s="55"/>
      <c r="I1422" s="55"/>
      <c r="J1422" s="55"/>
      <c r="K1422" s="57"/>
      <c r="L1422" s="55"/>
    </row>
    <row r="1423" spans="1:12">
      <c r="A1423" s="53">
        <v>46115</v>
      </c>
      <c r="B1423" s="54">
        <f>Table13[[#This Row],[Date]]</f>
        <v>46115</v>
      </c>
      <c r="C1423" s="55" t="s">
        <v>23</v>
      </c>
      <c r="D1423" s="91" t="s">
        <v>54</v>
      </c>
      <c r="E1423" s="64" t="s">
        <v>18</v>
      </c>
      <c r="F1423" s="55" t="s">
        <v>19</v>
      </c>
      <c r="G1423" s="55">
        <v>1</v>
      </c>
      <c r="H1423" s="55"/>
      <c r="I1423" s="55"/>
      <c r="J1423" s="55"/>
      <c r="K1423" s="57"/>
      <c r="L1423" s="55"/>
    </row>
    <row r="1424" spans="1:12">
      <c r="A1424" s="53">
        <v>46115</v>
      </c>
      <c r="B1424" s="54">
        <f>Table13[[#This Row],[Date]]</f>
        <v>46115</v>
      </c>
      <c r="C1424" s="55" t="s">
        <v>23</v>
      </c>
      <c r="D1424" s="91" t="s">
        <v>54</v>
      </c>
      <c r="E1424" s="64" t="s">
        <v>21</v>
      </c>
      <c r="F1424" s="55" t="s">
        <v>19</v>
      </c>
      <c r="G1424" s="55">
        <v>1</v>
      </c>
      <c r="H1424" s="55"/>
      <c r="I1424" s="55"/>
      <c r="J1424" s="55"/>
      <c r="K1424" s="57"/>
      <c r="L1424" s="55"/>
    </row>
    <row r="1425" spans="1:12">
      <c r="A1425" s="16">
        <v>46116</v>
      </c>
      <c r="B1425" s="18">
        <f>Table13[[#This Row],[Date]]</f>
        <v>46116</v>
      </c>
      <c r="C1425" s="10" t="s">
        <v>14</v>
      </c>
      <c r="D1425" s="9" t="s">
        <v>57</v>
      </c>
      <c r="E1425" s="55" t="s">
        <v>18</v>
      </c>
      <c r="F1425" s="55" t="s">
        <v>19</v>
      </c>
      <c r="G1425" s="55">
        <v>1</v>
      </c>
      <c r="H1425" s="1"/>
      <c r="I1425" s="1"/>
      <c r="J1425" s="1"/>
      <c r="K1425" s="3"/>
      <c r="L1425" s="1"/>
    </row>
    <row r="1426" spans="1:12">
      <c r="A1426" s="53">
        <v>46118</v>
      </c>
      <c r="B1426" s="54">
        <f>Table13[[#This Row],[Date]]</f>
        <v>46118</v>
      </c>
      <c r="C1426" s="55" t="s">
        <v>23</v>
      </c>
      <c r="D1426" s="91" t="s">
        <v>24</v>
      </c>
      <c r="E1426" s="64" t="s">
        <v>18</v>
      </c>
      <c r="F1426" s="55" t="s">
        <v>19</v>
      </c>
      <c r="G1426" s="55">
        <v>1</v>
      </c>
      <c r="H1426" s="55"/>
      <c r="I1426" s="55"/>
      <c r="J1426" s="55"/>
      <c r="K1426" s="57"/>
      <c r="L1426" s="55"/>
    </row>
    <row r="1427" spans="1:12">
      <c r="A1427" s="53">
        <v>46118</v>
      </c>
      <c r="B1427" s="54">
        <f>Table13[[#This Row],[Date]]</f>
        <v>46118</v>
      </c>
      <c r="C1427" s="55" t="s">
        <v>23</v>
      </c>
      <c r="D1427" s="91" t="s">
        <v>25</v>
      </c>
      <c r="E1427" s="64" t="s">
        <v>18</v>
      </c>
      <c r="F1427" s="55" t="s">
        <v>19</v>
      </c>
      <c r="G1427" s="55">
        <v>1</v>
      </c>
      <c r="H1427" s="55"/>
      <c r="I1427" s="55"/>
      <c r="J1427" s="55"/>
      <c r="K1427" s="57"/>
      <c r="L1427" s="55"/>
    </row>
    <row r="1428" spans="1:12">
      <c r="A1428" s="53">
        <v>46118</v>
      </c>
      <c r="B1428" s="54">
        <f>Table13[[#This Row],[Date]]</f>
        <v>46118</v>
      </c>
      <c r="C1428" s="55" t="s">
        <v>23</v>
      </c>
      <c r="D1428" s="91" t="s">
        <v>25</v>
      </c>
      <c r="E1428" s="64" t="s">
        <v>21</v>
      </c>
      <c r="F1428" s="55" t="s">
        <v>19</v>
      </c>
      <c r="G1428" s="55">
        <v>1</v>
      </c>
      <c r="H1428" s="55"/>
      <c r="I1428" s="55"/>
      <c r="J1428" s="55"/>
      <c r="K1428" s="57"/>
      <c r="L1428" s="55"/>
    </row>
    <row r="1429" spans="1:12">
      <c r="A1429" s="48">
        <v>46119</v>
      </c>
      <c r="B1429" s="49">
        <f>Table13[[#This Row],[Date]]</f>
        <v>46119</v>
      </c>
      <c r="C1429" s="50" t="s">
        <v>4</v>
      </c>
      <c r="D1429" s="51" t="s">
        <v>32</v>
      </c>
      <c r="E1429" s="50"/>
      <c r="F1429" s="50"/>
      <c r="G1429" s="50"/>
      <c r="H1429" s="50"/>
      <c r="I1429" s="50"/>
      <c r="J1429" s="50"/>
      <c r="K1429" s="52"/>
      <c r="L1429" s="50"/>
    </row>
    <row r="1430" spans="1:12">
      <c r="A1430" s="15">
        <v>46119</v>
      </c>
      <c r="B1430" s="17">
        <f>Table13[[#This Row],[Date]]</f>
        <v>46119</v>
      </c>
      <c r="C1430" s="1"/>
      <c r="D1430" s="2" t="s">
        <v>180</v>
      </c>
      <c r="E1430" s="1" t="s">
        <v>18</v>
      </c>
      <c r="F1430" s="1" t="s">
        <v>19</v>
      </c>
      <c r="G1430" s="1">
        <v>1</v>
      </c>
      <c r="H1430" s="1"/>
      <c r="I1430" s="1"/>
      <c r="J1430" s="1"/>
      <c r="K1430" s="3"/>
      <c r="L1430" s="1"/>
    </row>
    <row r="1431" spans="1:12">
      <c r="A1431" s="53">
        <v>46122</v>
      </c>
      <c r="B1431" s="54">
        <f>Table13[[#This Row],[Date]]</f>
        <v>46122</v>
      </c>
      <c r="C1431" s="55" t="s">
        <v>23</v>
      </c>
      <c r="D1431" s="59" t="s">
        <v>81</v>
      </c>
      <c r="E1431" s="55" t="s">
        <v>18</v>
      </c>
      <c r="F1431" s="55" t="s">
        <v>19</v>
      </c>
      <c r="G1431" s="55">
        <v>1</v>
      </c>
      <c r="H1431" s="55"/>
      <c r="I1431" s="55"/>
      <c r="J1431" s="55"/>
      <c r="K1431" s="57"/>
      <c r="L1431" s="55"/>
    </row>
    <row r="1432" spans="1:12">
      <c r="A1432" s="53">
        <v>46122</v>
      </c>
      <c r="B1432" s="54">
        <f>Table13[[#This Row],[Date]]</f>
        <v>46122</v>
      </c>
      <c r="C1432" s="55" t="s">
        <v>23</v>
      </c>
      <c r="D1432" s="59" t="s">
        <v>82</v>
      </c>
      <c r="E1432" s="55" t="s">
        <v>21</v>
      </c>
      <c r="F1432" s="55" t="s">
        <v>19</v>
      </c>
      <c r="G1432" s="55">
        <v>1</v>
      </c>
      <c r="H1432" s="55"/>
      <c r="I1432" s="55"/>
      <c r="J1432" s="55"/>
      <c r="K1432" s="57"/>
      <c r="L1432" s="55"/>
    </row>
    <row r="1433" spans="1:12">
      <c r="A1433" s="53">
        <v>46122</v>
      </c>
      <c r="B1433" s="125">
        <f>Table13[[#This Row],[Date]]</f>
        <v>46122</v>
      </c>
      <c r="C1433" s="55" t="s">
        <v>23</v>
      </c>
      <c r="D1433" s="161" t="s">
        <v>83</v>
      </c>
      <c r="E1433" s="55" t="s">
        <v>18</v>
      </c>
      <c r="F1433" s="55" t="s">
        <v>19</v>
      </c>
      <c r="G1433" s="55">
        <v>1</v>
      </c>
      <c r="H1433" s="126"/>
      <c r="I1433" s="126"/>
      <c r="J1433" s="126"/>
      <c r="K1433" s="127"/>
      <c r="L1433" s="126"/>
    </row>
    <row r="1434" spans="1:12">
      <c r="A1434" s="41">
        <v>46123</v>
      </c>
      <c r="B1434" s="42">
        <f>Table13[[#This Row],[Date]]</f>
        <v>46123</v>
      </c>
      <c r="C1434" s="43"/>
      <c r="D1434" s="44" t="s">
        <v>208</v>
      </c>
      <c r="E1434" s="43"/>
      <c r="F1434" s="43"/>
      <c r="G1434" s="43"/>
      <c r="H1434" s="43"/>
      <c r="I1434" s="43"/>
      <c r="J1434" s="43"/>
      <c r="K1434" s="45"/>
      <c r="L1434" s="43"/>
    </row>
    <row r="1435" spans="1:12">
      <c r="A1435" s="41">
        <v>46124</v>
      </c>
      <c r="B1435" s="42">
        <f>Table13[[#This Row],[Date]]</f>
        <v>46124</v>
      </c>
      <c r="C1435" s="43"/>
      <c r="D1435" s="44" t="s">
        <v>208</v>
      </c>
      <c r="E1435" s="43"/>
      <c r="F1435" s="43"/>
      <c r="G1435" s="43"/>
      <c r="H1435" s="43"/>
      <c r="I1435" s="43"/>
      <c r="J1435" s="43"/>
      <c r="K1435" s="45"/>
      <c r="L1435" s="43"/>
    </row>
    <row r="1436" spans="1:12">
      <c r="A1436" s="15">
        <v>46125</v>
      </c>
      <c r="B1436" s="17">
        <f>Table13[[#This Row],[Date]]</f>
        <v>46125</v>
      </c>
      <c r="C1436" s="1" t="s">
        <v>14</v>
      </c>
      <c r="D1436" s="152" t="s">
        <v>66</v>
      </c>
      <c r="E1436" s="1" t="s">
        <v>18</v>
      </c>
      <c r="F1436" s="1" t="s">
        <v>19</v>
      </c>
      <c r="G1436" s="1">
        <v>1</v>
      </c>
      <c r="H1436" s="1"/>
      <c r="I1436" s="1"/>
      <c r="J1436" s="1"/>
      <c r="K1436" s="3"/>
      <c r="L1436" s="1"/>
    </row>
    <row r="1437" spans="1:12">
      <c r="A1437" s="53">
        <v>46125</v>
      </c>
      <c r="B1437" s="54">
        <f>Table13[[#This Row],[Date]]</f>
        <v>46125</v>
      </c>
      <c r="C1437" s="55" t="s">
        <v>14</v>
      </c>
      <c r="D1437" s="61" t="s">
        <v>182</v>
      </c>
      <c r="E1437" s="55" t="s">
        <v>18</v>
      </c>
      <c r="F1437" s="55" t="s">
        <v>19</v>
      </c>
      <c r="G1437" s="55">
        <v>1</v>
      </c>
      <c r="H1437" s="55"/>
      <c r="I1437" s="55"/>
      <c r="J1437" s="55"/>
      <c r="K1437" s="57"/>
      <c r="L1437" s="55"/>
    </row>
    <row r="1438" spans="1:12">
      <c r="A1438" s="53">
        <v>46125</v>
      </c>
      <c r="B1438" s="54">
        <f>Table13[[#This Row],[Date]]</f>
        <v>46125</v>
      </c>
      <c r="C1438" s="55" t="s">
        <v>14</v>
      </c>
      <c r="D1438" s="61" t="s">
        <v>161</v>
      </c>
      <c r="E1438" s="55" t="s">
        <v>18</v>
      </c>
      <c r="F1438" s="55" t="s">
        <v>19</v>
      </c>
      <c r="G1438" s="55">
        <v>1</v>
      </c>
      <c r="H1438" s="55"/>
      <c r="I1438" s="55"/>
      <c r="J1438" s="55"/>
      <c r="K1438" s="57"/>
      <c r="L1438" s="55"/>
    </row>
    <row r="1439" spans="1:12">
      <c r="A1439" s="53">
        <v>46125</v>
      </c>
      <c r="B1439" s="54">
        <f>Table13[[#This Row],[Date]]</f>
        <v>46125</v>
      </c>
      <c r="C1439" s="55" t="s">
        <v>23</v>
      </c>
      <c r="D1439" s="61" t="s">
        <v>163</v>
      </c>
      <c r="E1439" s="55" t="s">
        <v>18</v>
      </c>
      <c r="F1439" s="55" t="s">
        <v>99</v>
      </c>
      <c r="G1439" s="55">
        <v>1</v>
      </c>
      <c r="H1439" s="55"/>
      <c r="I1439" s="55"/>
      <c r="J1439" s="55"/>
      <c r="K1439" s="57"/>
      <c r="L1439" s="55"/>
    </row>
    <row r="1440" spans="1:12">
      <c r="A1440" s="53">
        <v>46125</v>
      </c>
      <c r="B1440" s="54">
        <f>Table13[[#This Row],[Date]]</f>
        <v>46125</v>
      </c>
      <c r="C1440" s="55" t="s">
        <v>23</v>
      </c>
      <c r="D1440" s="59" t="s">
        <v>68</v>
      </c>
      <c r="E1440" s="64" t="s">
        <v>18</v>
      </c>
      <c r="F1440" s="55" t="s">
        <v>19</v>
      </c>
      <c r="G1440" s="55">
        <v>1</v>
      </c>
      <c r="H1440" s="55"/>
      <c r="I1440" s="55"/>
      <c r="J1440" s="55"/>
      <c r="K1440" s="57"/>
      <c r="L1440" s="55"/>
    </row>
    <row r="1441" spans="1:12">
      <c r="A1441" s="53">
        <v>46125</v>
      </c>
      <c r="B1441" s="54">
        <f>Table13[[#This Row],[Date]]</f>
        <v>46125</v>
      </c>
      <c r="C1441" s="55" t="s">
        <v>23</v>
      </c>
      <c r="D1441" s="59" t="s">
        <v>68</v>
      </c>
      <c r="E1441" s="64" t="s">
        <v>21</v>
      </c>
      <c r="F1441" s="55" t="s">
        <v>19</v>
      </c>
      <c r="G1441" s="55">
        <v>1</v>
      </c>
      <c r="H1441" s="55"/>
      <c r="I1441" s="55"/>
      <c r="J1441" s="55"/>
      <c r="K1441" s="57"/>
      <c r="L1441" s="55"/>
    </row>
    <row r="1442" spans="1:12">
      <c r="A1442" s="53">
        <v>46125</v>
      </c>
      <c r="B1442" s="54">
        <f>Table13[[#This Row],[Date]]</f>
        <v>46125</v>
      </c>
      <c r="C1442" s="55" t="s">
        <v>23</v>
      </c>
      <c r="D1442" s="59" t="s">
        <v>68</v>
      </c>
      <c r="E1442" s="64" t="s">
        <v>49</v>
      </c>
      <c r="F1442" s="55" t="s">
        <v>19</v>
      </c>
      <c r="G1442" s="55">
        <v>1</v>
      </c>
      <c r="H1442" s="55"/>
      <c r="I1442" s="55"/>
      <c r="J1442" s="55"/>
      <c r="K1442" s="57"/>
      <c r="L1442" s="55"/>
    </row>
    <row r="1443" spans="1:12">
      <c r="A1443" s="53">
        <v>46125</v>
      </c>
      <c r="B1443" s="54">
        <f>Table13[[#This Row],[Date]]</f>
        <v>46125</v>
      </c>
      <c r="C1443" s="55" t="s">
        <v>23</v>
      </c>
      <c r="D1443" s="59" t="s">
        <v>68</v>
      </c>
      <c r="E1443" s="64" t="s">
        <v>41</v>
      </c>
      <c r="F1443" s="55" t="s">
        <v>19</v>
      </c>
      <c r="G1443" s="55">
        <v>1</v>
      </c>
      <c r="H1443" s="55"/>
      <c r="I1443" s="55"/>
      <c r="J1443" s="55"/>
      <c r="K1443" s="57"/>
      <c r="L1443" s="55"/>
    </row>
    <row r="1444" spans="1:12">
      <c r="A1444" s="53">
        <v>46125</v>
      </c>
      <c r="B1444" s="54">
        <f>Table13[[#This Row],[Date]]</f>
        <v>46125</v>
      </c>
      <c r="C1444" s="55" t="s">
        <v>23</v>
      </c>
      <c r="D1444" s="59" t="s">
        <v>68</v>
      </c>
      <c r="E1444" s="63" t="s">
        <v>47</v>
      </c>
      <c r="F1444" s="55" t="s">
        <v>19</v>
      </c>
      <c r="G1444" s="55">
        <v>1</v>
      </c>
      <c r="H1444" s="55"/>
      <c r="I1444" s="55"/>
      <c r="J1444" s="55"/>
      <c r="K1444" s="57"/>
      <c r="L1444" s="55"/>
    </row>
    <row r="1445" spans="1:12">
      <c r="A1445" s="41">
        <v>46125</v>
      </c>
      <c r="B1445" s="42">
        <f>Table13[[#This Row],[Date]]</f>
        <v>46125</v>
      </c>
      <c r="C1445" s="43"/>
      <c r="D1445" s="44" t="s">
        <v>208</v>
      </c>
      <c r="E1445" s="43"/>
      <c r="F1445" s="43"/>
      <c r="G1445" s="43"/>
      <c r="H1445" s="43"/>
      <c r="I1445" s="43"/>
      <c r="J1445" s="43"/>
      <c r="K1445" s="45"/>
      <c r="L1445" s="43"/>
    </row>
    <row r="1446" spans="1:12">
      <c r="A1446" s="53">
        <v>46126</v>
      </c>
      <c r="B1446" s="54">
        <f>Table13[[#This Row],[Date]]</f>
        <v>46126</v>
      </c>
      <c r="C1446" s="55" t="s">
        <v>14</v>
      </c>
      <c r="D1446" s="59" t="s">
        <v>104</v>
      </c>
      <c r="E1446" s="55" t="s">
        <v>59</v>
      </c>
      <c r="F1446" s="55" t="s">
        <v>60</v>
      </c>
      <c r="G1446" s="55">
        <v>1</v>
      </c>
      <c r="H1446" s="55"/>
      <c r="I1446" s="55"/>
      <c r="J1446" s="55"/>
      <c r="K1446" s="57"/>
      <c r="L1446" s="55"/>
    </row>
    <row r="1447" spans="1:12">
      <c r="A1447" s="53">
        <v>46126</v>
      </c>
      <c r="B1447" s="54">
        <f>Table13[[#This Row],[Date]]</f>
        <v>46126</v>
      </c>
      <c r="C1447" s="55" t="s">
        <v>14</v>
      </c>
      <c r="D1447" s="59" t="s">
        <v>104</v>
      </c>
      <c r="E1447" s="55" t="s">
        <v>61</v>
      </c>
      <c r="F1447" s="55" t="s">
        <v>60</v>
      </c>
      <c r="G1447" s="55">
        <v>1</v>
      </c>
      <c r="H1447" s="55"/>
      <c r="I1447" s="55"/>
      <c r="J1447" s="55"/>
      <c r="K1447" s="57"/>
      <c r="L1447" s="55"/>
    </row>
    <row r="1448" spans="1:12">
      <c r="A1448" s="48">
        <v>46126</v>
      </c>
      <c r="B1448" s="49">
        <f>Table13[[#This Row],[Date]]</f>
        <v>46126</v>
      </c>
      <c r="C1448" s="50" t="s">
        <v>4</v>
      </c>
      <c r="D1448" s="51" t="s">
        <v>32</v>
      </c>
      <c r="E1448" s="50"/>
      <c r="F1448" s="50"/>
      <c r="G1448" s="50"/>
      <c r="H1448" s="50"/>
      <c r="I1448" s="50"/>
      <c r="J1448" s="50"/>
      <c r="K1448" s="52"/>
      <c r="L1448" s="50"/>
    </row>
    <row r="1449" spans="1:12">
      <c r="A1449" s="41">
        <v>46126</v>
      </c>
      <c r="B1449" s="42">
        <f>Table13[[#This Row],[Date]]</f>
        <v>46126</v>
      </c>
      <c r="C1449" s="43"/>
      <c r="D1449" s="162" t="s">
        <v>208</v>
      </c>
      <c r="E1449" s="43"/>
      <c r="F1449" s="43"/>
      <c r="G1449" s="43"/>
      <c r="H1449" s="43"/>
      <c r="I1449" s="43"/>
      <c r="J1449" s="43"/>
      <c r="K1449" s="45"/>
      <c r="L1449" s="43"/>
    </row>
    <row r="1450" spans="1:12">
      <c r="A1450" s="110">
        <v>46127</v>
      </c>
      <c r="B1450" s="111">
        <f>Table13[[#This Row],[Date]]</f>
        <v>46127</v>
      </c>
      <c r="C1450" s="112" t="s">
        <v>16</v>
      </c>
      <c r="D1450" s="158" t="s">
        <v>105</v>
      </c>
      <c r="E1450" s="115" t="s">
        <v>18</v>
      </c>
      <c r="F1450" s="112" t="s">
        <v>19</v>
      </c>
      <c r="G1450" s="112">
        <v>1</v>
      </c>
      <c r="H1450" s="112"/>
      <c r="I1450" s="112"/>
      <c r="J1450" s="112"/>
      <c r="K1450" s="114"/>
      <c r="L1450" s="112"/>
    </row>
    <row r="1451" spans="1:12">
      <c r="A1451" s="110">
        <v>46127</v>
      </c>
      <c r="B1451" s="111">
        <f>Table13[[#This Row],[Date]]</f>
        <v>46127</v>
      </c>
      <c r="C1451" s="112" t="s">
        <v>16</v>
      </c>
      <c r="D1451" s="113" t="s">
        <v>105</v>
      </c>
      <c r="E1451" s="115" t="s">
        <v>21</v>
      </c>
      <c r="F1451" s="112" t="s">
        <v>19</v>
      </c>
      <c r="G1451" s="112">
        <v>1</v>
      </c>
      <c r="H1451" s="112"/>
      <c r="I1451" s="112"/>
      <c r="J1451" s="112"/>
      <c r="K1451" s="114"/>
      <c r="L1451" s="112"/>
    </row>
    <row r="1452" spans="1:12">
      <c r="A1452" s="110">
        <v>46127</v>
      </c>
      <c r="B1452" s="111">
        <f>Table13[[#This Row],[Date]]</f>
        <v>46127</v>
      </c>
      <c r="C1452" s="112" t="s">
        <v>16</v>
      </c>
      <c r="D1452" s="113" t="s">
        <v>105</v>
      </c>
      <c r="E1452" s="115" t="s">
        <v>49</v>
      </c>
      <c r="F1452" s="112" t="s">
        <v>19</v>
      </c>
      <c r="G1452" s="112">
        <v>1</v>
      </c>
      <c r="H1452" s="112"/>
      <c r="I1452" s="112"/>
      <c r="J1452" s="112"/>
      <c r="K1452" s="114"/>
      <c r="L1452" s="112"/>
    </row>
    <row r="1453" spans="1:12">
      <c r="A1453" s="41">
        <v>46127</v>
      </c>
      <c r="B1453" s="42">
        <f>Table13[[#This Row],[Date]]</f>
        <v>46127</v>
      </c>
      <c r="C1453" s="43"/>
      <c r="D1453" s="44" t="s">
        <v>208</v>
      </c>
      <c r="E1453" s="43"/>
      <c r="F1453" s="43"/>
      <c r="G1453" s="43"/>
      <c r="H1453" s="43"/>
      <c r="I1453" s="43"/>
      <c r="J1453" s="43"/>
      <c r="K1453" s="45"/>
      <c r="L1453" s="43"/>
    </row>
    <row r="1454" spans="1:12">
      <c r="A1454" s="110">
        <v>46128</v>
      </c>
      <c r="B1454" s="111">
        <f>Table13[[#This Row],[Date]]</f>
        <v>46128</v>
      </c>
      <c r="C1454" s="112" t="s">
        <v>16</v>
      </c>
      <c r="D1454" s="113" t="s">
        <v>105</v>
      </c>
      <c r="E1454" s="115" t="s">
        <v>47</v>
      </c>
      <c r="F1454" s="112" t="s">
        <v>19</v>
      </c>
      <c r="G1454" s="112">
        <v>1</v>
      </c>
      <c r="H1454" s="112"/>
      <c r="I1454" s="112"/>
      <c r="J1454" s="112"/>
      <c r="K1454" s="114"/>
      <c r="L1454" s="112"/>
    </row>
    <row r="1455" spans="1:12">
      <c r="A1455" s="110">
        <v>46128</v>
      </c>
      <c r="B1455" s="111">
        <f>Table13[[#This Row],[Date]]</f>
        <v>46128</v>
      </c>
      <c r="C1455" s="112" t="s">
        <v>16</v>
      </c>
      <c r="D1455" s="113" t="s">
        <v>105</v>
      </c>
      <c r="E1455" s="115" t="s">
        <v>53</v>
      </c>
      <c r="F1455" s="112" t="s">
        <v>19</v>
      </c>
      <c r="G1455" s="112">
        <v>1</v>
      </c>
      <c r="H1455" s="112"/>
      <c r="I1455" s="112"/>
      <c r="J1455" s="112"/>
      <c r="K1455" s="114"/>
      <c r="L1455" s="112"/>
    </row>
    <row r="1456" spans="1:12">
      <c r="A1456" s="110">
        <v>46128</v>
      </c>
      <c r="B1456" s="111">
        <f>Table13[[#This Row],[Date]]</f>
        <v>46128</v>
      </c>
      <c r="C1456" s="112" t="s">
        <v>16</v>
      </c>
      <c r="D1456" s="113" t="s">
        <v>105</v>
      </c>
      <c r="E1456" s="115" t="s">
        <v>41</v>
      </c>
      <c r="F1456" s="112" t="s">
        <v>19</v>
      </c>
      <c r="G1456" s="112">
        <v>1</v>
      </c>
      <c r="H1456" s="112"/>
      <c r="I1456" s="112"/>
      <c r="J1456" s="112"/>
      <c r="K1456" s="114"/>
      <c r="L1456" s="112"/>
    </row>
    <row r="1457" spans="1:12">
      <c r="A1457" s="41">
        <v>46128</v>
      </c>
      <c r="B1457" s="42">
        <f>Table13[[#This Row],[Date]]</f>
        <v>46128</v>
      </c>
      <c r="C1457" s="43"/>
      <c r="D1457" s="44" t="s">
        <v>208</v>
      </c>
      <c r="E1457" s="43"/>
      <c r="F1457" s="43"/>
      <c r="G1457" s="43"/>
      <c r="H1457" s="43"/>
      <c r="I1457" s="43"/>
      <c r="J1457" s="43"/>
      <c r="K1457" s="45"/>
      <c r="L1457" s="43"/>
    </row>
    <row r="1458" spans="1:12">
      <c r="A1458" s="110">
        <v>46129</v>
      </c>
      <c r="B1458" s="111">
        <f>Table13[[#This Row],[Date]]</f>
        <v>46129</v>
      </c>
      <c r="C1458" s="112" t="s">
        <v>14</v>
      </c>
      <c r="D1458" s="113" t="s">
        <v>105</v>
      </c>
      <c r="E1458" s="112" t="s">
        <v>59</v>
      </c>
      <c r="F1458" s="112" t="s">
        <v>60</v>
      </c>
      <c r="G1458" s="112">
        <v>1</v>
      </c>
      <c r="H1458" s="112"/>
      <c r="I1458" s="112"/>
      <c r="J1458" s="112"/>
      <c r="K1458" s="114"/>
      <c r="L1458" s="112"/>
    </row>
    <row r="1459" spans="1:12">
      <c r="A1459" s="110">
        <v>46129</v>
      </c>
      <c r="B1459" s="111">
        <f>Table13[[#This Row],[Date]]</f>
        <v>46129</v>
      </c>
      <c r="C1459" s="112" t="s">
        <v>14</v>
      </c>
      <c r="D1459" s="113" t="s">
        <v>105</v>
      </c>
      <c r="E1459" s="115" t="s">
        <v>61</v>
      </c>
      <c r="F1459" s="112" t="s">
        <v>60</v>
      </c>
      <c r="G1459" s="112">
        <v>1</v>
      </c>
      <c r="H1459" s="112"/>
      <c r="I1459" s="112"/>
      <c r="J1459" s="112"/>
      <c r="K1459" s="114"/>
      <c r="L1459" s="112"/>
    </row>
    <row r="1460" spans="1:12">
      <c r="A1460" s="110">
        <v>46129</v>
      </c>
      <c r="B1460" s="111">
        <f>Table13[[#This Row],[Date]]</f>
        <v>46129</v>
      </c>
      <c r="C1460" s="112" t="s">
        <v>14</v>
      </c>
      <c r="D1460" s="113" t="s">
        <v>105</v>
      </c>
      <c r="E1460" s="115" t="s">
        <v>72</v>
      </c>
      <c r="F1460" s="112" t="s">
        <v>60</v>
      </c>
      <c r="G1460" s="112">
        <v>1</v>
      </c>
      <c r="H1460" s="112"/>
      <c r="I1460" s="112"/>
      <c r="J1460" s="112"/>
      <c r="K1460" s="114"/>
      <c r="L1460" s="112"/>
    </row>
    <row r="1461" spans="1:12">
      <c r="A1461" s="110">
        <v>46129</v>
      </c>
      <c r="B1461" s="111">
        <f>Table13[[#This Row],[Date]]</f>
        <v>46129</v>
      </c>
      <c r="C1461" s="112" t="s">
        <v>14</v>
      </c>
      <c r="D1461" s="113" t="s">
        <v>105</v>
      </c>
      <c r="E1461" s="213" t="s">
        <v>76</v>
      </c>
      <c r="F1461" s="112" t="s">
        <v>60</v>
      </c>
      <c r="G1461" s="112">
        <v>1</v>
      </c>
      <c r="H1461" s="112"/>
      <c r="I1461" s="112"/>
      <c r="J1461" s="112"/>
      <c r="K1461" s="114"/>
      <c r="L1461" s="112"/>
    </row>
    <row r="1462" spans="1:12">
      <c r="A1462" s="41">
        <v>46129</v>
      </c>
      <c r="B1462" s="42">
        <f>Table13[[#This Row],[Date]]</f>
        <v>46129</v>
      </c>
      <c r="C1462" s="43"/>
      <c r="D1462" s="44" t="s">
        <v>208</v>
      </c>
      <c r="E1462" s="43"/>
      <c r="F1462" s="43"/>
      <c r="G1462" s="43"/>
      <c r="H1462" s="43"/>
      <c r="I1462" s="43"/>
      <c r="J1462" s="43"/>
      <c r="K1462" s="45"/>
      <c r="L1462" s="43"/>
    </row>
    <row r="1463" spans="1:12">
      <c r="A1463" s="98">
        <v>46130</v>
      </c>
      <c r="B1463" s="99">
        <f>Table13[[#This Row],[Date]]</f>
        <v>46130</v>
      </c>
      <c r="C1463" s="100" t="s">
        <v>26</v>
      </c>
      <c r="D1463" s="102" t="s">
        <v>102</v>
      </c>
      <c r="E1463" s="121" t="s">
        <v>18</v>
      </c>
      <c r="F1463" s="100" t="s">
        <v>19</v>
      </c>
      <c r="G1463" s="100">
        <v>1</v>
      </c>
      <c r="H1463" s="100"/>
      <c r="I1463" s="100"/>
      <c r="J1463" s="100"/>
      <c r="K1463" s="101"/>
      <c r="L1463" s="100"/>
    </row>
    <row r="1464" spans="1:12">
      <c r="A1464" s="41">
        <v>46130</v>
      </c>
      <c r="B1464" s="42">
        <f>Table13[[#This Row],[Date]]</f>
        <v>46130</v>
      </c>
      <c r="C1464" s="43"/>
      <c r="D1464" s="44" t="s">
        <v>208</v>
      </c>
      <c r="E1464" s="43"/>
      <c r="F1464" s="43"/>
      <c r="G1464" s="43"/>
      <c r="H1464" s="43"/>
      <c r="I1464" s="43"/>
      <c r="J1464" s="43"/>
      <c r="K1464" s="45"/>
      <c r="L1464" s="43"/>
    </row>
    <row r="1465" spans="1:12">
      <c r="A1465" s="41">
        <v>46131</v>
      </c>
      <c r="B1465" s="42">
        <f>Table13[[#This Row],[Date]]</f>
        <v>46131</v>
      </c>
      <c r="C1465" s="43"/>
      <c r="D1465" s="44" t="s">
        <v>208</v>
      </c>
      <c r="E1465" s="43"/>
      <c r="F1465" s="43"/>
      <c r="G1465" s="43"/>
      <c r="H1465" s="43"/>
      <c r="I1465" s="43"/>
      <c r="J1465" s="43"/>
      <c r="K1465" s="45"/>
      <c r="L1465" s="43"/>
    </row>
    <row r="1466" spans="1:12">
      <c r="A1466" s="53">
        <v>46132</v>
      </c>
      <c r="B1466" s="54">
        <f>Table13[[#This Row],[Date]]</f>
        <v>46132</v>
      </c>
      <c r="C1466" s="55" t="s">
        <v>14</v>
      </c>
      <c r="D1466" s="59" t="s">
        <v>96</v>
      </c>
      <c r="E1466" s="55" t="s">
        <v>18</v>
      </c>
      <c r="F1466" s="55" t="s">
        <v>19</v>
      </c>
      <c r="G1466" s="55">
        <v>1</v>
      </c>
      <c r="H1466" s="55"/>
      <c r="I1466" s="55"/>
      <c r="J1466" s="55"/>
      <c r="K1466" s="57"/>
      <c r="L1466" s="55"/>
    </row>
    <row r="1467" spans="1:12">
      <c r="A1467" s="96">
        <v>46132</v>
      </c>
      <c r="B1467" s="37">
        <f>Table13[[#This Row],[Date]]</f>
        <v>46132</v>
      </c>
      <c r="C1467" s="38" t="s">
        <v>14</v>
      </c>
      <c r="D1467" s="39" t="s">
        <v>97</v>
      </c>
      <c r="E1467" s="38" t="s">
        <v>18</v>
      </c>
      <c r="F1467" s="38" t="s">
        <v>19</v>
      </c>
      <c r="G1467" s="38">
        <v>1</v>
      </c>
      <c r="H1467" s="38"/>
      <c r="I1467" s="38"/>
      <c r="J1467" s="38"/>
      <c r="K1467" s="97"/>
      <c r="L1467" s="38"/>
    </row>
    <row r="1468" spans="1:12">
      <c r="A1468" s="53">
        <v>46132</v>
      </c>
      <c r="B1468" s="54">
        <f>Table13[[#This Row],[Date]]</f>
        <v>46132</v>
      </c>
      <c r="C1468" s="55" t="s">
        <v>16</v>
      </c>
      <c r="D1468" s="59" t="s">
        <v>101</v>
      </c>
      <c r="E1468" s="64" t="s">
        <v>18</v>
      </c>
      <c r="F1468" s="55" t="s">
        <v>19</v>
      </c>
      <c r="G1468" s="55">
        <v>1</v>
      </c>
      <c r="H1468" s="55"/>
      <c r="I1468" s="55"/>
      <c r="J1468" s="55"/>
      <c r="K1468" s="57"/>
      <c r="L1468" s="55"/>
    </row>
    <row r="1469" spans="1:12">
      <c r="A1469" s="53">
        <v>46132</v>
      </c>
      <c r="B1469" s="54">
        <f>Table13[[#This Row],[Date]]</f>
        <v>46132</v>
      </c>
      <c r="C1469" s="55" t="s">
        <v>16</v>
      </c>
      <c r="D1469" s="59" t="s">
        <v>101</v>
      </c>
      <c r="E1469" s="64" t="s">
        <v>21</v>
      </c>
      <c r="F1469" s="55" t="s">
        <v>19</v>
      </c>
      <c r="G1469" s="55">
        <v>1</v>
      </c>
      <c r="H1469" s="55"/>
      <c r="I1469" s="55"/>
      <c r="J1469" s="55"/>
      <c r="K1469" s="57"/>
      <c r="L1469" s="55"/>
    </row>
    <row r="1470" spans="1:12">
      <c r="A1470" s="53">
        <v>46132</v>
      </c>
      <c r="B1470" s="54">
        <f>Table13[[#This Row],[Date]]</f>
        <v>46132</v>
      </c>
      <c r="C1470" s="55" t="s">
        <v>16</v>
      </c>
      <c r="D1470" s="59" t="s">
        <v>101</v>
      </c>
      <c r="E1470" s="63" t="s">
        <v>47</v>
      </c>
      <c r="F1470" s="55" t="s">
        <v>19</v>
      </c>
      <c r="G1470" s="55">
        <v>1</v>
      </c>
      <c r="H1470" s="55"/>
      <c r="I1470" s="55"/>
      <c r="J1470" s="55"/>
      <c r="K1470" s="57"/>
      <c r="L1470" s="55"/>
    </row>
    <row r="1471" spans="1:12">
      <c r="A1471" s="53">
        <v>46133</v>
      </c>
      <c r="B1471" s="54">
        <f>Table13[[#This Row],[Date]]</f>
        <v>46133</v>
      </c>
      <c r="C1471" s="55" t="s">
        <v>14</v>
      </c>
      <c r="D1471" s="59" t="s">
        <v>104</v>
      </c>
      <c r="E1471" s="55" t="s">
        <v>72</v>
      </c>
      <c r="F1471" s="55" t="s">
        <v>60</v>
      </c>
      <c r="G1471" s="55">
        <v>1</v>
      </c>
      <c r="H1471" s="55"/>
      <c r="I1471" s="55"/>
      <c r="J1471" s="55"/>
      <c r="K1471" s="57"/>
      <c r="L1471" s="55"/>
    </row>
    <row r="1472" spans="1:12">
      <c r="A1472" s="53">
        <v>46133</v>
      </c>
      <c r="B1472" s="54">
        <f>Table13[[#This Row],[Date]]</f>
        <v>46133</v>
      </c>
      <c r="C1472" s="55" t="s">
        <v>14</v>
      </c>
      <c r="D1472" s="59" t="s">
        <v>104</v>
      </c>
      <c r="E1472" s="55" t="s">
        <v>76</v>
      </c>
      <c r="F1472" s="55" t="s">
        <v>60</v>
      </c>
      <c r="G1472" s="55">
        <v>1</v>
      </c>
      <c r="H1472" s="55"/>
      <c r="I1472" s="55"/>
      <c r="J1472" s="55"/>
      <c r="K1472" s="57"/>
      <c r="L1472" s="55"/>
    </row>
    <row r="1473" spans="1:12">
      <c r="A1473" s="53">
        <v>46134</v>
      </c>
      <c r="B1473" s="54">
        <f>Table13[[#This Row],[Date]]</f>
        <v>46134</v>
      </c>
      <c r="C1473" s="55" t="s">
        <v>23</v>
      </c>
      <c r="D1473" s="61" t="s">
        <v>125</v>
      </c>
      <c r="E1473" s="55" t="s">
        <v>18</v>
      </c>
      <c r="F1473" s="55" t="s">
        <v>19</v>
      </c>
      <c r="G1473" s="55">
        <v>1</v>
      </c>
      <c r="H1473" s="55"/>
      <c r="I1473" s="55"/>
      <c r="J1473" s="55"/>
      <c r="K1473" s="57"/>
      <c r="L1473" s="55"/>
    </row>
    <row r="1474" spans="1:12">
      <c r="A1474" s="53">
        <v>46134</v>
      </c>
      <c r="B1474" s="54">
        <f>Table13[[#This Row],[Date]]</f>
        <v>46134</v>
      </c>
      <c r="C1474" s="55" t="s">
        <v>23</v>
      </c>
      <c r="D1474" s="61" t="s">
        <v>106</v>
      </c>
      <c r="E1474" s="64" t="s">
        <v>28</v>
      </c>
      <c r="F1474" s="55" t="s">
        <v>19</v>
      </c>
      <c r="G1474" s="55">
        <v>1</v>
      </c>
      <c r="H1474" s="55"/>
      <c r="I1474" s="55"/>
      <c r="J1474" s="55"/>
      <c r="K1474" s="57"/>
      <c r="L1474" s="55"/>
    </row>
    <row r="1475" spans="1:12">
      <c r="A1475" s="53">
        <v>46134</v>
      </c>
      <c r="B1475" s="54">
        <f>Table13[[#This Row],[Date]]</f>
        <v>46134</v>
      </c>
      <c r="C1475" s="55" t="s">
        <v>23</v>
      </c>
      <c r="D1475" s="61" t="s">
        <v>106</v>
      </c>
      <c r="E1475" s="55" t="s">
        <v>107</v>
      </c>
      <c r="F1475" s="55" t="s">
        <v>19</v>
      </c>
      <c r="G1475" s="55">
        <v>1</v>
      </c>
      <c r="H1475" s="55"/>
      <c r="I1475" s="55"/>
      <c r="J1475" s="55"/>
      <c r="K1475" s="57"/>
      <c r="L1475" s="55"/>
    </row>
    <row r="1476" spans="1:12">
      <c r="A1476" s="53">
        <v>46134</v>
      </c>
      <c r="B1476" s="54">
        <f>Table13[[#This Row],[Date]]</f>
        <v>46134</v>
      </c>
      <c r="C1476" s="55" t="s">
        <v>23</v>
      </c>
      <c r="D1476" s="61" t="s">
        <v>106</v>
      </c>
      <c r="E1476" s="64" t="s">
        <v>41</v>
      </c>
      <c r="F1476" s="55" t="s">
        <v>19</v>
      </c>
      <c r="G1476" s="55">
        <v>1</v>
      </c>
      <c r="H1476" s="55"/>
      <c r="I1476" s="55"/>
      <c r="J1476" s="55"/>
      <c r="K1476" s="57"/>
      <c r="L1476" s="55"/>
    </row>
    <row r="1477" spans="1:12">
      <c r="A1477" s="53">
        <v>46135</v>
      </c>
      <c r="B1477" s="54">
        <f>Table13[[#This Row],[Date]]</f>
        <v>46135</v>
      </c>
      <c r="C1477" s="55" t="s">
        <v>16</v>
      </c>
      <c r="D1477" s="59" t="s">
        <v>133</v>
      </c>
      <c r="E1477" s="55" t="s">
        <v>21</v>
      </c>
      <c r="F1477" s="55" t="s">
        <v>19</v>
      </c>
      <c r="G1477" s="55">
        <v>1</v>
      </c>
      <c r="H1477" s="55"/>
      <c r="I1477" s="55"/>
      <c r="J1477" s="55"/>
      <c r="K1477" s="57"/>
      <c r="L1477" s="55"/>
    </row>
    <row r="1478" spans="1:12">
      <c r="A1478" s="53">
        <v>46135</v>
      </c>
      <c r="B1478" s="54">
        <f>Table13[[#This Row],[Date]]</f>
        <v>46135</v>
      </c>
      <c r="C1478" s="55" t="s">
        <v>16</v>
      </c>
      <c r="D1478" s="59" t="s">
        <v>135</v>
      </c>
      <c r="E1478" s="77" t="s">
        <v>47</v>
      </c>
      <c r="F1478" s="55" t="s">
        <v>19</v>
      </c>
      <c r="G1478" s="55">
        <v>1</v>
      </c>
      <c r="H1478" s="55"/>
      <c r="I1478" s="55"/>
      <c r="J1478" s="55"/>
      <c r="K1478" s="57"/>
      <c r="L1478" s="55"/>
    </row>
    <row r="1479" spans="1:12">
      <c r="A1479" s="53">
        <v>46135</v>
      </c>
      <c r="B1479" s="54">
        <f>Table13[[#This Row],[Date]]</f>
        <v>46135</v>
      </c>
      <c r="C1479" s="55" t="s">
        <v>16</v>
      </c>
      <c r="D1479" s="59" t="s">
        <v>135</v>
      </c>
      <c r="E1479" s="76" t="s">
        <v>53</v>
      </c>
      <c r="F1479" s="55" t="s">
        <v>19</v>
      </c>
      <c r="G1479" s="55">
        <v>1</v>
      </c>
      <c r="H1479" s="55"/>
      <c r="I1479" s="55"/>
      <c r="J1479" s="55"/>
      <c r="K1479" s="57"/>
      <c r="L1479" s="55"/>
    </row>
    <row r="1480" spans="1:12">
      <c r="A1480" s="53">
        <v>46135</v>
      </c>
      <c r="B1480" s="54">
        <f>Table13[[#This Row],[Date]]</f>
        <v>46135</v>
      </c>
      <c r="C1480" s="55" t="s">
        <v>23</v>
      </c>
      <c r="D1480" s="59" t="s">
        <v>106</v>
      </c>
      <c r="E1480" s="64" t="s">
        <v>18</v>
      </c>
      <c r="F1480" s="55" t="s">
        <v>19</v>
      </c>
      <c r="G1480" s="55">
        <v>1</v>
      </c>
      <c r="H1480" s="55"/>
      <c r="I1480" s="55"/>
      <c r="J1480" s="55"/>
      <c r="K1480" s="57"/>
      <c r="L1480" s="55"/>
    </row>
    <row r="1481" spans="1:12">
      <c r="A1481" s="53">
        <v>46135</v>
      </c>
      <c r="B1481" s="54">
        <f>Table13[[#This Row],[Date]]</f>
        <v>46135</v>
      </c>
      <c r="C1481" s="55" t="s">
        <v>23</v>
      </c>
      <c r="D1481" s="59" t="s">
        <v>106</v>
      </c>
      <c r="E1481" s="64" t="s">
        <v>21</v>
      </c>
      <c r="F1481" s="55" t="s">
        <v>19</v>
      </c>
      <c r="G1481" s="55">
        <v>1</v>
      </c>
      <c r="H1481" s="55"/>
      <c r="I1481" s="55"/>
      <c r="J1481" s="55"/>
      <c r="K1481" s="57"/>
      <c r="L1481" s="55"/>
    </row>
    <row r="1482" spans="1:12">
      <c r="A1482" s="53">
        <v>46135</v>
      </c>
      <c r="B1482" s="54">
        <f>Table13[[#This Row],[Date]]</f>
        <v>46135</v>
      </c>
      <c r="C1482" s="55" t="s">
        <v>23</v>
      </c>
      <c r="D1482" s="59" t="s">
        <v>106</v>
      </c>
      <c r="E1482" s="64" t="s">
        <v>49</v>
      </c>
      <c r="F1482" s="55" t="s">
        <v>19</v>
      </c>
      <c r="G1482" s="55">
        <v>1</v>
      </c>
      <c r="H1482" s="55"/>
      <c r="I1482" s="55"/>
      <c r="J1482" s="55"/>
      <c r="K1482" s="57"/>
      <c r="L1482" s="55"/>
    </row>
    <row r="1483" spans="1:12">
      <c r="A1483" s="53">
        <v>46136</v>
      </c>
      <c r="B1483" s="54">
        <f>Table13[[#This Row],[Date]]</f>
        <v>46136</v>
      </c>
      <c r="C1483" s="55" t="s">
        <v>23</v>
      </c>
      <c r="D1483" s="59" t="s">
        <v>114</v>
      </c>
      <c r="E1483" s="55" t="s">
        <v>18</v>
      </c>
      <c r="F1483" s="55" t="s">
        <v>19</v>
      </c>
      <c r="G1483" s="55">
        <v>1</v>
      </c>
      <c r="H1483" s="55"/>
      <c r="I1483" s="55"/>
      <c r="J1483" s="55"/>
      <c r="K1483" s="57"/>
      <c r="L1483" s="55"/>
    </row>
    <row r="1484" spans="1:12">
      <c r="A1484" s="53">
        <v>46136</v>
      </c>
      <c r="B1484" s="54">
        <f>Table13[[#This Row],[Date]]</f>
        <v>46136</v>
      </c>
      <c r="C1484" s="55" t="s">
        <v>23</v>
      </c>
      <c r="D1484" s="59" t="s">
        <v>114</v>
      </c>
      <c r="E1484" s="55" t="s">
        <v>21</v>
      </c>
      <c r="F1484" s="55" t="s">
        <v>19</v>
      </c>
      <c r="G1484" s="55">
        <v>1</v>
      </c>
      <c r="H1484" s="55"/>
      <c r="I1484" s="55"/>
      <c r="J1484" s="55"/>
      <c r="K1484" s="57"/>
      <c r="L1484" s="55"/>
    </row>
    <row r="1485" spans="1:12">
      <c r="A1485" s="103">
        <v>46136</v>
      </c>
      <c r="B1485" s="104">
        <f>Table13[[#This Row],[Date]]</f>
        <v>46136</v>
      </c>
      <c r="C1485" s="105" t="s">
        <v>26</v>
      </c>
      <c r="D1485" s="106" t="s">
        <v>115</v>
      </c>
      <c r="E1485" s="105" t="s">
        <v>18</v>
      </c>
      <c r="F1485" s="105" t="s">
        <v>19</v>
      </c>
      <c r="G1485" s="105">
        <v>1</v>
      </c>
      <c r="H1485" s="105"/>
      <c r="I1485" s="105"/>
      <c r="J1485" s="105"/>
      <c r="K1485" s="108"/>
      <c r="L1485" s="105"/>
    </row>
    <row r="1486" spans="1:12">
      <c r="A1486" s="98">
        <v>46136</v>
      </c>
      <c r="B1486" s="99">
        <f>Table13[[#This Row],[Date]]</f>
        <v>46136</v>
      </c>
      <c r="C1486" s="100"/>
      <c r="D1486" s="102" t="s">
        <v>123</v>
      </c>
      <c r="E1486" s="100" t="s">
        <v>18</v>
      </c>
      <c r="F1486" s="21" t="s">
        <v>19</v>
      </c>
      <c r="G1486" s="28">
        <v>1</v>
      </c>
      <c r="H1486" s="100"/>
      <c r="I1486" s="100"/>
      <c r="J1486" s="100"/>
      <c r="K1486" s="101"/>
      <c r="L1486" s="100"/>
    </row>
    <row r="1487" spans="1:12">
      <c r="A1487" s="98">
        <v>46136</v>
      </c>
      <c r="B1487" s="99">
        <f>Table13[[#This Row],[Date]]</f>
        <v>46136</v>
      </c>
      <c r="C1487" s="100"/>
      <c r="D1487" s="102" t="s">
        <v>123</v>
      </c>
      <c r="E1487" s="100" t="s">
        <v>21</v>
      </c>
      <c r="F1487" s="21" t="s">
        <v>19</v>
      </c>
      <c r="G1487" s="28">
        <v>1</v>
      </c>
      <c r="H1487" s="100"/>
      <c r="I1487" s="100"/>
      <c r="J1487" s="100"/>
      <c r="K1487" s="101"/>
      <c r="L1487" s="100"/>
    </row>
    <row r="1488" spans="1:12">
      <c r="A1488" s="98">
        <v>46136</v>
      </c>
      <c r="B1488" s="99">
        <f>Table13[[#This Row],[Date]]</f>
        <v>46136</v>
      </c>
      <c r="C1488" s="100"/>
      <c r="D1488" s="102" t="s">
        <v>123</v>
      </c>
      <c r="E1488" s="309" t="s">
        <v>47</v>
      </c>
      <c r="F1488" s="21" t="s">
        <v>19</v>
      </c>
      <c r="G1488" s="28">
        <v>1</v>
      </c>
      <c r="H1488" s="100"/>
      <c r="I1488" s="100"/>
      <c r="J1488" s="100"/>
      <c r="K1488" s="101"/>
      <c r="L1488" s="100"/>
    </row>
    <row r="1489" spans="1:12">
      <c r="A1489" s="53">
        <v>46139</v>
      </c>
      <c r="B1489" s="54">
        <f>Table13[[#This Row],[Date]]</f>
        <v>46139</v>
      </c>
      <c r="C1489" s="55" t="s">
        <v>23</v>
      </c>
      <c r="D1489" s="59" t="s">
        <v>209</v>
      </c>
      <c r="E1489" s="55" t="s">
        <v>18</v>
      </c>
      <c r="F1489" s="55" t="s">
        <v>19</v>
      </c>
      <c r="G1489" s="55">
        <v>1</v>
      </c>
      <c r="H1489" s="55"/>
      <c r="I1489" s="55"/>
      <c r="J1489" s="55"/>
      <c r="K1489" s="57"/>
      <c r="L1489" s="55"/>
    </row>
    <row r="1490" spans="1:12">
      <c r="A1490" s="53">
        <v>46139</v>
      </c>
      <c r="B1490" s="54">
        <f>Table13[[#This Row],[Date]]</f>
        <v>46139</v>
      </c>
      <c r="C1490" s="55" t="s">
        <v>23</v>
      </c>
      <c r="D1490" s="132" t="s">
        <v>122</v>
      </c>
      <c r="E1490" s="55" t="s">
        <v>21</v>
      </c>
      <c r="F1490" s="55" t="s">
        <v>19</v>
      </c>
      <c r="G1490" s="55">
        <v>2</v>
      </c>
      <c r="H1490" s="55"/>
      <c r="I1490" s="55"/>
      <c r="J1490" s="55"/>
      <c r="K1490" s="57"/>
      <c r="L1490" s="55"/>
    </row>
    <row r="1491" spans="1:12">
      <c r="A1491" s="110">
        <v>46139</v>
      </c>
      <c r="B1491" s="111">
        <f>Table13[[#This Row],[Date]]</f>
        <v>46139</v>
      </c>
      <c r="C1491" s="112" t="s">
        <v>26</v>
      </c>
      <c r="D1491" s="124" t="s">
        <v>169</v>
      </c>
      <c r="E1491" s="112" t="s">
        <v>18</v>
      </c>
      <c r="F1491" s="112" t="s">
        <v>19</v>
      </c>
      <c r="G1491" s="112">
        <v>1</v>
      </c>
      <c r="H1491" s="112"/>
      <c r="I1491" s="112"/>
      <c r="J1491" s="112"/>
      <c r="K1491" s="114"/>
      <c r="L1491" s="112"/>
    </row>
    <row r="1492" spans="1:12">
      <c r="A1492" s="53">
        <v>46140</v>
      </c>
      <c r="B1492" s="54">
        <f>Table13[[#This Row],[Date]]</f>
        <v>46140</v>
      </c>
      <c r="C1492" s="55" t="s">
        <v>14</v>
      </c>
      <c r="D1492" s="59" t="s">
        <v>104</v>
      </c>
      <c r="E1492" s="55" t="s">
        <v>18</v>
      </c>
      <c r="F1492" s="55" t="s">
        <v>19</v>
      </c>
      <c r="G1492" s="55">
        <v>1</v>
      </c>
      <c r="H1492" s="55"/>
      <c r="I1492" s="55"/>
      <c r="J1492" s="55"/>
      <c r="K1492" s="57"/>
      <c r="L1492" s="55"/>
    </row>
    <row r="1493" spans="1:12">
      <c r="A1493" s="53">
        <v>46140</v>
      </c>
      <c r="B1493" s="54">
        <f>Table13[[#This Row],[Date]]</f>
        <v>46140</v>
      </c>
      <c r="C1493" s="55" t="s">
        <v>14</v>
      </c>
      <c r="D1493" s="59" t="s">
        <v>104</v>
      </c>
      <c r="E1493" s="55" t="s">
        <v>21</v>
      </c>
      <c r="F1493" s="55" t="s">
        <v>19</v>
      </c>
      <c r="G1493" s="55">
        <v>1</v>
      </c>
      <c r="H1493" s="55"/>
      <c r="I1493" s="55"/>
      <c r="J1493" s="55"/>
      <c r="K1493" s="57"/>
      <c r="L1493" s="55"/>
    </row>
    <row r="1494" spans="1:12">
      <c r="A1494" s="48">
        <v>46140</v>
      </c>
      <c r="B1494" s="49">
        <f>Table13[[#This Row],[Date]]</f>
        <v>46140</v>
      </c>
      <c r="C1494" s="50" t="s">
        <v>4</v>
      </c>
      <c r="D1494" s="51" t="s">
        <v>32</v>
      </c>
      <c r="E1494" s="50"/>
      <c r="F1494" s="50"/>
      <c r="G1494" s="50"/>
      <c r="H1494" s="50"/>
      <c r="I1494" s="50"/>
      <c r="J1494" s="50"/>
      <c r="K1494" s="52"/>
      <c r="L1494" s="50"/>
    </row>
    <row r="1495" spans="1:12">
      <c r="A1495" s="48">
        <v>46140</v>
      </c>
      <c r="B1495" s="49">
        <f>Table13[[#This Row],[Date]]</f>
        <v>46140</v>
      </c>
      <c r="C1495" s="50" t="s">
        <v>149</v>
      </c>
      <c r="D1495" s="51" t="s">
        <v>150</v>
      </c>
      <c r="E1495" s="50"/>
      <c r="F1495" s="50"/>
      <c r="G1495" s="50"/>
      <c r="H1495" s="50"/>
      <c r="I1495" s="50"/>
      <c r="J1495" s="50"/>
      <c r="K1495" s="52"/>
      <c r="L1495" s="50"/>
    </row>
    <row r="1496" spans="1:12">
      <c r="A1496" s="15">
        <v>46141</v>
      </c>
      <c r="B1496" s="54">
        <f>Table13[[#This Row],[Date]]</f>
        <v>46141</v>
      </c>
      <c r="C1496" s="55" t="s">
        <v>14</v>
      </c>
      <c r="D1496" s="59" t="s">
        <v>124</v>
      </c>
      <c r="E1496" s="55" t="s">
        <v>18</v>
      </c>
      <c r="F1496" s="55" t="s">
        <v>19</v>
      </c>
      <c r="G1496" s="55">
        <v>1</v>
      </c>
      <c r="H1496" s="55"/>
      <c r="I1496" s="55"/>
      <c r="J1496" s="55"/>
      <c r="K1496" s="57"/>
      <c r="L1496" s="55"/>
    </row>
    <row r="1497" spans="1:12">
      <c r="A1497" s="53">
        <v>46142</v>
      </c>
      <c r="B1497" s="54">
        <f>Table13[[#This Row],[Date]]</f>
        <v>46142</v>
      </c>
      <c r="C1497" s="55" t="s">
        <v>23</v>
      </c>
      <c r="D1497" s="59" t="s">
        <v>146</v>
      </c>
      <c r="E1497" s="63" t="s">
        <v>18</v>
      </c>
      <c r="F1497" s="55" t="s">
        <v>19</v>
      </c>
      <c r="G1497" s="55">
        <v>1</v>
      </c>
      <c r="H1497" s="55"/>
      <c r="I1497" s="55"/>
      <c r="J1497" s="55"/>
      <c r="K1497" s="57"/>
      <c r="L1497" s="55"/>
    </row>
    <row r="1498" spans="1:12">
      <c r="A1498" s="53">
        <v>46142</v>
      </c>
      <c r="B1498" s="54">
        <f>Table13[[#This Row],[Date]]</f>
        <v>46142</v>
      </c>
      <c r="C1498" s="55" t="s">
        <v>23</v>
      </c>
      <c r="D1498" s="59" t="s">
        <v>146</v>
      </c>
      <c r="E1498" s="55" t="s">
        <v>21</v>
      </c>
      <c r="F1498" s="55" t="s">
        <v>19</v>
      </c>
      <c r="G1498" s="55">
        <v>1</v>
      </c>
      <c r="H1498" s="55"/>
      <c r="I1498" s="55"/>
      <c r="J1498" s="55"/>
      <c r="K1498" s="57"/>
      <c r="L1498" s="55"/>
    </row>
    <row r="1499" spans="1:12">
      <c r="A1499" s="53">
        <v>46142</v>
      </c>
      <c r="B1499" s="54">
        <f>Table13[[#This Row],[Date]]</f>
        <v>46142</v>
      </c>
      <c r="C1499" s="55" t="s">
        <v>23</v>
      </c>
      <c r="D1499" s="59" t="s">
        <v>146</v>
      </c>
      <c r="E1499" s="55" t="s">
        <v>147</v>
      </c>
      <c r="F1499" s="55" t="s">
        <v>19</v>
      </c>
      <c r="G1499" s="55">
        <v>1</v>
      </c>
      <c r="H1499" s="55"/>
      <c r="I1499" s="55"/>
      <c r="J1499" s="55"/>
      <c r="K1499" s="57"/>
      <c r="L1499" s="55"/>
    </row>
    <row r="1500" spans="1:12">
      <c r="A1500" s="53">
        <v>46142</v>
      </c>
      <c r="B1500" s="54">
        <f>Table13[[#This Row],[Date]]</f>
        <v>46142</v>
      </c>
      <c r="C1500" s="55" t="s">
        <v>23</v>
      </c>
      <c r="D1500" s="59" t="s">
        <v>146</v>
      </c>
      <c r="E1500" s="55" t="s">
        <v>148</v>
      </c>
      <c r="F1500" s="55" t="s">
        <v>19</v>
      </c>
      <c r="G1500" s="55">
        <v>1</v>
      </c>
      <c r="H1500" s="55"/>
      <c r="I1500" s="55"/>
      <c r="J1500" s="55"/>
      <c r="K1500" s="57"/>
      <c r="L1500" s="55"/>
    </row>
    <row r="1501" spans="1:12">
      <c r="A1501" s="53">
        <v>46142</v>
      </c>
      <c r="B1501" s="17">
        <f>Table13[[#This Row],[Date]]</f>
        <v>46142</v>
      </c>
      <c r="C1501" s="1"/>
      <c r="D1501" s="61" t="s">
        <v>179</v>
      </c>
      <c r="E1501" s="55" t="s">
        <v>47</v>
      </c>
      <c r="F1501" s="55" t="s">
        <v>19</v>
      </c>
      <c r="G1501" s="55">
        <v>1</v>
      </c>
      <c r="H1501" s="1"/>
      <c r="I1501" s="1"/>
      <c r="J1501" s="1"/>
      <c r="K1501" s="3"/>
      <c r="L1501" s="1"/>
    </row>
    <row r="1502" spans="1:12">
      <c r="A1502" s="16">
        <v>46144</v>
      </c>
      <c r="B1502" s="18">
        <f>Table13[[#This Row],[Date]]</f>
        <v>46144</v>
      </c>
      <c r="C1502" s="10" t="s">
        <v>14</v>
      </c>
      <c r="D1502" s="9" t="s">
        <v>57</v>
      </c>
      <c r="E1502" s="55" t="s">
        <v>18</v>
      </c>
      <c r="F1502" s="55" t="s">
        <v>19</v>
      </c>
      <c r="G1502" s="55">
        <v>1</v>
      </c>
      <c r="H1502" s="1"/>
      <c r="I1502" s="1"/>
      <c r="J1502" s="1"/>
      <c r="K1502" s="3"/>
      <c r="L1502" s="1"/>
    </row>
    <row r="1503" spans="1:12">
      <c r="A1503" s="53">
        <v>46146</v>
      </c>
      <c r="B1503" s="54">
        <f>Table13[[#This Row],[Date]]</f>
        <v>46146</v>
      </c>
      <c r="C1503" s="55" t="s">
        <v>23</v>
      </c>
      <c r="D1503" s="91" t="s">
        <v>24</v>
      </c>
      <c r="E1503" s="64" t="s">
        <v>18</v>
      </c>
      <c r="F1503" s="55" t="s">
        <v>19</v>
      </c>
      <c r="G1503" s="55">
        <v>1</v>
      </c>
      <c r="H1503" s="55"/>
      <c r="I1503" s="55"/>
      <c r="J1503" s="55"/>
      <c r="K1503" s="57"/>
      <c r="L1503" s="55"/>
    </row>
    <row r="1504" spans="1:12">
      <c r="A1504" s="53">
        <v>46146</v>
      </c>
      <c r="B1504" s="54">
        <f>Table13[[#This Row],[Date]]</f>
        <v>46146</v>
      </c>
      <c r="C1504" s="55" t="s">
        <v>23</v>
      </c>
      <c r="D1504" s="91" t="s">
        <v>25</v>
      </c>
      <c r="E1504" s="64" t="s">
        <v>18</v>
      </c>
      <c r="F1504" s="55" t="s">
        <v>19</v>
      </c>
      <c r="G1504" s="55">
        <v>1</v>
      </c>
      <c r="H1504" s="55"/>
      <c r="I1504" s="55"/>
      <c r="J1504" s="55"/>
      <c r="K1504" s="57"/>
      <c r="L1504" s="55"/>
    </row>
    <row r="1505" spans="1:12">
      <c r="A1505" s="53">
        <v>46146</v>
      </c>
      <c r="B1505" s="54">
        <f>Table13[[#This Row],[Date]]</f>
        <v>46146</v>
      </c>
      <c r="C1505" s="55" t="s">
        <v>23</v>
      </c>
      <c r="D1505" s="91" t="s">
        <v>25</v>
      </c>
      <c r="E1505" s="64" t="s">
        <v>21</v>
      </c>
      <c r="F1505" s="55" t="s">
        <v>19</v>
      </c>
      <c r="G1505" s="55">
        <v>1</v>
      </c>
      <c r="H1505" s="55"/>
      <c r="I1505" s="55"/>
      <c r="J1505" s="55"/>
      <c r="K1505" s="57"/>
      <c r="L1505" s="55"/>
    </row>
    <row r="1506" spans="1:12">
      <c r="A1506" s="53">
        <v>46148</v>
      </c>
      <c r="B1506" s="54">
        <f>Table13[[#This Row],[Date]]</f>
        <v>46148</v>
      </c>
      <c r="C1506" s="55" t="s">
        <v>14</v>
      </c>
      <c r="D1506" s="91" t="s">
        <v>33</v>
      </c>
      <c r="E1506" s="76" t="s">
        <v>18</v>
      </c>
      <c r="F1506" s="55" t="s">
        <v>19</v>
      </c>
      <c r="G1506" s="55">
        <v>1</v>
      </c>
      <c r="H1506" s="55"/>
      <c r="I1506" s="55"/>
      <c r="J1506" s="55"/>
      <c r="K1506" s="57"/>
      <c r="L1506" s="55"/>
    </row>
    <row r="1507" spans="1:12">
      <c r="A1507" s="53">
        <v>46148</v>
      </c>
      <c r="B1507" s="54">
        <f>Table13[[#This Row],[Date]]</f>
        <v>46148</v>
      </c>
      <c r="C1507" s="55" t="s">
        <v>14</v>
      </c>
      <c r="D1507" s="91" t="s">
        <v>33</v>
      </c>
      <c r="E1507" s="55" t="s">
        <v>21</v>
      </c>
      <c r="F1507" s="55" t="s">
        <v>19</v>
      </c>
      <c r="G1507" s="55">
        <v>1</v>
      </c>
      <c r="H1507" s="55"/>
      <c r="I1507" s="55"/>
      <c r="J1507" s="55"/>
      <c r="K1507" s="57"/>
      <c r="L1507" s="55"/>
    </row>
    <row r="1508" spans="1:12">
      <c r="A1508" s="53">
        <v>46148</v>
      </c>
      <c r="B1508" s="54">
        <f>Table13[[#This Row],[Date]]</f>
        <v>46148</v>
      </c>
      <c r="C1508" s="55" t="s">
        <v>14</v>
      </c>
      <c r="D1508" s="91" t="s">
        <v>33</v>
      </c>
      <c r="E1508" s="77" t="s">
        <v>34</v>
      </c>
      <c r="F1508" s="55" t="s">
        <v>19</v>
      </c>
      <c r="G1508" s="55">
        <v>1</v>
      </c>
      <c r="H1508" s="55"/>
      <c r="I1508" s="55"/>
      <c r="J1508" s="55"/>
      <c r="K1508" s="57"/>
      <c r="L1508" s="55"/>
    </row>
    <row r="1509" spans="1:12">
      <c r="A1509" s="53">
        <v>46148</v>
      </c>
      <c r="B1509" s="54">
        <f>Table13[[#This Row],[Date]]</f>
        <v>46148</v>
      </c>
      <c r="C1509" s="55" t="s">
        <v>14</v>
      </c>
      <c r="D1509" s="91" t="s">
        <v>33</v>
      </c>
      <c r="E1509" s="77" t="s">
        <v>35</v>
      </c>
      <c r="F1509" s="55" t="s">
        <v>19</v>
      </c>
      <c r="G1509" s="55">
        <v>1</v>
      </c>
      <c r="H1509" s="55"/>
      <c r="I1509" s="55"/>
      <c r="J1509" s="55"/>
      <c r="K1509" s="57"/>
      <c r="L1509" s="55"/>
    </row>
    <row r="1510" spans="1:12">
      <c r="A1510" s="15">
        <v>46148</v>
      </c>
      <c r="B1510" s="104">
        <f>Table13[[#This Row],[Date]]</f>
        <v>46148</v>
      </c>
      <c r="C1510" s="105" t="s">
        <v>16</v>
      </c>
      <c r="D1510" s="271" t="s">
        <v>22</v>
      </c>
      <c r="E1510" s="107" t="s">
        <v>18</v>
      </c>
      <c r="F1510" s="105" t="s">
        <v>19</v>
      </c>
      <c r="G1510" s="105">
        <v>1</v>
      </c>
      <c r="H1510" s="105"/>
      <c r="I1510" s="105"/>
      <c r="J1510" s="105"/>
      <c r="K1510" s="108"/>
      <c r="L1510" s="105"/>
    </row>
    <row r="1511" spans="1:12">
      <c r="A1511" s="53">
        <v>46148</v>
      </c>
      <c r="B1511" s="54">
        <f>Table13[[#This Row],[Date]]</f>
        <v>46148</v>
      </c>
      <c r="C1511" s="55" t="s">
        <v>23</v>
      </c>
      <c r="D1511" s="59" t="s">
        <v>36</v>
      </c>
      <c r="E1511" s="55" t="s">
        <v>18</v>
      </c>
      <c r="F1511" s="55" t="s">
        <v>19</v>
      </c>
      <c r="G1511" s="55">
        <v>1</v>
      </c>
      <c r="H1511" s="55"/>
      <c r="I1511" s="55"/>
      <c r="J1511" s="55"/>
      <c r="K1511" s="57"/>
      <c r="L1511" s="55"/>
    </row>
    <row r="1512" spans="1:12">
      <c r="A1512" s="15">
        <v>46148</v>
      </c>
      <c r="B1512" s="17">
        <f>Table13[[#This Row],[Date]]</f>
        <v>46148</v>
      </c>
      <c r="C1512" s="1" t="s">
        <v>23</v>
      </c>
      <c r="D1512" s="141" t="s">
        <v>38</v>
      </c>
      <c r="E1512" s="1" t="s">
        <v>18</v>
      </c>
      <c r="F1512" s="1" t="s">
        <v>19</v>
      </c>
      <c r="G1512" s="1">
        <v>1</v>
      </c>
      <c r="H1512" s="1"/>
      <c r="I1512" s="1"/>
      <c r="J1512" s="1"/>
      <c r="K1512" s="3"/>
      <c r="L1512" s="1"/>
    </row>
    <row r="1513" spans="1:12">
      <c r="A1513" s="53">
        <v>46149</v>
      </c>
      <c r="B1513" s="54">
        <f>Table13[[#This Row],[Date]]</f>
        <v>46149</v>
      </c>
      <c r="C1513" s="55" t="s">
        <v>14</v>
      </c>
      <c r="D1513" s="91" t="s">
        <v>33</v>
      </c>
      <c r="E1513" s="64" t="s">
        <v>41</v>
      </c>
      <c r="F1513" s="55" t="s">
        <v>19</v>
      </c>
      <c r="G1513" s="55">
        <v>1</v>
      </c>
      <c r="H1513" s="55"/>
      <c r="I1513" s="55"/>
      <c r="J1513" s="55"/>
      <c r="K1513" s="57"/>
      <c r="L1513" s="55"/>
    </row>
    <row r="1514" spans="1:12">
      <c r="A1514" s="53">
        <v>46149</v>
      </c>
      <c r="B1514" s="54">
        <f>Table13[[#This Row],[Date]]</f>
        <v>46149</v>
      </c>
      <c r="C1514" s="55" t="s">
        <v>14</v>
      </c>
      <c r="D1514" s="91" t="s">
        <v>33</v>
      </c>
      <c r="E1514" s="55" t="s">
        <v>42</v>
      </c>
      <c r="F1514" s="55" t="s">
        <v>19</v>
      </c>
      <c r="G1514" s="55">
        <v>1</v>
      </c>
      <c r="H1514" s="55"/>
      <c r="I1514" s="55"/>
      <c r="J1514" s="55"/>
      <c r="K1514" s="57"/>
      <c r="L1514" s="55"/>
    </row>
    <row r="1515" spans="1:12">
      <c r="A1515" s="53">
        <v>46149</v>
      </c>
      <c r="B1515" s="54">
        <f>Table13[[#This Row],[Date]]</f>
        <v>46149</v>
      </c>
      <c r="C1515" s="55" t="s">
        <v>14</v>
      </c>
      <c r="D1515" s="91" t="s">
        <v>33</v>
      </c>
      <c r="E1515" s="63" t="s">
        <v>43</v>
      </c>
      <c r="F1515" s="55" t="s">
        <v>19</v>
      </c>
      <c r="G1515" s="55">
        <v>1</v>
      </c>
      <c r="H1515" s="55"/>
      <c r="I1515" s="55"/>
      <c r="J1515" s="55"/>
      <c r="K1515" s="57"/>
      <c r="L1515" s="55"/>
    </row>
    <row r="1516" spans="1:12">
      <c r="A1516" s="53">
        <v>46149</v>
      </c>
      <c r="B1516" s="54">
        <f>Table13[[#This Row],[Date]]</f>
        <v>46149</v>
      </c>
      <c r="C1516" s="55" t="s">
        <v>14</v>
      </c>
      <c r="D1516" s="91" t="s">
        <v>33</v>
      </c>
      <c r="E1516" s="64" t="s">
        <v>44</v>
      </c>
      <c r="F1516" s="55" t="s">
        <v>19</v>
      </c>
      <c r="G1516" s="55">
        <v>1</v>
      </c>
      <c r="H1516" s="55"/>
      <c r="I1516" s="55"/>
      <c r="J1516" s="55"/>
      <c r="K1516" s="57"/>
      <c r="L1516" s="55"/>
    </row>
    <row r="1517" spans="1:12">
      <c r="A1517" s="53">
        <v>46149</v>
      </c>
      <c r="B1517" s="54">
        <f>Table13[[#This Row],[Date]]</f>
        <v>46149</v>
      </c>
      <c r="C1517" s="55" t="s">
        <v>14</v>
      </c>
      <c r="D1517" s="91" t="s">
        <v>33</v>
      </c>
      <c r="E1517" s="64" t="s">
        <v>45</v>
      </c>
      <c r="F1517" s="55" t="s">
        <v>19</v>
      </c>
      <c r="G1517" s="55">
        <v>1</v>
      </c>
      <c r="H1517" s="55"/>
      <c r="I1517" s="55"/>
      <c r="J1517" s="55"/>
      <c r="K1517" s="57"/>
      <c r="L1517" s="55"/>
    </row>
    <row r="1518" spans="1:12">
      <c r="A1518" s="53">
        <v>46150</v>
      </c>
      <c r="B1518" s="54">
        <f>Table13[[#This Row],[Date]]</f>
        <v>46150</v>
      </c>
      <c r="C1518" s="55" t="s">
        <v>23</v>
      </c>
      <c r="D1518" s="91" t="s">
        <v>54</v>
      </c>
      <c r="E1518" s="64" t="s">
        <v>18</v>
      </c>
      <c r="F1518" s="55" t="s">
        <v>19</v>
      </c>
      <c r="G1518" s="55">
        <v>1</v>
      </c>
      <c r="H1518" s="55"/>
      <c r="I1518" s="55"/>
      <c r="J1518" s="55"/>
      <c r="K1518" s="57"/>
      <c r="L1518" s="55"/>
    </row>
    <row r="1519" spans="1:12">
      <c r="A1519" s="53">
        <v>46150</v>
      </c>
      <c r="B1519" s="54">
        <f>Table13[[#This Row],[Date]]</f>
        <v>46150</v>
      </c>
      <c r="C1519" s="55" t="s">
        <v>23</v>
      </c>
      <c r="D1519" s="91" t="s">
        <v>54</v>
      </c>
      <c r="E1519" s="64" t="s">
        <v>21</v>
      </c>
      <c r="F1519" s="55" t="s">
        <v>19</v>
      </c>
      <c r="G1519" s="55">
        <v>1</v>
      </c>
      <c r="H1519" s="55"/>
      <c r="I1519" s="55"/>
      <c r="J1519" s="55"/>
      <c r="K1519" s="57"/>
      <c r="L1519" s="55"/>
    </row>
    <row r="1520" spans="1:12">
      <c r="A1520" s="15">
        <v>46153</v>
      </c>
      <c r="B1520" s="17">
        <f>Table13[[#This Row],[Date]]</f>
        <v>46153</v>
      </c>
      <c r="C1520" s="1" t="s">
        <v>14</v>
      </c>
      <c r="D1520" s="152" t="s">
        <v>66</v>
      </c>
      <c r="E1520" s="1" t="s">
        <v>18</v>
      </c>
      <c r="F1520" s="1" t="s">
        <v>19</v>
      </c>
      <c r="G1520" s="1">
        <v>1</v>
      </c>
      <c r="H1520" s="1"/>
      <c r="I1520" s="1"/>
      <c r="J1520" s="1"/>
      <c r="K1520" s="3"/>
      <c r="L1520" s="1"/>
    </row>
    <row r="1521" spans="1:12">
      <c r="A1521" s="103">
        <v>46153</v>
      </c>
      <c r="B1521" s="104">
        <f>Table13[[#This Row],[Date]]</f>
        <v>46153</v>
      </c>
      <c r="C1521" s="105" t="s">
        <v>23</v>
      </c>
      <c r="D1521" s="109" t="s">
        <v>68</v>
      </c>
      <c r="E1521" s="107" t="s">
        <v>18</v>
      </c>
      <c r="F1521" s="105" t="s">
        <v>19</v>
      </c>
      <c r="G1521" s="105">
        <v>1</v>
      </c>
      <c r="H1521" s="105"/>
      <c r="I1521" s="105"/>
      <c r="J1521" s="105"/>
      <c r="K1521" s="108"/>
      <c r="L1521" s="105"/>
    </row>
    <row r="1522" spans="1:12">
      <c r="A1522" s="103">
        <v>46153</v>
      </c>
      <c r="B1522" s="104">
        <f>Table13[[#This Row],[Date]]</f>
        <v>46153</v>
      </c>
      <c r="C1522" s="105" t="s">
        <v>23</v>
      </c>
      <c r="D1522" s="109" t="s">
        <v>68</v>
      </c>
      <c r="E1522" s="107" t="s">
        <v>21</v>
      </c>
      <c r="F1522" s="105" t="s">
        <v>19</v>
      </c>
      <c r="G1522" s="105">
        <v>1</v>
      </c>
      <c r="H1522" s="105"/>
      <c r="I1522" s="105"/>
      <c r="J1522" s="105"/>
      <c r="K1522" s="108"/>
      <c r="L1522" s="105"/>
    </row>
    <row r="1523" spans="1:12">
      <c r="A1523" s="103">
        <v>46153</v>
      </c>
      <c r="B1523" s="104">
        <f>Table13[[#This Row],[Date]]</f>
        <v>46153</v>
      </c>
      <c r="C1523" s="105" t="s">
        <v>23</v>
      </c>
      <c r="D1523" s="109" t="s">
        <v>68</v>
      </c>
      <c r="E1523" s="107" t="s">
        <v>49</v>
      </c>
      <c r="F1523" s="105" t="s">
        <v>19</v>
      </c>
      <c r="G1523" s="105">
        <v>1</v>
      </c>
      <c r="H1523" s="105"/>
      <c r="I1523" s="105"/>
      <c r="J1523" s="105"/>
      <c r="K1523" s="108"/>
      <c r="L1523" s="105"/>
    </row>
    <row r="1524" spans="1:12">
      <c r="A1524" s="103">
        <v>46153</v>
      </c>
      <c r="B1524" s="104">
        <f>Table13[[#This Row],[Date]]</f>
        <v>46153</v>
      </c>
      <c r="C1524" s="105" t="s">
        <v>23</v>
      </c>
      <c r="D1524" s="109" t="s">
        <v>68</v>
      </c>
      <c r="E1524" s="120" t="s">
        <v>41</v>
      </c>
      <c r="F1524" s="105" t="s">
        <v>19</v>
      </c>
      <c r="G1524" s="105">
        <v>1</v>
      </c>
      <c r="H1524" s="105"/>
      <c r="I1524" s="105"/>
      <c r="J1524" s="105"/>
      <c r="K1524" s="108"/>
      <c r="L1524" s="105"/>
    </row>
    <row r="1525" spans="1:12">
      <c r="A1525" s="53">
        <v>46154</v>
      </c>
      <c r="B1525" s="54">
        <f>Table13[[#This Row],[Date]]</f>
        <v>46154</v>
      </c>
      <c r="C1525" s="55" t="s">
        <v>14</v>
      </c>
      <c r="D1525" s="59" t="s">
        <v>104</v>
      </c>
      <c r="E1525" s="55" t="s">
        <v>59</v>
      </c>
      <c r="F1525" s="55" t="s">
        <v>60</v>
      </c>
      <c r="G1525" s="55">
        <v>1</v>
      </c>
      <c r="H1525" s="55"/>
      <c r="I1525" s="55"/>
      <c r="J1525" s="55"/>
      <c r="K1525" s="57"/>
      <c r="L1525" s="55"/>
    </row>
    <row r="1526" spans="1:12">
      <c r="A1526" s="53">
        <v>46154</v>
      </c>
      <c r="B1526" s="54">
        <f>Table13[[#This Row],[Date]]</f>
        <v>46154</v>
      </c>
      <c r="C1526" s="55" t="s">
        <v>14</v>
      </c>
      <c r="D1526" s="59" t="s">
        <v>104</v>
      </c>
      <c r="E1526" s="55" t="s">
        <v>61</v>
      </c>
      <c r="F1526" s="55" t="s">
        <v>60</v>
      </c>
      <c r="G1526" s="55">
        <v>1</v>
      </c>
      <c r="H1526" s="55"/>
      <c r="I1526" s="55"/>
      <c r="J1526" s="55"/>
      <c r="K1526" s="57"/>
      <c r="L1526" s="55"/>
    </row>
    <row r="1527" spans="1:12">
      <c r="A1527" s="103">
        <v>46155</v>
      </c>
      <c r="B1527" s="104">
        <f>Table13[[#This Row],[Date]]</f>
        <v>46155</v>
      </c>
      <c r="C1527" s="105" t="s">
        <v>23</v>
      </c>
      <c r="D1527" s="109" t="s">
        <v>68</v>
      </c>
      <c r="E1527" s="105" t="s">
        <v>47</v>
      </c>
      <c r="F1527" s="105" t="s">
        <v>19</v>
      </c>
      <c r="G1527" s="105">
        <v>1</v>
      </c>
      <c r="H1527" s="105"/>
      <c r="I1527" s="105"/>
      <c r="J1527" s="105"/>
      <c r="K1527" s="108"/>
      <c r="L1527" s="105"/>
    </row>
    <row r="1528" spans="1:12">
      <c r="A1528" s="53">
        <v>46157</v>
      </c>
      <c r="B1528" s="54">
        <f>Table13[[#This Row],[Date]]</f>
        <v>46157</v>
      </c>
      <c r="C1528" s="55" t="s">
        <v>23</v>
      </c>
      <c r="D1528" s="59" t="s">
        <v>81</v>
      </c>
      <c r="E1528" s="55" t="s">
        <v>18</v>
      </c>
      <c r="F1528" s="55" t="s">
        <v>19</v>
      </c>
      <c r="G1528" s="55">
        <v>1</v>
      </c>
      <c r="H1528" s="55"/>
      <c r="I1528" s="55"/>
      <c r="J1528" s="55"/>
      <c r="K1528" s="57"/>
      <c r="L1528" s="55"/>
    </row>
    <row r="1529" spans="1:12">
      <c r="A1529" s="53">
        <v>46157</v>
      </c>
      <c r="B1529" s="54">
        <f>Table13[[#This Row],[Date]]</f>
        <v>46157</v>
      </c>
      <c r="C1529" s="55" t="s">
        <v>23</v>
      </c>
      <c r="D1529" s="59" t="s">
        <v>114</v>
      </c>
      <c r="E1529" s="55" t="s">
        <v>18</v>
      </c>
      <c r="F1529" s="55" t="s">
        <v>19</v>
      </c>
      <c r="G1529" s="55">
        <v>1</v>
      </c>
      <c r="H1529" s="55"/>
      <c r="I1529" s="55"/>
      <c r="J1529" s="55"/>
      <c r="K1529" s="57"/>
      <c r="L1529" s="55"/>
    </row>
    <row r="1530" spans="1:12">
      <c r="A1530" s="53">
        <v>46157</v>
      </c>
      <c r="B1530" s="54">
        <f>Table13[[#This Row],[Date]]</f>
        <v>46157</v>
      </c>
      <c r="C1530" s="55" t="s">
        <v>23</v>
      </c>
      <c r="D1530" s="59" t="s">
        <v>114</v>
      </c>
      <c r="E1530" s="55" t="s">
        <v>21</v>
      </c>
      <c r="F1530" s="55" t="s">
        <v>19</v>
      </c>
      <c r="G1530" s="55">
        <v>1</v>
      </c>
      <c r="H1530" s="55"/>
      <c r="I1530" s="55"/>
      <c r="J1530" s="55"/>
      <c r="K1530" s="57"/>
      <c r="L1530" s="55"/>
    </row>
    <row r="1531" spans="1:12">
      <c r="A1531" s="53">
        <v>46157</v>
      </c>
      <c r="B1531" s="54">
        <f>Table13[[#This Row],[Date]]</f>
        <v>46157</v>
      </c>
      <c r="C1531" s="55" t="s">
        <v>23</v>
      </c>
      <c r="D1531" s="61" t="s">
        <v>83</v>
      </c>
      <c r="E1531" s="55" t="s">
        <v>18</v>
      </c>
      <c r="F1531" s="55" t="s">
        <v>19</v>
      </c>
      <c r="G1531" s="55">
        <v>1</v>
      </c>
      <c r="H1531" s="55"/>
      <c r="I1531" s="55"/>
      <c r="J1531" s="55"/>
      <c r="K1531" s="57"/>
      <c r="L1531" s="55"/>
    </row>
    <row r="1532" spans="1:12">
      <c r="A1532" s="53">
        <v>46161</v>
      </c>
      <c r="B1532" s="54">
        <f>Table13[[#This Row],[Date]]</f>
        <v>46161</v>
      </c>
      <c r="C1532" s="55" t="s">
        <v>14</v>
      </c>
      <c r="D1532" s="59" t="s">
        <v>104</v>
      </c>
      <c r="E1532" s="55" t="s">
        <v>72</v>
      </c>
      <c r="F1532" s="55" t="s">
        <v>60</v>
      </c>
      <c r="G1532" s="55">
        <v>1</v>
      </c>
      <c r="H1532" s="55"/>
      <c r="I1532" s="55"/>
      <c r="J1532" s="55"/>
      <c r="K1532" s="57"/>
      <c r="L1532" s="55"/>
    </row>
    <row r="1533" spans="1:12">
      <c r="A1533" s="53">
        <v>46161</v>
      </c>
      <c r="B1533" s="54">
        <f>Table13[[#This Row],[Date]]</f>
        <v>46161</v>
      </c>
      <c r="C1533" s="55" t="s">
        <v>14</v>
      </c>
      <c r="D1533" s="59" t="s">
        <v>104</v>
      </c>
      <c r="E1533" s="63" t="s">
        <v>76</v>
      </c>
      <c r="F1533" s="55" t="s">
        <v>60</v>
      </c>
      <c r="G1533" s="55">
        <v>1</v>
      </c>
      <c r="H1533" s="55"/>
      <c r="I1533" s="55"/>
      <c r="J1533" s="55"/>
      <c r="K1533" s="57"/>
      <c r="L1533" s="55"/>
    </row>
    <row r="1534" spans="1:12">
      <c r="A1534" s="103">
        <v>46164</v>
      </c>
      <c r="B1534" s="104">
        <f>Table13[[#This Row],[Date]]</f>
        <v>46164</v>
      </c>
      <c r="C1534" s="105" t="s">
        <v>26</v>
      </c>
      <c r="D1534" s="106" t="s">
        <v>115</v>
      </c>
      <c r="E1534" s="105" t="s">
        <v>28</v>
      </c>
      <c r="F1534" s="105" t="s">
        <v>19</v>
      </c>
      <c r="G1534" s="105">
        <v>1</v>
      </c>
      <c r="H1534" s="105"/>
      <c r="I1534" s="105"/>
      <c r="J1534" s="105"/>
      <c r="K1534" s="108"/>
      <c r="L1534" s="105"/>
    </row>
    <row r="1535" spans="1:12">
      <c r="A1535" s="98">
        <v>46164</v>
      </c>
      <c r="B1535" s="99">
        <f>Table13[[#This Row],[Date]]</f>
        <v>46164</v>
      </c>
      <c r="C1535" s="100" t="s">
        <v>26</v>
      </c>
      <c r="D1535" s="102" t="s">
        <v>102</v>
      </c>
      <c r="E1535" s="121" t="s">
        <v>18</v>
      </c>
      <c r="F1535" s="100" t="s">
        <v>19</v>
      </c>
      <c r="G1535" s="100">
        <v>1</v>
      </c>
      <c r="H1535" s="100"/>
      <c r="I1535" s="100"/>
      <c r="J1535" s="100"/>
      <c r="K1535" s="101"/>
      <c r="L1535" s="100"/>
    </row>
    <row r="1536" spans="1:12">
      <c r="A1536" s="98">
        <v>46164</v>
      </c>
      <c r="B1536" s="99">
        <f>Table13[[#This Row],[Date]]</f>
        <v>46164</v>
      </c>
      <c r="C1536" s="100"/>
      <c r="D1536" s="102" t="s">
        <v>123</v>
      </c>
      <c r="E1536" s="100" t="s">
        <v>18</v>
      </c>
      <c r="F1536" s="21" t="s">
        <v>19</v>
      </c>
      <c r="G1536" s="28">
        <v>1</v>
      </c>
      <c r="H1536" s="100"/>
      <c r="I1536" s="100"/>
      <c r="J1536" s="100"/>
      <c r="K1536" s="101"/>
      <c r="L1536" s="100"/>
    </row>
    <row r="1537" spans="1:12">
      <c r="A1537" s="98">
        <v>46164</v>
      </c>
      <c r="B1537" s="99">
        <f>Table13[[#This Row],[Date]]</f>
        <v>46164</v>
      </c>
      <c r="C1537" s="100"/>
      <c r="D1537" s="102" t="s">
        <v>123</v>
      </c>
      <c r="E1537" s="100" t="s">
        <v>21</v>
      </c>
      <c r="F1537" s="21" t="s">
        <v>19</v>
      </c>
      <c r="G1537" s="28">
        <v>1</v>
      </c>
      <c r="H1537" s="100"/>
      <c r="I1537" s="100"/>
      <c r="J1537" s="100"/>
      <c r="K1537" s="101"/>
      <c r="L1537" s="100"/>
    </row>
    <row r="1538" spans="1:12">
      <c r="A1538" s="98">
        <v>46164</v>
      </c>
      <c r="B1538" s="99">
        <f>Table13[[#This Row],[Date]]</f>
        <v>46164</v>
      </c>
      <c r="C1538" s="100"/>
      <c r="D1538" s="102" t="s">
        <v>123</v>
      </c>
      <c r="E1538" s="100" t="s">
        <v>47</v>
      </c>
      <c r="F1538" s="21" t="s">
        <v>19</v>
      </c>
      <c r="G1538" s="28">
        <v>1</v>
      </c>
      <c r="H1538" s="100"/>
      <c r="I1538" s="100"/>
      <c r="J1538" s="100"/>
      <c r="K1538" s="101"/>
      <c r="L1538" s="100"/>
    </row>
    <row r="1539" spans="1:12">
      <c r="A1539" s="53">
        <v>46167</v>
      </c>
      <c r="B1539" s="54">
        <f>Table13[[#This Row],[Date]]</f>
        <v>46167</v>
      </c>
      <c r="C1539" s="55" t="s">
        <v>23</v>
      </c>
      <c r="D1539" s="59" t="s">
        <v>210</v>
      </c>
      <c r="E1539" s="55" t="s">
        <v>21</v>
      </c>
      <c r="F1539" s="55" t="s">
        <v>19</v>
      </c>
      <c r="G1539" s="55">
        <v>1</v>
      </c>
      <c r="H1539" s="55"/>
      <c r="I1539" s="55"/>
      <c r="J1539" s="55"/>
      <c r="K1539" s="57"/>
      <c r="L1539" s="55"/>
    </row>
    <row r="1540" spans="1:12">
      <c r="A1540" s="53">
        <v>46168</v>
      </c>
      <c r="B1540" s="54">
        <f>Table13[[#This Row],[Date]]</f>
        <v>46168</v>
      </c>
      <c r="C1540" s="55" t="s">
        <v>14</v>
      </c>
      <c r="D1540" s="59" t="s">
        <v>104</v>
      </c>
      <c r="E1540" s="55" t="s">
        <v>18</v>
      </c>
      <c r="F1540" s="55" t="s">
        <v>19</v>
      </c>
      <c r="G1540" s="55">
        <v>1</v>
      </c>
      <c r="H1540" s="55"/>
      <c r="I1540" s="55"/>
      <c r="J1540" s="55"/>
      <c r="K1540" s="57"/>
      <c r="L1540" s="55"/>
    </row>
    <row r="1541" spans="1:12">
      <c r="A1541" s="53">
        <v>46168</v>
      </c>
      <c r="B1541" s="54">
        <f>Table13[[#This Row],[Date]]</f>
        <v>46168</v>
      </c>
      <c r="C1541" s="55" t="s">
        <v>14</v>
      </c>
      <c r="D1541" s="59" t="s">
        <v>104</v>
      </c>
      <c r="E1541" s="55" t="s">
        <v>21</v>
      </c>
      <c r="F1541" s="55" t="s">
        <v>19</v>
      </c>
      <c r="G1541" s="55">
        <v>1</v>
      </c>
      <c r="H1541" s="55"/>
      <c r="I1541" s="55"/>
      <c r="J1541" s="55"/>
      <c r="K1541" s="57"/>
      <c r="L1541" s="55"/>
    </row>
    <row r="1542" spans="1:12">
      <c r="A1542" s="48">
        <v>46168</v>
      </c>
      <c r="B1542" s="49">
        <f>Table13[[#This Row],[Date]]</f>
        <v>46168</v>
      </c>
      <c r="C1542" s="50" t="s">
        <v>149</v>
      </c>
      <c r="D1542" s="51" t="s">
        <v>150</v>
      </c>
      <c r="E1542" s="84"/>
      <c r="F1542" s="50"/>
      <c r="G1542" s="50"/>
      <c r="H1542" s="50"/>
      <c r="I1542" s="50"/>
      <c r="J1542" s="50"/>
      <c r="K1542" s="52"/>
      <c r="L1542" s="50"/>
    </row>
    <row r="1543" spans="1:12">
      <c r="A1543" s="15">
        <v>46169</v>
      </c>
      <c r="B1543" s="54">
        <f>Table13[[#This Row],[Date]]</f>
        <v>46169</v>
      </c>
      <c r="C1543" s="55" t="s">
        <v>14</v>
      </c>
      <c r="D1543" s="59" t="s">
        <v>124</v>
      </c>
      <c r="E1543" s="55" t="s">
        <v>18</v>
      </c>
      <c r="F1543" s="55" t="s">
        <v>19</v>
      </c>
      <c r="G1543" s="55">
        <v>1</v>
      </c>
      <c r="H1543" s="55"/>
      <c r="I1543" s="55"/>
      <c r="J1543" s="55"/>
      <c r="K1543" s="57"/>
      <c r="L1543" s="55"/>
    </row>
    <row r="1544" spans="1:12">
      <c r="A1544" s="53">
        <v>46170</v>
      </c>
      <c r="B1544" s="54">
        <f>Table13[[#This Row],[Date]]</f>
        <v>46170</v>
      </c>
      <c r="C1544" s="55" t="s">
        <v>16</v>
      </c>
      <c r="D1544" s="59" t="s">
        <v>133</v>
      </c>
      <c r="E1544" s="55" t="s">
        <v>21</v>
      </c>
      <c r="F1544" s="55" t="s">
        <v>19</v>
      </c>
      <c r="G1544" s="55">
        <v>1</v>
      </c>
      <c r="H1544" s="55"/>
      <c r="I1544" s="55"/>
      <c r="J1544" s="55"/>
      <c r="K1544" s="57"/>
      <c r="L1544" s="55"/>
    </row>
    <row r="1545" spans="1:12">
      <c r="A1545" s="53">
        <v>46170</v>
      </c>
      <c r="B1545" s="54">
        <f>Table13[[#This Row],[Date]]</f>
        <v>46170</v>
      </c>
      <c r="C1545" s="55" t="s">
        <v>16</v>
      </c>
      <c r="D1545" s="59" t="s">
        <v>135</v>
      </c>
      <c r="E1545" s="77" t="s">
        <v>47</v>
      </c>
      <c r="F1545" s="55" t="s">
        <v>19</v>
      </c>
      <c r="G1545" s="55">
        <v>1</v>
      </c>
      <c r="H1545" s="55"/>
      <c r="I1545" s="55"/>
      <c r="J1545" s="55"/>
      <c r="K1545" s="57"/>
      <c r="L1545" s="55"/>
    </row>
    <row r="1546" spans="1:12">
      <c r="A1546" s="53">
        <v>46170</v>
      </c>
      <c r="B1546" s="54">
        <f>Table13[[#This Row],[Date]]</f>
        <v>46170</v>
      </c>
      <c r="C1546" s="55" t="s">
        <v>16</v>
      </c>
      <c r="D1546" s="59" t="s">
        <v>135</v>
      </c>
      <c r="E1546" s="77" t="s">
        <v>53</v>
      </c>
      <c r="F1546" s="55" t="s">
        <v>19</v>
      </c>
      <c r="G1546" s="55">
        <v>1</v>
      </c>
      <c r="H1546" s="55"/>
      <c r="I1546" s="55"/>
      <c r="J1546" s="55"/>
      <c r="K1546" s="57"/>
      <c r="L1546" s="55"/>
    </row>
    <row r="1547" spans="1:12">
      <c r="A1547" s="53">
        <v>46171</v>
      </c>
      <c r="B1547" s="54">
        <f>Table13[[#This Row],[Date]]</f>
        <v>46171</v>
      </c>
      <c r="C1547" s="55" t="s">
        <v>23</v>
      </c>
      <c r="D1547" s="59" t="s">
        <v>146</v>
      </c>
      <c r="E1547" s="55" t="s">
        <v>18</v>
      </c>
      <c r="F1547" s="55" t="s">
        <v>19</v>
      </c>
      <c r="G1547" s="55">
        <v>1</v>
      </c>
      <c r="H1547" s="55"/>
      <c r="I1547" s="55"/>
      <c r="J1547" s="55"/>
      <c r="K1547" s="57"/>
      <c r="L1547" s="55"/>
    </row>
    <row r="1548" spans="1:12">
      <c r="A1548" s="53">
        <v>46171</v>
      </c>
      <c r="B1548" s="54">
        <f>Table13[[#This Row],[Date]]</f>
        <v>46171</v>
      </c>
      <c r="C1548" s="55" t="s">
        <v>23</v>
      </c>
      <c r="D1548" s="59" t="s">
        <v>146</v>
      </c>
      <c r="E1548" s="55" t="s">
        <v>21</v>
      </c>
      <c r="F1548" s="55" t="s">
        <v>19</v>
      </c>
      <c r="G1548" s="55">
        <v>1</v>
      </c>
      <c r="H1548" s="55"/>
      <c r="I1548" s="55"/>
      <c r="J1548" s="55"/>
      <c r="K1548" s="57"/>
      <c r="L1548" s="55"/>
    </row>
    <row r="1549" spans="1:12">
      <c r="A1549" s="53">
        <v>46171</v>
      </c>
      <c r="B1549" s="54">
        <f>Table13[[#This Row],[Date]]</f>
        <v>46171</v>
      </c>
      <c r="C1549" s="55" t="s">
        <v>23</v>
      </c>
      <c r="D1549" s="59" t="s">
        <v>146</v>
      </c>
      <c r="E1549" s="55" t="s">
        <v>147</v>
      </c>
      <c r="F1549" s="55" t="s">
        <v>19</v>
      </c>
      <c r="G1549" s="55">
        <v>1</v>
      </c>
      <c r="H1549" s="55"/>
      <c r="I1549" s="55"/>
      <c r="J1549" s="55"/>
      <c r="K1549" s="57"/>
      <c r="L1549" s="55"/>
    </row>
    <row r="1550" spans="1:12">
      <c r="A1550" s="53">
        <v>46171</v>
      </c>
      <c r="B1550" s="54">
        <f>Table13[[#This Row],[Date]]</f>
        <v>46171</v>
      </c>
      <c r="C1550" s="55" t="s">
        <v>23</v>
      </c>
      <c r="D1550" s="59" t="s">
        <v>146</v>
      </c>
      <c r="E1550" s="55" t="s">
        <v>148</v>
      </c>
      <c r="F1550" s="55" t="s">
        <v>19</v>
      </c>
      <c r="G1550" s="55">
        <v>1</v>
      </c>
      <c r="H1550" s="55"/>
      <c r="I1550" s="55"/>
      <c r="J1550" s="55"/>
      <c r="K1550" s="57"/>
      <c r="L1550" s="55"/>
    </row>
    <row r="1551" spans="1:12">
      <c r="A1551" s="53">
        <v>46171</v>
      </c>
      <c r="B1551" s="17">
        <f>Table13[[#This Row],[Date]]</f>
        <v>46171</v>
      </c>
      <c r="C1551" s="1"/>
      <c r="D1551" s="61" t="s">
        <v>179</v>
      </c>
      <c r="E1551" s="55" t="s">
        <v>47</v>
      </c>
      <c r="F1551" s="55" t="s">
        <v>19</v>
      </c>
      <c r="G1551" s="55">
        <v>1</v>
      </c>
      <c r="H1551" s="1"/>
      <c r="I1551" s="1"/>
      <c r="J1551" s="1"/>
      <c r="K1551" s="3"/>
      <c r="L1551" s="1"/>
    </row>
    <row r="1552" spans="1:12">
      <c r="A1552" s="53">
        <v>46174</v>
      </c>
      <c r="B1552" s="54">
        <f>Table13[[#This Row],[Date]]</f>
        <v>46174</v>
      </c>
      <c r="C1552" s="55" t="s">
        <v>23</v>
      </c>
      <c r="D1552" s="91" t="s">
        <v>24</v>
      </c>
      <c r="E1552" s="64" t="s">
        <v>18</v>
      </c>
      <c r="F1552" s="55" t="s">
        <v>19</v>
      </c>
      <c r="G1552" s="55">
        <v>1</v>
      </c>
      <c r="H1552" s="55"/>
      <c r="I1552" s="55"/>
      <c r="J1552" s="55"/>
      <c r="K1552" s="57"/>
      <c r="L1552" s="55"/>
    </row>
    <row r="1553" spans="1:12">
      <c r="A1553" s="103">
        <v>46174</v>
      </c>
      <c r="B1553" s="104">
        <f>Table13[[#This Row],[Date]]</f>
        <v>46174</v>
      </c>
      <c r="C1553" s="105" t="s">
        <v>23</v>
      </c>
      <c r="D1553" s="119" t="s">
        <v>25</v>
      </c>
      <c r="E1553" s="107" t="s">
        <v>18</v>
      </c>
      <c r="F1553" s="105" t="s">
        <v>19</v>
      </c>
      <c r="G1553" s="105">
        <v>1</v>
      </c>
      <c r="H1553" s="105"/>
      <c r="I1553" s="105"/>
      <c r="J1553" s="105"/>
      <c r="K1553" s="108"/>
      <c r="L1553" s="105"/>
    </row>
    <row r="1554" spans="1:12">
      <c r="A1554" s="103">
        <v>46174</v>
      </c>
      <c r="B1554" s="104">
        <f>Table13[[#This Row],[Date]]</f>
        <v>46174</v>
      </c>
      <c r="C1554" s="105" t="s">
        <v>23</v>
      </c>
      <c r="D1554" s="119" t="s">
        <v>25</v>
      </c>
      <c r="E1554" s="107" t="s">
        <v>21</v>
      </c>
      <c r="F1554" s="105" t="s">
        <v>19</v>
      </c>
      <c r="G1554" s="105">
        <v>1</v>
      </c>
      <c r="H1554" s="105"/>
      <c r="I1554" s="105"/>
      <c r="J1554" s="105"/>
      <c r="K1554" s="108"/>
      <c r="L1554" s="105"/>
    </row>
    <row r="1555" spans="1:12">
      <c r="A1555" s="53">
        <v>46176</v>
      </c>
      <c r="B1555" s="54">
        <f>Table13[[#This Row],[Date]]</f>
        <v>46176</v>
      </c>
      <c r="C1555" s="55" t="s">
        <v>14</v>
      </c>
      <c r="D1555" s="91" t="s">
        <v>33</v>
      </c>
      <c r="E1555" s="77" t="s">
        <v>18</v>
      </c>
      <c r="F1555" s="55" t="s">
        <v>19</v>
      </c>
      <c r="G1555" s="55">
        <v>1</v>
      </c>
      <c r="H1555" s="55"/>
      <c r="I1555" s="55"/>
      <c r="J1555" s="55"/>
      <c r="K1555" s="57"/>
      <c r="L1555" s="55"/>
    </row>
    <row r="1556" spans="1:12">
      <c r="A1556" s="53">
        <v>46176</v>
      </c>
      <c r="B1556" s="54">
        <f>Table13[[#This Row],[Date]]</f>
        <v>46176</v>
      </c>
      <c r="C1556" s="55" t="s">
        <v>14</v>
      </c>
      <c r="D1556" s="91" t="s">
        <v>33</v>
      </c>
      <c r="E1556" s="55" t="s">
        <v>21</v>
      </c>
      <c r="F1556" s="55" t="s">
        <v>19</v>
      </c>
      <c r="G1556" s="55">
        <v>1</v>
      </c>
      <c r="H1556" s="55"/>
      <c r="I1556" s="55"/>
      <c r="J1556" s="55"/>
      <c r="K1556" s="57"/>
      <c r="L1556" s="55"/>
    </row>
    <row r="1557" spans="1:12">
      <c r="A1557" s="53">
        <v>46176</v>
      </c>
      <c r="B1557" s="54">
        <f>Table13[[#This Row],[Date]]</f>
        <v>46176</v>
      </c>
      <c r="C1557" s="55" t="s">
        <v>14</v>
      </c>
      <c r="D1557" s="91" t="s">
        <v>33</v>
      </c>
      <c r="E1557" s="77" t="s">
        <v>34</v>
      </c>
      <c r="F1557" s="55" t="s">
        <v>19</v>
      </c>
      <c r="G1557" s="55">
        <v>1</v>
      </c>
      <c r="H1557" s="55"/>
      <c r="I1557" s="55"/>
      <c r="J1557" s="55"/>
      <c r="K1557" s="57"/>
      <c r="L1557" s="55"/>
    </row>
    <row r="1558" spans="1:12">
      <c r="A1558" s="53">
        <v>46176</v>
      </c>
      <c r="B1558" s="54">
        <f>Table13[[#This Row],[Date]]</f>
        <v>46176</v>
      </c>
      <c r="C1558" s="55" t="s">
        <v>14</v>
      </c>
      <c r="D1558" s="91" t="s">
        <v>33</v>
      </c>
      <c r="E1558" s="77" t="s">
        <v>35</v>
      </c>
      <c r="F1558" s="55" t="s">
        <v>19</v>
      </c>
      <c r="G1558" s="55">
        <v>1</v>
      </c>
      <c r="H1558" s="55"/>
      <c r="I1558" s="55"/>
      <c r="J1558" s="55"/>
      <c r="K1558" s="57"/>
      <c r="L1558" s="55"/>
    </row>
    <row r="1559" spans="1:12">
      <c r="A1559" s="15">
        <v>46176</v>
      </c>
      <c r="B1559" s="104">
        <f>Table13[[#This Row],[Date]]</f>
        <v>46176</v>
      </c>
      <c r="C1559" s="105" t="s">
        <v>16</v>
      </c>
      <c r="D1559" s="271" t="s">
        <v>22</v>
      </c>
      <c r="E1559" s="107" t="s">
        <v>18</v>
      </c>
      <c r="F1559" s="105" t="s">
        <v>19</v>
      </c>
      <c r="G1559" s="105">
        <v>1</v>
      </c>
      <c r="H1559" s="105"/>
      <c r="I1559" s="105"/>
      <c r="J1559" s="105"/>
      <c r="K1559" s="108"/>
      <c r="L1559" s="105"/>
    </row>
    <row r="1560" spans="1:12">
      <c r="A1560" s="15">
        <v>46176</v>
      </c>
      <c r="B1560" s="17">
        <f>Table13[[#This Row],[Date]]</f>
        <v>46176</v>
      </c>
      <c r="C1560" s="1" t="s">
        <v>23</v>
      </c>
      <c r="D1560" s="141" t="s">
        <v>38</v>
      </c>
      <c r="E1560" s="1" t="s">
        <v>18</v>
      </c>
      <c r="F1560" s="1" t="s">
        <v>19</v>
      </c>
      <c r="G1560" s="1">
        <v>1</v>
      </c>
      <c r="H1560" s="1"/>
      <c r="I1560" s="1"/>
      <c r="J1560" s="1"/>
      <c r="K1560" s="3"/>
      <c r="L1560" s="1"/>
    </row>
    <row r="1561" spans="1:12">
      <c r="A1561" s="53">
        <v>46177</v>
      </c>
      <c r="B1561" s="54">
        <f>Table13[[#This Row],[Date]]</f>
        <v>46177</v>
      </c>
      <c r="C1561" s="55" t="s">
        <v>14</v>
      </c>
      <c r="D1561" s="91" t="s">
        <v>33</v>
      </c>
      <c r="E1561" s="64" t="s">
        <v>41</v>
      </c>
      <c r="F1561" s="55" t="s">
        <v>19</v>
      </c>
      <c r="G1561" s="55">
        <v>1</v>
      </c>
      <c r="H1561" s="55"/>
      <c r="I1561" s="55"/>
      <c r="J1561" s="55"/>
      <c r="K1561" s="57"/>
      <c r="L1561" s="55"/>
    </row>
    <row r="1562" spans="1:12">
      <c r="A1562" s="53">
        <v>46177</v>
      </c>
      <c r="B1562" s="54">
        <f>Table13[[#This Row],[Date]]</f>
        <v>46177</v>
      </c>
      <c r="C1562" s="55" t="s">
        <v>14</v>
      </c>
      <c r="D1562" s="92" t="s">
        <v>33</v>
      </c>
      <c r="E1562" s="55" t="s">
        <v>42</v>
      </c>
      <c r="F1562" s="55" t="s">
        <v>19</v>
      </c>
      <c r="G1562" s="55">
        <v>1</v>
      </c>
      <c r="H1562" s="55"/>
      <c r="I1562" s="55"/>
      <c r="J1562" s="55"/>
      <c r="K1562" s="57"/>
      <c r="L1562" s="55"/>
    </row>
    <row r="1563" spans="1:12">
      <c r="A1563" s="53">
        <v>46177</v>
      </c>
      <c r="B1563" s="54">
        <f>Table13[[#This Row],[Date]]</f>
        <v>46177</v>
      </c>
      <c r="C1563" s="55" t="s">
        <v>14</v>
      </c>
      <c r="D1563" s="92" t="s">
        <v>33</v>
      </c>
      <c r="E1563" s="55" t="s">
        <v>43</v>
      </c>
      <c r="F1563" s="55" t="s">
        <v>19</v>
      </c>
      <c r="G1563" s="55">
        <v>1</v>
      </c>
      <c r="H1563" s="55"/>
      <c r="I1563" s="55"/>
      <c r="J1563" s="55"/>
      <c r="K1563" s="57"/>
      <c r="L1563" s="55"/>
    </row>
    <row r="1564" spans="1:12">
      <c r="A1564" s="53">
        <v>46177</v>
      </c>
      <c r="B1564" s="54">
        <f>Table13[[#This Row],[Date]]</f>
        <v>46177</v>
      </c>
      <c r="C1564" s="55" t="s">
        <v>14</v>
      </c>
      <c r="D1564" s="92" t="s">
        <v>33</v>
      </c>
      <c r="E1564" s="64" t="s">
        <v>44</v>
      </c>
      <c r="F1564" s="55" t="s">
        <v>19</v>
      </c>
      <c r="G1564" s="55">
        <v>1</v>
      </c>
      <c r="H1564" s="55"/>
      <c r="I1564" s="55"/>
      <c r="J1564" s="55"/>
      <c r="K1564" s="57"/>
      <c r="L1564" s="55"/>
    </row>
    <row r="1565" spans="1:12">
      <c r="A1565" s="53">
        <v>46177</v>
      </c>
      <c r="B1565" s="54">
        <f>Table13[[#This Row],[Date]]</f>
        <v>46177</v>
      </c>
      <c r="C1565" s="55" t="s">
        <v>14</v>
      </c>
      <c r="D1565" s="92" t="s">
        <v>33</v>
      </c>
      <c r="E1565" s="64" t="s">
        <v>45</v>
      </c>
      <c r="F1565" s="55" t="s">
        <v>19</v>
      </c>
      <c r="G1565" s="55">
        <v>1</v>
      </c>
      <c r="H1565" s="55"/>
      <c r="I1565" s="55"/>
      <c r="J1565" s="55"/>
      <c r="K1565" s="57"/>
      <c r="L1565" s="55"/>
    </row>
    <row r="1566" spans="1:12">
      <c r="A1566" s="16">
        <v>46179</v>
      </c>
      <c r="B1566" s="18">
        <f>Table13[[#This Row],[Date]]</f>
        <v>46179</v>
      </c>
      <c r="C1566" s="10" t="s">
        <v>14</v>
      </c>
      <c r="D1566" s="81" t="s">
        <v>57</v>
      </c>
      <c r="E1566" s="55" t="s">
        <v>18</v>
      </c>
      <c r="F1566" s="55" t="s">
        <v>19</v>
      </c>
      <c r="G1566" s="55">
        <v>1</v>
      </c>
      <c r="H1566" s="1"/>
      <c r="I1566" s="1"/>
      <c r="J1566" s="1"/>
      <c r="K1566" s="3"/>
      <c r="L1566" s="1"/>
    </row>
    <row r="1567" spans="1:12">
      <c r="A1567" s="15">
        <v>46181</v>
      </c>
      <c r="B1567" s="17">
        <f>Table13[[#This Row],[Date]]</f>
        <v>46181</v>
      </c>
      <c r="C1567" s="1" t="s">
        <v>14</v>
      </c>
      <c r="D1567" s="152" t="s">
        <v>66</v>
      </c>
      <c r="E1567" s="1" t="s">
        <v>18</v>
      </c>
      <c r="F1567" s="1" t="s">
        <v>19</v>
      </c>
      <c r="G1567" s="1">
        <v>1</v>
      </c>
      <c r="H1567" s="1"/>
      <c r="I1567" s="1"/>
      <c r="J1567" s="1"/>
      <c r="K1567" s="3"/>
      <c r="L1567" s="1"/>
    </row>
    <row r="1568" spans="1:12">
      <c r="A1568" s="53">
        <v>46182</v>
      </c>
      <c r="B1568" s="54">
        <f>Table13[[#This Row],[Date]]</f>
        <v>46182</v>
      </c>
      <c r="C1568" s="55" t="s">
        <v>14</v>
      </c>
      <c r="D1568" s="59" t="s">
        <v>104</v>
      </c>
      <c r="E1568" s="55" t="s">
        <v>59</v>
      </c>
      <c r="F1568" s="55" t="s">
        <v>60</v>
      </c>
      <c r="G1568" s="55">
        <v>1</v>
      </c>
      <c r="H1568" s="55"/>
      <c r="I1568" s="55"/>
      <c r="J1568" s="55"/>
      <c r="K1568" s="57"/>
      <c r="L1568" s="55"/>
    </row>
    <row r="1569" spans="1:12">
      <c r="A1569" s="53">
        <v>46182</v>
      </c>
      <c r="B1569" s="54">
        <f>Table13[[#This Row],[Date]]</f>
        <v>46182</v>
      </c>
      <c r="C1569" s="55" t="s">
        <v>14</v>
      </c>
      <c r="D1569" s="59" t="s">
        <v>104</v>
      </c>
      <c r="E1569" s="55" t="s">
        <v>61</v>
      </c>
      <c r="F1569" s="55" t="s">
        <v>60</v>
      </c>
      <c r="G1569" s="55">
        <v>1</v>
      </c>
      <c r="H1569" s="55"/>
      <c r="I1569" s="55"/>
      <c r="J1569" s="55"/>
      <c r="K1569" s="57"/>
      <c r="L1569" s="55"/>
    </row>
    <row r="1570" spans="1:12">
      <c r="A1570" s="15">
        <v>46182</v>
      </c>
      <c r="B1570" s="17">
        <f>Table13[[#This Row],[Date]]</f>
        <v>46182</v>
      </c>
      <c r="C1570" s="1"/>
      <c r="D1570" s="2" t="s">
        <v>180</v>
      </c>
      <c r="E1570" s="1" t="s">
        <v>18</v>
      </c>
      <c r="F1570" s="1" t="s">
        <v>19</v>
      </c>
      <c r="G1570" s="1">
        <v>1</v>
      </c>
      <c r="H1570" s="1"/>
      <c r="I1570" s="1"/>
      <c r="J1570" s="1"/>
      <c r="K1570" s="3"/>
      <c r="L1570" s="1"/>
    </row>
    <row r="1571" spans="1:12">
      <c r="A1571" s="53">
        <v>46188</v>
      </c>
      <c r="B1571" s="54">
        <f>Table13[[#This Row],[Date]]</f>
        <v>46188</v>
      </c>
      <c r="C1571" s="55" t="s">
        <v>14</v>
      </c>
      <c r="D1571" s="61" t="s">
        <v>181</v>
      </c>
      <c r="E1571" s="55" t="s">
        <v>18</v>
      </c>
      <c r="F1571" s="55" t="s">
        <v>19</v>
      </c>
      <c r="G1571" s="55">
        <v>1</v>
      </c>
      <c r="H1571" s="55"/>
      <c r="I1571" s="55"/>
      <c r="J1571" s="55"/>
      <c r="K1571" s="57"/>
      <c r="L1571" s="55"/>
    </row>
    <row r="1572" spans="1:12" s="33" customFormat="1">
      <c r="A1572" s="53">
        <v>46188</v>
      </c>
      <c r="B1572" s="54">
        <f>Table13[[#This Row],[Date]]</f>
        <v>46188</v>
      </c>
      <c r="C1572" s="55" t="s">
        <v>14</v>
      </c>
      <c r="D1572" s="61" t="s">
        <v>182</v>
      </c>
      <c r="E1572" s="55" t="s">
        <v>18</v>
      </c>
      <c r="F1572" s="55" t="s">
        <v>19</v>
      </c>
      <c r="G1572" s="55">
        <v>1</v>
      </c>
      <c r="H1572" s="55"/>
      <c r="I1572" s="55"/>
      <c r="J1572" s="55"/>
      <c r="K1572" s="57"/>
      <c r="L1572" s="55"/>
    </row>
    <row r="1573" spans="1:12">
      <c r="A1573" s="53">
        <v>46188</v>
      </c>
      <c r="B1573" s="54">
        <f>Table13[[#This Row],[Date]]</f>
        <v>46188</v>
      </c>
      <c r="C1573" s="55" t="s">
        <v>14</v>
      </c>
      <c r="D1573" s="59" t="s">
        <v>96</v>
      </c>
      <c r="E1573" s="55" t="s">
        <v>18</v>
      </c>
      <c r="F1573" s="55" t="s">
        <v>19</v>
      </c>
      <c r="G1573" s="55">
        <v>1</v>
      </c>
      <c r="H1573" s="55"/>
      <c r="I1573" s="55"/>
      <c r="J1573" s="55"/>
      <c r="K1573" s="57"/>
      <c r="L1573" s="55"/>
    </row>
    <row r="1574" spans="1:12">
      <c r="A1574" s="96">
        <v>46188</v>
      </c>
      <c r="B1574" s="37">
        <f>Table13[[#This Row],[Date]]</f>
        <v>46188</v>
      </c>
      <c r="C1574" s="38" t="s">
        <v>14</v>
      </c>
      <c r="D1574" s="39" t="s">
        <v>97</v>
      </c>
      <c r="E1574" s="38" t="s">
        <v>18</v>
      </c>
      <c r="F1574" s="38" t="s">
        <v>19</v>
      </c>
      <c r="G1574" s="38">
        <v>1</v>
      </c>
      <c r="H1574" s="38"/>
      <c r="I1574" s="38"/>
      <c r="J1574" s="38"/>
      <c r="K1574" s="97"/>
      <c r="L1574" s="38"/>
    </row>
    <row r="1575" spans="1:12">
      <c r="A1575" s="53">
        <v>46188</v>
      </c>
      <c r="B1575" s="54">
        <f>Table13[[#This Row],[Date]]</f>
        <v>46188</v>
      </c>
      <c r="C1575" s="55" t="s">
        <v>23</v>
      </c>
      <c r="D1575" s="61" t="s">
        <v>163</v>
      </c>
      <c r="E1575" s="55" t="s">
        <v>18</v>
      </c>
      <c r="F1575" s="55" t="s">
        <v>99</v>
      </c>
      <c r="G1575" s="55">
        <v>1</v>
      </c>
      <c r="H1575" s="55"/>
      <c r="I1575" s="55"/>
      <c r="J1575" s="55"/>
      <c r="K1575" s="57"/>
      <c r="L1575" s="55"/>
    </row>
    <row r="1576" spans="1:12">
      <c r="A1576" s="53">
        <v>46189</v>
      </c>
      <c r="B1576" s="54">
        <f>Table13[[#This Row],[Date]]</f>
        <v>46189</v>
      </c>
      <c r="C1576" s="55" t="s">
        <v>14</v>
      </c>
      <c r="D1576" s="59" t="s">
        <v>104</v>
      </c>
      <c r="E1576" s="55" t="s">
        <v>72</v>
      </c>
      <c r="F1576" s="55" t="s">
        <v>60</v>
      </c>
      <c r="G1576" s="55">
        <v>1</v>
      </c>
      <c r="H1576" s="55"/>
      <c r="I1576" s="55"/>
      <c r="J1576" s="55"/>
      <c r="K1576" s="57"/>
      <c r="L1576" s="55"/>
    </row>
    <row r="1577" spans="1:12">
      <c r="A1577" s="53">
        <v>46189</v>
      </c>
      <c r="B1577" s="54">
        <f>Table13[[#This Row],[Date]]</f>
        <v>46189</v>
      </c>
      <c r="C1577" s="55" t="s">
        <v>14</v>
      </c>
      <c r="D1577" s="59" t="s">
        <v>104</v>
      </c>
      <c r="E1577" s="55" t="s">
        <v>76</v>
      </c>
      <c r="F1577" s="55" t="s">
        <v>60</v>
      </c>
      <c r="G1577" s="55">
        <v>1</v>
      </c>
      <c r="H1577" s="55"/>
      <c r="I1577" s="55"/>
      <c r="J1577" s="55"/>
      <c r="K1577" s="57"/>
      <c r="L1577" s="55"/>
    </row>
    <row r="1578" spans="1:12">
      <c r="A1578" s="53">
        <v>46192</v>
      </c>
      <c r="B1578" s="54">
        <f>Table13[[#This Row],[Date]]</f>
        <v>46192</v>
      </c>
      <c r="C1578" s="55" t="s">
        <v>23</v>
      </c>
      <c r="D1578" s="59" t="s">
        <v>114</v>
      </c>
      <c r="E1578" s="55" t="s">
        <v>18</v>
      </c>
      <c r="F1578" s="55" t="s">
        <v>19</v>
      </c>
      <c r="G1578" s="55">
        <v>1</v>
      </c>
      <c r="H1578" s="55"/>
      <c r="I1578" s="55"/>
      <c r="J1578" s="55"/>
      <c r="K1578" s="57"/>
      <c r="L1578" s="55"/>
    </row>
    <row r="1579" spans="1:12">
      <c r="A1579" s="53">
        <v>46192</v>
      </c>
      <c r="B1579" s="54">
        <f>Table13[[#This Row],[Date]]</f>
        <v>46192</v>
      </c>
      <c r="C1579" s="55" t="s">
        <v>23</v>
      </c>
      <c r="D1579" s="59" t="s">
        <v>114</v>
      </c>
      <c r="E1579" s="55" t="s">
        <v>21</v>
      </c>
      <c r="F1579" s="55" t="s">
        <v>19</v>
      </c>
      <c r="G1579" s="55">
        <v>1</v>
      </c>
      <c r="H1579" s="55"/>
      <c r="I1579" s="55"/>
      <c r="J1579" s="55"/>
      <c r="K1579" s="57"/>
      <c r="L1579" s="55"/>
    </row>
    <row r="1580" spans="1:12">
      <c r="A1580" s="98">
        <v>46192</v>
      </c>
      <c r="B1580" s="99">
        <f>Table13[[#This Row],[Date]]</f>
        <v>46192</v>
      </c>
      <c r="C1580" s="100" t="s">
        <v>26</v>
      </c>
      <c r="D1580" s="102" t="s">
        <v>102</v>
      </c>
      <c r="E1580" s="121" t="s">
        <v>18</v>
      </c>
      <c r="F1580" s="100" t="s">
        <v>19</v>
      </c>
      <c r="G1580" s="100">
        <v>1</v>
      </c>
      <c r="H1580" s="100"/>
      <c r="I1580" s="100"/>
      <c r="J1580" s="100"/>
      <c r="K1580" s="101"/>
      <c r="L1580" s="100"/>
    </row>
    <row r="1581" spans="1:12">
      <c r="A1581" s="53">
        <v>46196</v>
      </c>
      <c r="B1581" s="54">
        <f>Table13[[#This Row],[Date]]</f>
        <v>46196</v>
      </c>
      <c r="C1581" s="55" t="s">
        <v>14</v>
      </c>
      <c r="D1581" s="59" t="s">
        <v>104</v>
      </c>
      <c r="E1581" s="55" t="s">
        <v>18</v>
      </c>
      <c r="F1581" s="55" t="s">
        <v>19</v>
      </c>
      <c r="G1581" s="55">
        <v>1</v>
      </c>
      <c r="H1581" s="55"/>
      <c r="I1581" s="55"/>
      <c r="J1581" s="55"/>
      <c r="K1581" s="57"/>
      <c r="L1581" s="55"/>
    </row>
    <row r="1582" spans="1:12">
      <c r="A1582" s="53">
        <v>46196</v>
      </c>
      <c r="B1582" s="54">
        <f>Table13[[#This Row],[Date]]</f>
        <v>46196</v>
      </c>
      <c r="C1582" s="55" t="s">
        <v>14</v>
      </c>
      <c r="D1582" s="59" t="s">
        <v>104</v>
      </c>
      <c r="E1582" s="55" t="s">
        <v>21</v>
      </c>
      <c r="F1582" s="55" t="s">
        <v>19</v>
      </c>
      <c r="G1582" s="55">
        <v>1</v>
      </c>
      <c r="H1582" s="55"/>
      <c r="I1582" s="55"/>
      <c r="J1582" s="55"/>
      <c r="K1582" s="57"/>
      <c r="L1582" s="55"/>
    </row>
    <row r="1583" spans="1:12">
      <c r="A1583" s="15">
        <v>46197</v>
      </c>
      <c r="B1583" s="54">
        <f>Table13[[#This Row],[Date]]</f>
        <v>46197</v>
      </c>
      <c r="C1583" s="55" t="s">
        <v>14</v>
      </c>
      <c r="D1583" s="59" t="s">
        <v>124</v>
      </c>
      <c r="E1583" s="55" t="s">
        <v>18</v>
      </c>
      <c r="F1583" s="55" t="s">
        <v>19</v>
      </c>
      <c r="G1583" s="55">
        <v>1</v>
      </c>
      <c r="H1583" s="55"/>
      <c r="I1583" s="55"/>
      <c r="J1583" s="55"/>
      <c r="K1583" s="57"/>
      <c r="L1583" s="55"/>
    </row>
    <row r="1584" spans="1:12">
      <c r="A1584" s="53">
        <v>46198</v>
      </c>
      <c r="B1584" s="54">
        <f>Table13[[#This Row],[Date]]</f>
        <v>46198</v>
      </c>
      <c r="C1584" s="55" t="s">
        <v>16</v>
      </c>
      <c r="D1584" s="59" t="s">
        <v>135</v>
      </c>
      <c r="E1584" s="77" t="s">
        <v>47</v>
      </c>
      <c r="F1584" s="55" t="s">
        <v>19</v>
      </c>
      <c r="G1584" s="55">
        <v>1</v>
      </c>
      <c r="H1584" s="55"/>
      <c r="I1584" s="55"/>
      <c r="J1584" s="55"/>
      <c r="K1584" s="57"/>
      <c r="L1584" s="55"/>
    </row>
    <row r="1585" spans="1:12">
      <c r="A1585" s="53">
        <v>46198</v>
      </c>
      <c r="B1585" s="54">
        <f>Table13[[#This Row],[Date]]</f>
        <v>46198</v>
      </c>
      <c r="C1585" s="55" t="s">
        <v>16</v>
      </c>
      <c r="D1585" s="59" t="s">
        <v>135</v>
      </c>
      <c r="E1585" s="77" t="s">
        <v>53</v>
      </c>
      <c r="F1585" s="55" t="s">
        <v>19</v>
      </c>
      <c r="G1585" s="55">
        <v>1</v>
      </c>
      <c r="H1585" s="55"/>
      <c r="I1585" s="55"/>
      <c r="J1585" s="55"/>
      <c r="K1585" s="57"/>
      <c r="L1585" s="55"/>
    </row>
    <row r="1586" spans="1:12">
      <c r="A1586" s="53">
        <v>46199</v>
      </c>
      <c r="B1586" s="17">
        <f>Table13[[#This Row],[Date]]</f>
        <v>46199</v>
      </c>
      <c r="C1586" s="1"/>
      <c r="D1586" s="61" t="s">
        <v>179</v>
      </c>
      <c r="E1586" s="55" t="s">
        <v>47</v>
      </c>
      <c r="F1586" s="55" t="s">
        <v>19</v>
      </c>
      <c r="G1586" s="55">
        <v>1</v>
      </c>
      <c r="H1586" s="1"/>
      <c r="I1586" s="1"/>
      <c r="J1586" s="1"/>
      <c r="K1586" s="3"/>
      <c r="L1586" s="1"/>
    </row>
    <row r="1587" spans="1:12">
      <c r="A1587" s="53">
        <v>46202</v>
      </c>
      <c r="B1587" s="54">
        <f>Table13[[#This Row],[Date]]</f>
        <v>46202</v>
      </c>
      <c r="C1587" s="55" t="s">
        <v>23</v>
      </c>
      <c r="D1587" s="59" t="s">
        <v>146</v>
      </c>
      <c r="E1587" s="55" t="s">
        <v>18</v>
      </c>
      <c r="F1587" s="55" t="s">
        <v>19</v>
      </c>
      <c r="G1587" s="55">
        <v>1</v>
      </c>
      <c r="H1587" s="55"/>
      <c r="I1587" s="55"/>
      <c r="J1587" s="55"/>
      <c r="K1587" s="57"/>
      <c r="L1587" s="55"/>
    </row>
    <row r="1588" spans="1:12">
      <c r="A1588" s="53">
        <v>46202</v>
      </c>
      <c r="B1588" s="54">
        <f>Table13[[#This Row],[Date]]</f>
        <v>46202</v>
      </c>
      <c r="C1588" s="55" t="s">
        <v>23</v>
      </c>
      <c r="D1588" s="59" t="s">
        <v>146</v>
      </c>
      <c r="E1588" s="55" t="s">
        <v>21</v>
      </c>
      <c r="F1588" s="55" t="s">
        <v>19</v>
      </c>
      <c r="G1588" s="55">
        <v>1</v>
      </c>
      <c r="H1588" s="55"/>
      <c r="I1588" s="55"/>
      <c r="J1588" s="55"/>
      <c r="K1588" s="57"/>
      <c r="L1588" s="55"/>
    </row>
    <row r="1589" spans="1:12">
      <c r="A1589" s="53">
        <v>46202</v>
      </c>
      <c r="B1589" s="54">
        <f>Table13[[#This Row],[Date]]</f>
        <v>46202</v>
      </c>
      <c r="C1589" s="55" t="s">
        <v>23</v>
      </c>
      <c r="D1589" s="59" t="s">
        <v>146</v>
      </c>
      <c r="E1589" s="55" t="s">
        <v>147</v>
      </c>
      <c r="F1589" s="55" t="s">
        <v>19</v>
      </c>
      <c r="G1589" s="55">
        <v>1</v>
      </c>
      <c r="H1589" s="55"/>
      <c r="I1589" s="55"/>
      <c r="J1589" s="55"/>
      <c r="K1589" s="57"/>
      <c r="L1589" s="55"/>
    </row>
    <row r="1590" spans="1:12">
      <c r="A1590" s="53">
        <v>46202</v>
      </c>
      <c r="B1590" s="54">
        <f>Table13[[#This Row],[Date]]</f>
        <v>46202</v>
      </c>
      <c r="C1590" s="55" t="s">
        <v>23</v>
      </c>
      <c r="D1590" s="59" t="s">
        <v>146</v>
      </c>
      <c r="E1590" s="55" t="s">
        <v>148</v>
      </c>
      <c r="F1590" s="55" t="s">
        <v>19</v>
      </c>
      <c r="G1590" s="55">
        <v>1</v>
      </c>
      <c r="H1590" s="55"/>
      <c r="I1590" s="55"/>
      <c r="J1590" s="55"/>
      <c r="K1590" s="57"/>
      <c r="L1590" s="55"/>
    </row>
    <row r="1591" spans="1:12">
      <c r="A1591" s="48">
        <v>46203</v>
      </c>
      <c r="B1591" s="49">
        <f>Table13[[#This Row],[Date]]</f>
        <v>46203</v>
      </c>
      <c r="C1591" s="50" t="s">
        <v>149</v>
      </c>
      <c r="D1591" s="51" t="s">
        <v>150</v>
      </c>
      <c r="E1591" s="50"/>
      <c r="F1591" s="50"/>
      <c r="G1591" s="50"/>
      <c r="H1591" s="50"/>
      <c r="I1591" s="50"/>
      <c r="J1591" s="50"/>
      <c r="K1591" s="52"/>
      <c r="L1591" s="50"/>
    </row>
    <row r="1592" spans="1:12">
      <c r="A1592" s="53">
        <v>46204</v>
      </c>
      <c r="B1592" s="54">
        <f>Table13[[#This Row],[Date]]</f>
        <v>46204</v>
      </c>
      <c r="C1592" s="55" t="s">
        <v>14</v>
      </c>
      <c r="D1592" s="91" t="s">
        <v>33</v>
      </c>
      <c r="E1592" s="77" t="s">
        <v>18</v>
      </c>
      <c r="F1592" s="55" t="s">
        <v>19</v>
      </c>
      <c r="G1592" s="55">
        <v>1</v>
      </c>
      <c r="H1592" s="55"/>
      <c r="I1592" s="55"/>
      <c r="J1592" s="55"/>
      <c r="K1592" s="57"/>
      <c r="L1592" s="55"/>
    </row>
    <row r="1593" spans="1:12">
      <c r="A1593" s="53">
        <v>46204</v>
      </c>
      <c r="B1593" s="54">
        <f>Table13[[#This Row],[Date]]</f>
        <v>46204</v>
      </c>
      <c r="C1593" s="55" t="s">
        <v>14</v>
      </c>
      <c r="D1593" s="91" t="s">
        <v>33</v>
      </c>
      <c r="E1593" s="55" t="s">
        <v>21</v>
      </c>
      <c r="F1593" s="55" t="s">
        <v>19</v>
      </c>
      <c r="G1593" s="55">
        <v>1</v>
      </c>
      <c r="H1593" s="55"/>
      <c r="I1593" s="55"/>
      <c r="J1593" s="55"/>
      <c r="K1593" s="57"/>
      <c r="L1593" s="55"/>
    </row>
    <row r="1594" spans="1:12">
      <c r="A1594" s="53">
        <v>46204</v>
      </c>
      <c r="B1594" s="54">
        <f>Table13[[#This Row],[Date]]</f>
        <v>46204</v>
      </c>
      <c r="C1594" s="55" t="s">
        <v>14</v>
      </c>
      <c r="D1594" s="91" t="s">
        <v>33</v>
      </c>
      <c r="E1594" s="77" t="s">
        <v>34</v>
      </c>
      <c r="F1594" s="55" t="s">
        <v>19</v>
      </c>
      <c r="G1594" s="55">
        <v>1</v>
      </c>
      <c r="H1594" s="55"/>
      <c r="I1594" s="55"/>
      <c r="J1594" s="55"/>
      <c r="K1594" s="57"/>
      <c r="L1594" s="55"/>
    </row>
    <row r="1595" spans="1:12">
      <c r="A1595" s="53">
        <v>46204</v>
      </c>
      <c r="B1595" s="54">
        <f>Table13[[#This Row],[Date]]</f>
        <v>46204</v>
      </c>
      <c r="C1595" s="55" t="s">
        <v>14</v>
      </c>
      <c r="D1595" s="91" t="s">
        <v>33</v>
      </c>
      <c r="E1595" s="77" t="s">
        <v>35</v>
      </c>
      <c r="F1595" s="55" t="s">
        <v>19</v>
      </c>
      <c r="G1595" s="55">
        <v>1</v>
      </c>
      <c r="H1595" s="55"/>
      <c r="I1595" s="55"/>
      <c r="J1595" s="55"/>
      <c r="K1595" s="57"/>
      <c r="L1595" s="55"/>
    </row>
    <row r="1596" spans="1:12">
      <c r="A1596" s="15">
        <v>46204</v>
      </c>
      <c r="B1596" s="104">
        <f>Table13[[#This Row],[Date]]</f>
        <v>46204</v>
      </c>
      <c r="C1596" s="105" t="s">
        <v>16</v>
      </c>
      <c r="D1596" s="271" t="s">
        <v>22</v>
      </c>
      <c r="E1596" s="107" t="s">
        <v>18</v>
      </c>
      <c r="F1596" s="105" t="s">
        <v>19</v>
      </c>
      <c r="G1596" s="105">
        <v>1</v>
      </c>
      <c r="H1596" s="105"/>
      <c r="I1596" s="105"/>
      <c r="J1596" s="105"/>
      <c r="K1596" s="108"/>
      <c r="L1596" s="105"/>
    </row>
    <row r="1597" spans="1:12">
      <c r="A1597" s="15">
        <v>46204</v>
      </c>
      <c r="B1597" s="17">
        <f>Table13[[#This Row],[Date]]</f>
        <v>46204</v>
      </c>
      <c r="C1597" s="1" t="s">
        <v>23</v>
      </c>
      <c r="D1597" s="141" t="s">
        <v>38</v>
      </c>
      <c r="E1597" s="1" t="s">
        <v>18</v>
      </c>
      <c r="F1597" s="1" t="s">
        <v>19</v>
      </c>
      <c r="G1597" s="1">
        <v>1</v>
      </c>
      <c r="H1597" s="1"/>
      <c r="I1597" s="1"/>
      <c r="J1597" s="1"/>
      <c r="K1597" s="3"/>
      <c r="L1597" s="1"/>
    </row>
    <row r="1598" spans="1:12">
      <c r="A1598" s="53">
        <v>46205</v>
      </c>
      <c r="B1598" s="54">
        <f>Table13[[#This Row],[Date]]</f>
        <v>46205</v>
      </c>
      <c r="C1598" s="55" t="s">
        <v>14</v>
      </c>
      <c r="D1598" s="91" t="s">
        <v>33</v>
      </c>
      <c r="E1598" s="64" t="s">
        <v>41</v>
      </c>
      <c r="F1598" s="55" t="s">
        <v>19</v>
      </c>
      <c r="G1598" s="55">
        <v>1</v>
      </c>
      <c r="H1598" s="55"/>
      <c r="I1598" s="55"/>
      <c r="J1598" s="55"/>
      <c r="K1598" s="57"/>
      <c r="L1598" s="55"/>
    </row>
    <row r="1599" spans="1:12">
      <c r="A1599" s="53">
        <v>46205</v>
      </c>
      <c r="B1599" s="54">
        <f>Table13[[#This Row],[Date]]</f>
        <v>46205</v>
      </c>
      <c r="C1599" s="55" t="s">
        <v>14</v>
      </c>
      <c r="D1599" s="91" t="s">
        <v>33</v>
      </c>
      <c r="E1599" s="55" t="s">
        <v>42</v>
      </c>
      <c r="F1599" s="55" t="s">
        <v>19</v>
      </c>
      <c r="G1599" s="55">
        <v>1</v>
      </c>
      <c r="H1599" s="55"/>
      <c r="I1599" s="55"/>
      <c r="J1599" s="55"/>
      <c r="K1599" s="57"/>
      <c r="L1599" s="55"/>
    </row>
    <row r="1600" spans="1:12">
      <c r="A1600" s="53">
        <v>46205</v>
      </c>
      <c r="B1600" s="54">
        <f>Table13[[#This Row],[Date]]</f>
        <v>46205</v>
      </c>
      <c r="C1600" s="55" t="s">
        <v>14</v>
      </c>
      <c r="D1600" s="91" t="s">
        <v>33</v>
      </c>
      <c r="E1600" s="55" t="s">
        <v>43</v>
      </c>
      <c r="F1600" s="55" t="s">
        <v>19</v>
      </c>
      <c r="G1600" s="55">
        <v>1</v>
      </c>
      <c r="H1600" s="55"/>
      <c r="I1600" s="55"/>
      <c r="J1600" s="55"/>
      <c r="K1600" s="57"/>
      <c r="L1600" s="55"/>
    </row>
    <row r="1601" spans="1:12">
      <c r="A1601" s="53">
        <v>46205</v>
      </c>
      <c r="B1601" s="54">
        <f>Table13[[#This Row],[Date]]</f>
        <v>46205</v>
      </c>
      <c r="C1601" s="55" t="s">
        <v>14</v>
      </c>
      <c r="D1601" s="91" t="s">
        <v>33</v>
      </c>
      <c r="E1601" s="64" t="s">
        <v>44</v>
      </c>
      <c r="F1601" s="55" t="s">
        <v>19</v>
      </c>
      <c r="G1601" s="55">
        <v>1</v>
      </c>
      <c r="H1601" s="55"/>
      <c r="I1601" s="55"/>
      <c r="J1601" s="55"/>
      <c r="K1601" s="57"/>
      <c r="L1601" s="55"/>
    </row>
    <row r="1602" spans="1:12">
      <c r="A1602" s="53">
        <v>46205</v>
      </c>
      <c r="B1602" s="54">
        <f>Table13[[#This Row],[Date]]</f>
        <v>46205</v>
      </c>
      <c r="C1602" s="55" t="s">
        <v>14</v>
      </c>
      <c r="D1602" s="91" t="s">
        <v>33</v>
      </c>
      <c r="E1602" s="64" t="s">
        <v>45</v>
      </c>
      <c r="F1602" s="55" t="s">
        <v>19</v>
      </c>
      <c r="G1602" s="55">
        <v>1</v>
      </c>
      <c r="H1602" s="55"/>
      <c r="I1602" s="55"/>
      <c r="J1602" s="55"/>
      <c r="K1602" s="57"/>
      <c r="L1602" s="55"/>
    </row>
    <row r="1603" spans="1:12">
      <c r="A1603" s="16">
        <v>46207</v>
      </c>
      <c r="B1603" s="18">
        <f>Table13[[#This Row],[Date]]</f>
        <v>46207</v>
      </c>
      <c r="C1603" s="10" t="s">
        <v>14</v>
      </c>
      <c r="D1603" s="9" t="s">
        <v>57</v>
      </c>
      <c r="E1603" s="55" t="s">
        <v>18</v>
      </c>
      <c r="F1603" s="55" t="s">
        <v>19</v>
      </c>
      <c r="G1603" s="55">
        <v>1</v>
      </c>
      <c r="H1603" s="1"/>
      <c r="I1603" s="1"/>
      <c r="J1603" s="1"/>
      <c r="K1603" s="3"/>
      <c r="L1603" s="1"/>
    </row>
    <row r="1604" spans="1:12">
      <c r="A1604" s="15">
        <v>46216</v>
      </c>
      <c r="B1604" s="17">
        <f>Table13[[#This Row],[Date]]</f>
        <v>46216</v>
      </c>
      <c r="C1604" s="1" t="s">
        <v>14</v>
      </c>
      <c r="D1604" s="152" t="s">
        <v>66</v>
      </c>
      <c r="E1604" s="1" t="s">
        <v>18</v>
      </c>
      <c r="F1604" s="1" t="s">
        <v>19</v>
      </c>
      <c r="G1604" s="1">
        <v>1</v>
      </c>
      <c r="H1604" s="1"/>
      <c r="I1604" s="1"/>
      <c r="J1604" s="1"/>
      <c r="K1604" s="3"/>
      <c r="L1604" s="1"/>
    </row>
    <row r="1605" spans="1:12">
      <c r="A1605" s="53">
        <v>46217</v>
      </c>
      <c r="B1605" s="54">
        <f>Table13[[#This Row],[Date]]</f>
        <v>46217</v>
      </c>
      <c r="C1605" s="55" t="s">
        <v>14</v>
      </c>
      <c r="D1605" s="59" t="s">
        <v>104</v>
      </c>
      <c r="E1605" s="55" t="s">
        <v>59</v>
      </c>
      <c r="F1605" s="55" t="s">
        <v>60</v>
      </c>
      <c r="G1605" s="55">
        <v>1</v>
      </c>
      <c r="H1605" s="55"/>
      <c r="I1605" s="55"/>
      <c r="J1605" s="55"/>
      <c r="K1605" s="57"/>
      <c r="L1605" s="55"/>
    </row>
    <row r="1606" spans="1:12">
      <c r="A1606" s="53">
        <v>46217</v>
      </c>
      <c r="B1606" s="54">
        <f>Table13[[#This Row],[Date]]</f>
        <v>46217</v>
      </c>
      <c r="C1606" s="55" t="s">
        <v>14</v>
      </c>
      <c r="D1606" s="59" t="s">
        <v>104</v>
      </c>
      <c r="E1606" s="55" t="s">
        <v>61</v>
      </c>
      <c r="F1606" s="55" t="s">
        <v>60</v>
      </c>
      <c r="G1606" s="55">
        <v>1</v>
      </c>
      <c r="H1606" s="55"/>
      <c r="I1606" s="55"/>
      <c r="J1606" s="55"/>
      <c r="K1606" s="57"/>
      <c r="L1606" s="55"/>
    </row>
    <row r="1607" spans="1:12">
      <c r="A1607" s="53">
        <v>46220</v>
      </c>
      <c r="B1607" s="54">
        <f>Table13[[#This Row],[Date]]</f>
        <v>46220</v>
      </c>
      <c r="C1607" s="55" t="s">
        <v>23</v>
      </c>
      <c r="D1607" s="59" t="s">
        <v>114</v>
      </c>
      <c r="E1607" s="55" t="s">
        <v>18</v>
      </c>
      <c r="F1607" s="55" t="s">
        <v>19</v>
      </c>
      <c r="G1607" s="55">
        <v>1</v>
      </c>
      <c r="H1607" s="55"/>
      <c r="I1607" s="55"/>
      <c r="J1607" s="55"/>
      <c r="K1607" s="57"/>
      <c r="L1607" s="55"/>
    </row>
    <row r="1608" spans="1:12">
      <c r="A1608" s="53">
        <v>46220</v>
      </c>
      <c r="B1608" s="54">
        <f>Table13[[#This Row],[Date]]</f>
        <v>46220</v>
      </c>
      <c r="C1608" s="55" t="s">
        <v>23</v>
      </c>
      <c r="D1608" s="59" t="s">
        <v>114</v>
      </c>
      <c r="E1608" s="55" t="s">
        <v>21</v>
      </c>
      <c r="F1608" s="55" t="s">
        <v>19</v>
      </c>
      <c r="G1608" s="55">
        <v>1</v>
      </c>
      <c r="H1608" s="55"/>
      <c r="I1608" s="55"/>
      <c r="J1608" s="55"/>
      <c r="K1608" s="57"/>
      <c r="L1608" s="55"/>
    </row>
    <row r="1609" spans="1:12">
      <c r="A1609" s="53">
        <v>46223</v>
      </c>
      <c r="B1609" s="54">
        <f>Table13[[#This Row],[Date]]</f>
        <v>46223</v>
      </c>
      <c r="C1609" s="55" t="s">
        <v>14</v>
      </c>
      <c r="D1609" s="59" t="s">
        <v>96</v>
      </c>
      <c r="E1609" s="55" t="s">
        <v>18</v>
      </c>
      <c r="F1609" s="55" t="s">
        <v>19</v>
      </c>
      <c r="G1609" s="55">
        <v>1</v>
      </c>
      <c r="H1609" s="55"/>
      <c r="I1609" s="55"/>
      <c r="J1609" s="55"/>
      <c r="K1609" s="57"/>
      <c r="L1609" s="55"/>
    </row>
    <row r="1610" spans="1:12">
      <c r="A1610" s="96">
        <v>46223</v>
      </c>
      <c r="B1610" s="37">
        <f>Table13[[#This Row],[Date]]</f>
        <v>46223</v>
      </c>
      <c r="C1610" s="38" t="s">
        <v>14</v>
      </c>
      <c r="D1610" s="39" t="s">
        <v>97</v>
      </c>
      <c r="E1610" s="38" t="s">
        <v>18</v>
      </c>
      <c r="F1610" s="38" t="s">
        <v>19</v>
      </c>
      <c r="G1610" s="38">
        <v>1</v>
      </c>
      <c r="H1610" s="38"/>
      <c r="I1610" s="38"/>
      <c r="J1610" s="38"/>
      <c r="K1610" s="97"/>
      <c r="L1610" s="38"/>
    </row>
    <row r="1611" spans="1:12">
      <c r="A1611" s="98">
        <v>46223</v>
      </c>
      <c r="B1611" s="99">
        <f>Table13[[#This Row],[Date]]</f>
        <v>46223</v>
      </c>
      <c r="C1611" s="100" t="s">
        <v>26</v>
      </c>
      <c r="D1611" s="102" t="s">
        <v>102</v>
      </c>
      <c r="E1611" s="121" t="s">
        <v>18</v>
      </c>
      <c r="F1611" s="100" t="s">
        <v>19</v>
      </c>
      <c r="G1611" s="100">
        <v>1</v>
      </c>
      <c r="H1611" s="100"/>
      <c r="I1611" s="100"/>
      <c r="J1611" s="100"/>
      <c r="K1611" s="101"/>
      <c r="L1611" s="100"/>
    </row>
    <row r="1612" spans="1:12">
      <c r="A1612" s="53">
        <v>46224</v>
      </c>
      <c r="B1612" s="54">
        <f>Table13[[#This Row],[Date]]</f>
        <v>46224</v>
      </c>
      <c r="C1612" s="55" t="s">
        <v>14</v>
      </c>
      <c r="D1612" s="59" t="s">
        <v>104</v>
      </c>
      <c r="E1612" s="55" t="s">
        <v>72</v>
      </c>
      <c r="F1612" s="55" t="s">
        <v>60</v>
      </c>
      <c r="G1612" s="55">
        <v>1</v>
      </c>
      <c r="H1612" s="55"/>
      <c r="I1612" s="55"/>
      <c r="J1612" s="55"/>
      <c r="K1612" s="57"/>
      <c r="L1612" s="55"/>
    </row>
    <row r="1613" spans="1:12">
      <c r="A1613" s="53">
        <v>46224</v>
      </c>
      <c r="B1613" s="54">
        <f>Table13[[#This Row],[Date]]</f>
        <v>46224</v>
      </c>
      <c r="C1613" s="55" t="s">
        <v>14</v>
      </c>
      <c r="D1613" s="59" t="s">
        <v>104</v>
      </c>
      <c r="E1613" s="55" t="s">
        <v>76</v>
      </c>
      <c r="F1613" s="55" t="s">
        <v>60</v>
      </c>
      <c r="G1613" s="55">
        <v>1</v>
      </c>
      <c r="H1613" s="55"/>
      <c r="I1613" s="55"/>
      <c r="J1613" s="55"/>
      <c r="K1613" s="57"/>
      <c r="L1613" s="55"/>
    </row>
    <row r="1614" spans="1:12">
      <c r="A1614" s="48">
        <v>46224</v>
      </c>
      <c r="B1614" s="49">
        <f>Table13[[#This Row],[Date]]</f>
        <v>46224</v>
      </c>
      <c r="C1614" s="50" t="s">
        <v>4</v>
      </c>
      <c r="D1614" s="51" t="s">
        <v>32</v>
      </c>
      <c r="E1614" s="50"/>
      <c r="F1614" s="50"/>
      <c r="G1614" s="50"/>
      <c r="H1614" s="50"/>
      <c r="I1614" s="50"/>
      <c r="J1614" s="50"/>
      <c r="K1614" s="52"/>
      <c r="L1614" s="50"/>
    </row>
    <row r="1615" spans="1:12">
      <c r="A1615" s="53">
        <v>46226</v>
      </c>
      <c r="B1615" s="54">
        <f>Table13[[#This Row],[Date]]</f>
        <v>46226</v>
      </c>
      <c r="C1615" s="55" t="s">
        <v>16</v>
      </c>
      <c r="D1615" s="59" t="s">
        <v>135</v>
      </c>
      <c r="E1615" s="77" t="s">
        <v>47</v>
      </c>
      <c r="F1615" s="55" t="s">
        <v>19</v>
      </c>
      <c r="G1615" s="55">
        <v>1</v>
      </c>
      <c r="H1615" s="55"/>
      <c r="I1615" s="55"/>
      <c r="J1615" s="55"/>
      <c r="K1615" s="57"/>
      <c r="L1615" s="55"/>
    </row>
    <row r="1616" spans="1:12">
      <c r="A1616" s="53">
        <v>46226</v>
      </c>
      <c r="B1616" s="54">
        <f>Table13[[#This Row],[Date]]</f>
        <v>46226</v>
      </c>
      <c r="C1616" s="55" t="s">
        <v>16</v>
      </c>
      <c r="D1616" s="59" t="s">
        <v>135</v>
      </c>
      <c r="E1616" s="77" t="s">
        <v>53</v>
      </c>
      <c r="F1616" s="55" t="s">
        <v>19</v>
      </c>
      <c r="G1616" s="55">
        <v>1</v>
      </c>
      <c r="H1616" s="55"/>
      <c r="I1616" s="55"/>
      <c r="J1616" s="55"/>
      <c r="K1616" s="57"/>
      <c r="L1616" s="55"/>
    </row>
    <row r="1617" spans="1:12">
      <c r="A1617" s="53">
        <v>46231</v>
      </c>
      <c r="B1617" s="54">
        <f>Table13[[#This Row],[Date]]</f>
        <v>46231</v>
      </c>
      <c r="C1617" s="55" t="s">
        <v>14</v>
      </c>
      <c r="D1617" s="59" t="s">
        <v>104</v>
      </c>
      <c r="E1617" s="55" t="s">
        <v>18</v>
      </c>
      <c r="F1617" s="55" t="s">
        <v>19</v>
      </c>
      <c r="G1617" s="55">
        <v>1</v>
      </c>
      <c r="H1617" s="55"/>
      <c r="I1617" s="55"/>
      <c r="J1617" s="55"/>
      <c r="K1617" s="57"/>
      <c r="L1617" s="55"/>
    </row>
    <row r="1618" spans="1:12">
      <c r="A1618" s="53">
        <v>46231</v>
      </c>
      <c r="B1618" s="54">
        <f>Table13[[#This Row],[Date]]</f>
        <v>46231</v>
      </c>
      <c r="C1618" s="55" t="s">
        <v>14</v>
      </c>
      <c r="D1618" s="59" t="s">
        <v>104</v>
      </c>
      <c r="E1618" s="55" t="s">
        <v>21</v>
      </c>
      <c r="F1618" s="55" t="s">
        <v>19</v>
      </c>
      <c r="G1618" s="55">
        <v>1</v>
      </c>
      <c r="H1618" s="55"/>
      <c r="I1618" s="55"/>
      <c r="J1618" s="55"/>
      <c r="K1618" s="57"/>
      <c r="L1618" s="55"/>
    </row>
    <row r="1619" spans="1:12">
      <c r="A1619" s="48">
        <v>46231</v>
      </c>
      <c r="B1619" s="49">
        <f>Table13[[#This Row],[Date]]</f>
        <v>46231</v>
      </c>
      <c r="C1619" s="50" t="s">
        <v>149</v>
      </c>
      <c r="D1619" s="51" t="s">
        <v>150</v>
      </c>
      <c r="E1619" s="50"/>
      <c r="F1619" s="50"/>
      <c r="G1619" s="50"/>
      <c r="H1619" s="50"/>
      <c r="I1619" s="50"/>
      <c r="J1619" s="50"/>
      <c r="K1619" s="52"/>
      <c r="L1619" s="50"/>
    </row>
    <row r="1620" spans="1:12">
      <c r="A1620" s="15">
        <v>46232</v>
      </c>
      <c r="B1620" s="54">
        <f>Table13[[#This Row],[Date]]</f>
        <v>46232</v>
      </c>
      <c r="C1620" s="55" t="s">
        <v>14</v>
      </c>
      <c r="D1620" s="59" t="s">
        <v>124</v>
      </c>
      <c r="E1620" s="55" t="s">
        <v>18</v>
      </c>
      <c r="F1620" s="55" t="s">
        <v>19</v>
      </c>
      <c r="G1620" s="55">
        <v>1</v>
      </c>
      <c r="H1620" s="55"/>
      <c r="I1620" s="55"/>
      <c r="J1620" s="55"/>
      <c r="K1620" s="57"/>
      <c r="L1620" s="55"/>
    </row>
    <row r="1621" spans="1:12">
      <c r="A1621" s="53">
        <v>46234</v>
      </c>
      <c r="B1621" s="17">
        <f>Table13[[#This Row],[Date]]</f>
        <v>46234</v>
      </c>
      <c r="C1621" s="1"/>
      <c r="D1621" s="61" t="s">
        <v>179</v>
      </c>
      <c r="E1621" s="55" t="s">
        <v>47</v>
      </c>
      <c r="F1621" s="55" t="s">
        <v>19</v>
      </c>
      <c r="G1621" s="55">
        <v>1</v>
      </c>
      <c r="H1621" s="1"/>
      <c r="I1621" s="1"/>
      <c r="J1621" s="1"/>
      <c r="K1621" s="3"/>
      <c r="L1621" s="1"/>
    </row>
    <row r="1622" spans="1:12">
      <c r="A1622" s="16">
        <v>46235</v>
      </c>
      <c r="B1622" s="18">
        <f>Table13[[#This Row],[Date]]</f>
        <v>46235</v>
      </c>
      <c r="C1622" s="10" t="s">
        <v>14</v>
      </c>
      <c r="D1622" s="9" t="s">
        <v>57</v>
      </c>
      <c r="E1622" s="55" t="s">
        <v>18</v>
      </c>
      <c r="F1622" s="55" t="s">
        <v>19</v>
      </c>
      <c r="G1622" s="55">
        <v>1</v>
      </c>
      <c r="H1622" s="1"/>
      <c r="I1622" s="1"/>
      <c r="J1622" s="1"/>
      <c r="K1622" s="3"/>
      <c r="L1622" s="1"/>
    </row>
    <row r="1623" spans="1:12">
      <c r="A1623" s="53">
        <v>46239</v>
      </c>
      <c r="B1623" s="54">
        <f>Table13[[#This Row],[Date]]</f>
        <v>46239</v>
      </c>
      <c r="C1623" s="55" t="s">
        <v>14</v>
      </c>
      <c r="D1623" s="91" t="s">
        <v>33</v>
      </c>
      <c r="E1623" s="77" t="s">
        <v>18</v>
      </c>
      <c r="F1623" s="55" t="s">
        <v>19</v>
      </c>
      <c r="G1623" s="55">
        <v>1</v>
      </c>
      <c r="H1623" s="55"/>
      <c r="I1623" s="55"/>
      <c r="J1623" s="55"/>
      <c r="K1623" s="57"/>
      <c r="L1623" s="55"/>
    </row>
    <row r="1624" spans="1:12">
      <c r="A1624" s="53">
        <v>46239</v>
      </c>
      <c r="B1624" s="54">
        <f>Table13[[#This Row],[Date]]</f>
        <v>46239</v>
      </c>
      <c r="C1624" s="55" t="s">
        <v>14</v>
      </c>
      <c r="D1624" s="91" t="s">
        <v>33</v>
      </c>
      <c r="E1624" s="55" t="s">
        <v>21</v>
      </c>
      <c r="F1624" s="55" t="s">
        <v>19</v>
      </c>
      <c r="G1624" s="55">
        <v>1</v>
      </c>
      <c r="H1624" s="55"/>
      <c r="I1624" s="55"/>
      <c r="J1624" s="55"/>
      <c r="K1624" s="57"/>
      <c r="L1624" s="55"/>
    </row>
    <row r="1625" spans="1:12">
      <c r="A1625" s="53">
        <v>46239</v>
      </c>
      <c r="B1625" s="54">
        <f>Table13[[#This Row],[Date]]</f>
        <v>46239</v>
      </c>
      <c r="C1625" s="55" t="s">
        <v>14</v>
      </c>
      <c r="D1625" s="91" t="s">
        <v>33</v>
      </c>
      <c r="E1625" s="77" t="s">
        <v>34</v>
      </c>
      <c r="F1625" s="55" t="s">
        <v>19</v>
      </c>
      <c r="G1625" s="55">
        <v>1</v>
      </c>
      <c r="H1625" s="55"/>
      <c r="I1625" s="55"/>
      <c r="J1625" s="55"/>
      <c r="K1625" s="57"/>
      <c r="L1625" s="55"/>
    </row>
    <row r="1626" spans="1:12">
      <c r="A1626" s="53">
        <v>46239</v>
      </c>
      <c r="B1626" s="54">
        <f>Table13[[#This Row],[Date]]</f>
        <v>46239</v>
      </c>
      <c r="C1626" s="55" t="s">
        <v>14</v>
      </c>
      <c r="D1626" s="91" t="s">
        <v>33</v>
      </c>
      <c r="E1626" s="77" t="s">
        <v>35</v>
      </c>
      <c r="F1626" s="55" t="s">
        <v>19</v>
      </c>
      <c r="G1626" s="55">
        <v>1</v>
      </c>
      <c r="H1626" s="55"/>
      <c r="I1626" s="55"/>
      <c r="J1626" s="55"/>
      <c r="K1626" s="57"/>
      <c r="L1626" s="55"/>
    </row>
    <row r="1627" spans="1:12">
      <c r="A1627" s="15">
        <v>46239</v>
      </c>
      <c r="B1627" s="104">
        <f>Table13[[#This Row],[Date]]</f>
        <v>46239</v>
      </c>
      <c r="C1627" s="105" t="s">
        <v>16</v>
      </c>
      <c r="D1627" s="271" t="s">
        <v>22</v>
      </c>
      <c r="E1627" s="107" t="s">
        <v>18</v>
      </c>
      <c r="F1627" s="105" t="s">
        <v>19</v>
      </c>
      <c r="G1627" s="105">
        <v>1</v>
      </c>
      <c r="H1627" s="105"/>
      <c r="I1627" s="105"/>
      <c r="J1627" s="105"/>
      <c r="K1627" s="108"/>
      <c r="L1627" s="105"/>
    </row>
    <row r="1628" spans="1:12">
      <c r="A1628" s="15">
        <v>46239</v>
      </c>
      <c r="B1628" s="17">
        <f>Table13[[#This Row],[Date]]</f>
        <v>46239</v>
      </c>
      <c r="C1628" s="1" t="s">
        <v>23</v>
      </c>
      <c r="D1628" s="141" t="s">
        <v>38</v>
      </c>
      <c r="E1628" s="1" t="s">
        <v>18</v>
      </c>
      <c r="F1628" s="1" t="s">
        <v>19</v>
      </c>
      <c r="G1628" s="1">
        <v>1</v>
      </c>
      <c r="H1628" s="1"/>
      <c r="I1628" s="1"/>
      <c r="J1628" s="1"/>
      <c r="K1628" s="3"/>
      <c r="L1628" s="1"/>
    </row>
    <row r="1629" spans="1:12">
      <c r="A1629" s="53">
        <v>46240</v>
      </c>
      <c r="B1629" s="54">
        <f>Table13[[#This Row],[Date]]</f>
        <v>46240</v>
      </c>
      <c r="C1629" s="55" t="s">
        <v>14</v>
      </c>
      <c r="D1629" s="91" t="s">
        <v>33</v>
      </c>
      <c r="E1629" s="64" t="s">
        <v>41</v>
      </c>
      <c r="F1629" s="55" t="s">
        <v>19</v>
      </c>
      <c r="G1629" s="55">
        <v>1</v>
      </c>
      <c r="H1629" s="55"/>
      <c r="I1629" s="55"/>
      <c r="J1629" s="55"/>
      <c r="K1629" s="57"/>
      <c r="L1629" s="55"/>
    </row>
    <row r="1630" spans="1:12">
      <c r="A1630" s="53">
        <v>46240</v>
      </c>
      <c r="B1630" s="54">
        <f>Table13[[#This Row],[Date]]</f>
        <v>46240</v>
      </c>
      <c r="C1630" s="55" t="s">
        <v>14</v>
      </c>
      <c r="D1630" s="91" t="s">
        <v>33</v>
      </c>
      <c r="E1630" s="55" t="s">
        <v>42</v>
      </c>
      <c r="F1630" s="55" t="s">
        <v>19</v>
      </c>
      <c r="G1630" s="55">
        <v>1</v>
      </c>
      <c r="H1630" s="55"/>
      <c r="I1630" s="55"/>
      <c r="J1630" s="55"/>
      <c r="K1630" s="57"/>
      <c r="L1630" s="55"/>
    </row>
    <row r="1631" spans="1:12">
      <c r="A1631" s="53">
        <v>46240</v>
      </c>
      <c r="B1631" s="54">
        <f>Table13[[#This Row],[Date]]</f>
        <v>46240</v>
      </c>
      <c r="C1631" s="55" t="s">
        <v>14</v>
      </c>
      <c r="D1631" s="91" t="s">
        <v>33</v>
      </c>
      <c r="E1631" s="55" t="s">
        <v>43</v>
      </c>
      <c r="F1631" s="55" t="s">
        <v>19</v>
      </c>
      <c r="G1631" s="55">
        <v>1</v>
      </c>
      <c r="H1631" s="55"/>
      <c r="I1631" s="55"/>
      <c r="J1631" s="55"/>
      <c r="K1631" s="57"/>
      <c r="L1631" s="55"/>
    </row>
    <row r="1632" spans="1:12">
      <c r="A1632" s="53">
        <v>46240</v>
      </c>
      <c r="B1632" s="54">
        <f>Table13[[#This Row],[Date]]</f>
        <v>46240</v>
      </c>
      <c r="C1632" s="55" t="s">
        <v>14</v>
      </c>
      <c r="D1632" s="91" t="s">
        <v>33</v>
      </c>
      <c r="E1632" s="64" t="s">
        <v>44</v>
      </c>
      <c r="F1632" s="55" t="s">
        <v>19</v>
      </c>
      <c r="G1632" s="55">
        <v>1</v>
      </c>
      <c r="H1632" s="55"/>
      <c r="I1632" s="55"/>
      <c r="J1632" s="55"/>
      <c r="K1632" s="57"/>
      <c r="L1632" s="55"/>
    </row>
    <row r="1633" spans="1:12">
      <c r="A1633" s="53">
        <v>46240</v>
      </c>
      <c r="B1633" s="54">
        <f>Table13[[#This Row],[Date]]</f>
        <v>46240</v>
      </c>
      <c r="C1633" s="55" t="s">
        <v>14</v>
      </c>
      <c r="D1633" s="91" t="s">
        <v>33</v>
      </c>
      <c r="E1633" s="64" t="s">
        <v>45</v>
      </c>
      <c r="F1633" s="55" t="s">
        <v>19</v>
      </c>
      <c r="G1633" s="55">
        <v>1</v>
      </c>
      <c r="H1633" s="55"/>
      <c r="I1633" s="55"/>
      <c r="J1633" s="55"/>
      <c r="K1633" s="57"/>
      <c r="L1633" s="55"/>
    </row>
    <row r="1634" spans="1:12">
      <c r="A1634" s="15">
        <v>46244</v>
      </c>
      <c r="B1634" s="17">
        <f>Table13[[#This Row],[Date]]</f>
        <v>46244</v>
      </c>
      <c r="C1634" s="1" t="s">
        <v>14</v>
      </c>
      <c r="D1634" s="152" t="s">
        <v>66</v>
      </c>
      <c r="E1634" s="1" t="s">
        <v>18</v>
      </c>
      <c r="F1634" s="1" t="s">
        <v>19</v>
      </c>
      <c r="G1634" s="1">
        <v>1</v>
      </c>
      <c r="H1634" s="1"/>
      <c r="I1634" s="1"/>
      <c r="J1634" s="1"/>
      <c r="K1634" s="3"/>
      <c r="L1634" s="1"/>
    </row>
    <row r="1635" spans="1:12">
      <c r="A1635" s="53">
        <v>46245</v>
      </c>
      <c r="B1635" s="54">
        <f>Table13[[#This Row],[Date]]</f>
        <v>46245</v>
      </c>
      <c r="C1635" s="55" t="s">
        <v>14</v>
      </c>
      <c r="D1635" s="59" t="s">
        <v>104</v>
      </c>
      <c r="E1635" s="55" t="s">
        <v>59</v>
      </c>
      <c r="F1635" s="55" t="s">
        <v>60</v>
      </c>
      <c r="G1635" s="55">
        <v>1</v>
      </c>
      <c r="H1635" s="55"/>
      <c r="I1635" s="55"/>
      <c r="J1635" s="55"/>
      <c r="K1635" s="57"/>
      <c r="L1635" s="55"/>
    </row>
    <row r="1636" spans="1:12">
      <c r="A1636" s="53">
        <v>46245</v>
      </c>
      <c r="B1636" s="54">
        <f>Table13[[#This Row],[Date]]</f>
        <v>46245</v>
      </c>
      <c r="C1636" s="55" t="s">
        <v>14</v>
      </c>
      <c r="D1636" s="82" t="s">
        <v>104</v>
      </c>
      <c r="E1636" s="55" t="s">
        <v>61</v>
      </c>
      <c r="F1636" s="55" t="s">
        <v>60</v>
      </c>
      <c r="G1636" s="55">
        <v>1</v>
      </c>
      <c r="H1636" s="55"/>
      <c r="I1636" s="55"/>
      <c r="J1636" s="55"/>
      <c r="K1636" s="57"/>
      <c r="L1636" s="55"/>
    </row>
    <row r="1637" spans="1:12">
      <c r="A1637" s="15">
        <v>46245</v>
      </c>
      <c r="B1637" s="17">
        <f>Table13[[#This Row],[Date]]</f>
        <v>46245</v>
      </c>
      <c r="C1637" s="1"/>
      <c r="D1637" s="277" t="s">
        <v>180</v>
      </c>
      <c r="E1637" s="1" t="s">
        <v>18</v>
      </c>
      <c r="F1637" s="1" t="s">
        <v>19</v>
      </c>
      <c r="G1637" s="1">
        <v>1</v>
      </c>
      <c r="H1637" s="1"/>
      <c r="I1637" s="1"/>
      <c r="J1637" s="1"/>
      <c r="K1637" s="3"/>
      <c r="L1637" s="1"/>
    </row>
    <row r="1638" spans="1:12">
      <c r="A1638" s="103">
        <v>46251</v>
      </c>
      <c r="B1638" s="104">
        <f>Table13[[#This Row],[Date]]</f>
        <v>46251</v>
      </c>
      <c r="C1638" s="105" t="s">
        <v>14</v>
      </c>
      <c r="D1638" s="278" t="s">
        <v>181</v>
      </c>
      <c r="E1638" s="105" t="s">
        <v>18</v>
      </c>
      <c r="F1638" s="105" t="s">
        <v>19</v>
      </c>
      <c r="G1638" s="105">
        <v>1</v>
      </c>
      <c r="H1638" s="105"/>
      <c r="I1638" s="105"/>
      <c r="J1638" s="105"/>
      <c r="K1638" s="108"/>
      <c r="L1638" s="105"/>
    </row>
    <row r="1639" spans="1:12">
      <c r="A1639" s="53">
        <v>46251</v>
      </c>
      <c r="B1639" s="54">
        <f>Table13[[#This Row],[Date]]</f>
        <v>46251</v>
      </c>
      <c r="C1639" s="55" t="s">
        <v>14</v>
      </c>
      <c r="D1639" s="82" t="s">
        <v>96</v>
      </c>
      <c r="E1639" s="55" t="s">
        <v>18</v>
      </c>
      <c r="F1639" s="55" t="s">
        <v>19</v>
      </c>
      <c r="G1639" s="55">
        <v>1</v>
      </c>
      <c r="H1639" s="55"/>
      <c r="I1639" s="55"/>
      <c r="J1639" s="55"/>
      <c r="K1639" s="57"/>
      <c r="L1639" s="55"/>
    </row>
    <row r="1640" spans="1:12">
      <c r="A1640" s="96">
        <v>46251</v>
      </c>
      <c r="B1640" s="37">
        <f>Table13[[#This Row],[Date]]</f>
        <v>46251</v>
      </c>
      <c r="C1640" s="38" t="s">
        <v>14</v>
      </c>
      <c r="D1640" s="274" t="s">
        <v>97</v>
      </c>
      <c r="E1640" s="38" t="s">
        <v>18</v>
      </c>
      <c r="F1640" s="38" t="s">
        <v>19</v>
      </c>
      <c r="G1640" s="38">
        <v>1</v>
      </c>
      <c r="H1640" s="38"/>
      <c r="I1640" s="38"/>
      <c r="J1640" s="38"/>
      <c r="K1640" s="97"/>
      <c r="L1640" s="38"/>
    </row>
    <row r="1641" spans="1:12">
      <c r="A1641" s="53">
        <v>46252</v>
      </c>
      <c r="B1641" s="54">
        <f>Table13[[#This Row],[Date]]</f>
        <v>46252</v>
      </c>
      <c r="C1641" s="55" t="s">
        <v>14</v>
      </c>
      <c r="D1641" s="82" t="s">
        <v>104</v>
      </c>
      <c r="E1641" s="55" t="s">
        <v>72</v>
      </c>
      <c r="F1641" s="55" t="s">
        <v>60</v>
      </c>
      <c r="G1641" s="55">
        <v>1</v>
      </c>
      <c r="H1641" s="55"/>
      <c r="I1641" s="55"/>
      <c r="J1641" s="55"/>
      <c r="K1641" s="57"/>
      <c r="L1641" s="55"/>
    </row>
    <row r="1642" spans="1:12">
      <c r="A1642" s="53">
        <v>46252</v>
      </c>
      <c r="B1642" s="54">
        <f>Table13[[#This Row],[Date]]</f>
        <v>46252</v>
      </c>
      <c r="C1642" s="55" t="s">
        <v>14</v>
      </c>
      <c r="D1642" s="82" t="s">
        <v>104</v>
      </c>
      <c r="E1642" s="55" t="s">
        <v>76</v>
      </c>
      <c r="F1642" s="55" t="s">
        <v>60</v>
      </c>
      <c r="G1642" s="55">
        <v>1</v>
      </c>
      <c r="H1642" s="55"/>
      <c r="I1642" s="55"/>
      <c r="J1642" s="55"/>
      <c r="K1642" s="57"/>
      <c r="L1642" s="55"/>
    </row>
    <row r="1643" spans="1:12">
      <c r="A1643" s="53">
        <v>46255</v>
      </c>
      <c r="B1643" s="54">
        <f>Table13[[#This Row],[Date]]</f>
        <v>46255</v>
      </c>
      <c r="C1643" s="55" t="s">
        <v>23</v>
      </c>
      <c r="D1643" s="82" t="s">
        <v>114</v>
      </c>
      <c r="E1643" s="55" t="s">
        <v>18</v>
      </c>
      <c r="F1643" s="55" t="s">
        <v>19</v>
      </c>
      <c r="G1643" s="55">
        <v>1</v>
      </c>
      <c r="H1643" s="55"/>
      <c r="I1643" s="55"/>
      <c r="J1643" s="55"/>
      <c r="K1643" s="57"/>
      <c r="L1643" s="55"/>
    </row>
    <row r="1644" spans="1:12">
      <c r="A1644" s="53">
        <v>46255</v>
      </c>
      <c r="B1644" s="54">
        <f>Table13[[#This Row],[Date]]</f>
        <v>46255</v>
      </c>
      <c r="C1644" s="55" t="s">
        <v>23</v>
      </c>
      <c r="D1644" s="82" t="s">
        <v>114</v>
      </c>
      <c r="E1644" s="55" t="s">
        <v>21</v>
      </c>
      <c r="F1644" s="55" t="s">
        <v>19</v>
      </c>
      <c r="G1644" s="55">
        <v>1</v>
      </c>
      <c r="H1644" s="55"/>
      <c r="I1644" s="55"/>
      <c r="J1644" s="55"/>
      <c r="K1644" s="57"/>
      <c r="L1644" s="55"/>
    </row>
    <row r="1645" spans="1:12">
      <c r="A1645" s="53">
        <v>46259</v>
      </c>
      <c r="B1645" s="54">
        <f>Table13[[#This Row],[Date]]</f>
        <v>46259</v>
      </c>
      <c r="C1645" s="55" t="s">
        <v>14</v>
      </c>
      <c r="D1645" s="82" t="s">
        <v>104</v>
      </c>
      <c r="E1645" s="55" t="s">
        <v>18</v>
      </c>
      <c r="F1645" s="55" t="s">
        <v>19</v>
      </c>
      <c r="G1645" s="55">
        <v>1</v>
      </c>
      <c r="H1645" s="55"/>
      <c r="I1645" s="55"/>
      <c r="J1645" s="55"/>
      <c r="K1645" s="57"/>
      <c r="L1645" s="55"/>
    </row>
    <row r="1646" spans="1:12">
      <c r="A1646" s="53">
        <v>46259</v>
      </c>
      <c r="B1646" s="54">
        <f>Table13[[#This Row],[Date]]</f>
        <v>46259</v>
      </c>
      <c r="C1646" s="55" t="s">
        <v>14</v>
      </c>
      <c r="D1646" s="82" t="s">
        <v>104</v>
      </c>
      <c r="E1646" s="55" t="s">
        <v>21</v>
      </c>
      <c r="F1646" s="55" t="s">
        <v>19</v>
      </c>
      <c r="G1646" s="55">
        <v>1</v>
      </c>
      <c r="H1646" s="55"/>
      <c r="I1646" s="55"/>
      <c r="J1646" s="55"/>
      <c r="K1646" s="57"/>
      <c r="L1646" s="55"/>
    </row>
    <row r="1647" spans="1:12">
      <c r="A1647" s="48">
        <v>46259</v>
      </c>
      <c r="B1647" s="49">
        <f>Table13[[#This Row],[Date]]</f>
        <v>46259</v>
      </c>
      <c r="C1647" s="50" t="s">
        <v>149</v>
      </c>
      <c r="D1647" s="134" t="s">
        <v>150</v>
      </c>
      <c r="E1647" s="50"/>
      <c r="F1647" s="50"/>
      <c r="G1647" s="50"/>
      <c r="H1647" s="50"/>
      <c r="I1647" s="50"/>
      <c r="J1647" s="50"/>
      <c r="K1647" s="52"/>
      <c r="L1647" s="50"/>
    </row>
    <row r="1648" spans="1:12">
      <c r="A1648" s="15">
        <v>46260</v>
      </c>
      <c r="B1648" s="54">
        <f>Table13[[#This Row],[Date]]</f>
        <v>46260</v>
      </c>
      <c r="C1648" s="55" t="s">
        <v>14</v>
      </c>
      <c r="D1648" s="82" t="s">
        <v>124</v>
      </c>
      <c r="E1648" s="55" t="s">
        <v>18</v>
      </c>
      <c r="F1648" s="55" t="s">
        <v>19</v>
      </c>
      <c r="G1648" s="55">
        <v>1</v>
      </c>
      <c r="H1648" s="55"/>
      <c r="I1648" s="55"/>
      <c r="J1648" s="55"/>
      <c r="K1648" s="57"/>
      <c r="L1648" s="55"/>
    </row>
    <row r="1649" spans="1:12">
      <c r="A1649" s="53">
        <v>46261</v>
      </c>
      <c r="B1649" s="54">
        <f>Table13[[#This Row],[Date]]</f>
        <v>46261</v>
      </c>
      <c r="C1649" s="55" t="s">
        <v>16</v>
      </c>
      <c r="D1649" s="82" t="s">
        <v>135</v>
      </c>
      <c r="E1649" s="77" t="s">
        <v>47</v>
      </c>
      <c r="F1649" s="55" t="s">
        <v>19</v>
      </c>
      <c r="G1649" s="55">
        <v>1</v>
      </c>
      <c r="H1649" s="55"/>
      <c r="I1649" s="55"/>
      <c r="J1649" s="55"/>
      <c r="K1649" s="57"/>
      <c r="L1649" s="55"/>
    </row>
    <row r="1650" spans="1:12">
      <c r="A1650" s="53">
        <v>46261</v>
      </c>
      <c r="B1650" s="54">
        <f>Table13[[#This Row],[Date]]</f>
        <v>46261</v>
      </c>
      <c r="C1650" s="55" t="s">
        <v>16</v>
      </c>
      <c r="D1650" s="82" t="s">
        <v>135</v>
      </c>
      <c r="E1650" s="77" t="s">
        <v>53</v>
      </c>
      <c r="F1650" s="55" t="s">
        <v>19</v>
      </c>
      <c r="G1650" s="55">
        <v>1</v>
      </c>
      <c r="H1650" s="55"/>
      <c r="I1650" s="55"/>
      <c r="J1650" s="55"/>
      <c r="K1650" s="57"/>
      <c r="L1650" s="55"/>
    </row>
    <row r="1651" spans="1:12">
      <c r="A1651" s="53">
        <v>46262</v>
      </c>
      <c r="B1651" s="17">
        <f>Table13[[#This Row],[Date]]</f>
        <v>46262</v>
      </c>
      <c r="C1651" s="1"/>
      <c r="D1651" s="73" t="s">
        <v>179</v>
      </c>
      <c r="E1651" s="55" t="s">
        <v>47</v>
      </c>
      <c r="F1651" s="55" t="s">
        <v>19</v>
      </c>
      <c r="G1651" s="55">
        <v>1</v>
      </c>
      <c r="H1651" s="1"/>
      <c r="I1651" s="1"/>
      <c r="J1651" s="1"/>
      <c r="K1651" s="3"/>
      <c r="L1651" s="1"/>
    </row>
    <row r="1652" spans="1:12">
      <c r="A1652" s="15">
        <v>46267</v>
      </c>
      <c r="B1652" s="104">
        <f>Table13[[#This Row],[Date]]</f>
        <v>46267</v>
      </c>
      <c r="C1652" s="105" t="s">
        <v>16</v>
      </c>
      <c r="D1652" s="265" t="s">
        <v>22</v>
      </c>
      <c r="E1652" s="107" t="s">
        <v>18</v>
      </c>
      <c r="F1652" s="105" t="s">
        <v>19</v>
      </c>
      <c r="G1652" s="105">
        <v>1</v>
      </c>
      <c r="H1652" s="105"/>
      <c r="I1652" s="105"/>
      <c r="J1652" s="105"/>
      <c r="K1652" s="108"/>
      <c r="L1652" s="105"/>
    </row>
    <row r="1653" spans="1:12">
      <c r="A1653" s="15">
        <v>46267</v>
      </c>
      <c r="B1653" s="17">
        <f>Table13[[#This Row],[Date]]</f>
        <v>46267</v>
      </c>
      <c r="C1653" s="1" t="s">
        <v>23</v>
      </c>
      <c r="D1653" s="269" t="s">
        <v>38</v>
      </c>
      <c r="E1653" s="1" t="s">
        <v>18</v>
      </c>
      <c r="F1653" s="1" t="s">
        <v>19</v>
      </c>
      <c r="G1653" s="1">
        <v>1</v>
      </c>
      <c r="H1653" s="1"/>
      <c r="I1653" s="1"/>
      <c r="J1653" s="1"/>
      <c r="K1653" s="3"/>
      <c r="L1653" s="1"/>
    </row>
    <row r="1654" spans="1:12">
      <c r="A1654" s="16">
        <v>46270</v>
      </c>
      <c r="B1654" s="18">
        <f>Table13[[#This Row],[Date]]</f>
        <v>46270</v>
      </c>
      <c r="C1654" s="10" t="s">
        <v>14</v>
      </c>
      <c r="D1654" s="81" t="s">
        <v>57</v>
      </c>
      <c r="E1654" s="55" t="s">
        <v>18</v>
      </c>
      <c r="F1654" s="55" t="s">
        <v>19</v>
      </c>
      <c r="G1654" s="55">
        <v>1</v>
      </c>
      <c r="H1654" s="1"/>
      <c r="I1654" s="1"/>
      <c r="J1654" s="1"/>
      <c r="K1654" s="3"/>
      <c r="L1654" s="1"/>
    </row>
    <row r="1655" spans="1:12">
      <c r="A1655" s="15">
        <v>46272</v>
      </c>
      <c r="B1655" s="17">
        <f>Table13[[#This Row],[Date]]</f>
        <v>46272</v>
      </c>
      <c r="C1655" s="1" t="s">
        <v>14</v>
      </c>
      <c r="D1655" s="272" t="s">
        <v>66</v>
      </c>
      <c r="E1655" s="1" t="s">
        <v>18</v>
      </c>
      <c r="F1655" s="1" t="s">
        <v>19</v>
      </c>
      <c r="G1655" s="1">
        <v>1</v>
      </c>
      <c r="H1655" s="1"/>
      <c r="I1655" s="1"/>
      <c r="J1655" s="1"/>
      <c r="K1655" s="3"/>
      <c r="L1655" s="1"/>
    </row>
    <row r="1656" spans="1:12">
      <c r="A1656" s="53">
        <v>46283</v>
      </c>
      <c r="B1656" s="54">
        <f>Table13[[#This Row],[Date]]</f>
        <v>46283</v>
      </c>
      <c r="C1656" s="55" t="s">
        <v>23</v>
      </c>
      <c r="D1656" s="82" t="s">
        <v>114</v>
      </c>
      <c r="E1656" s="55" t="s">
        <v>18</v>
      </c>
      <c r="F1656" s="55" t="s">
        <v>19</v>
      </c>
      <c r="G1656" s="55">
        <v>1</v>
      </c>
      <c r="H1656" s="55"/>
      <c r="I1656" s="55"/>
      <c r="J1656" s="55"/>
      <c r="K1656" s="57"/>
      <c r="L1656" s="55"/>
    </row>
    <row r="1657" spans="1:12">
      <c r="A1657" s="53">
        <v>46283</v>
      </c>
      <c r="B1657" s="54">
        <f>Table13[[#This Row],[Date]]</f>
        <v>46283</v>
      </c>
      <c r="C1657" s="55" t="s">
        <v>23</v>
      </c>
      <c r="D1657" s="82" t="s">
        <v>114</v>
      </c>
      <c r="E1657" s="55" t="s">
        <v>21</v>
      </c>
      <c r="F1657" s="55" t="s">
        <v>19</v>
      </c>
      <c r="G1657" s="55">
        <v>1</v>
      </c>
      <c r="H1657" s="55"/>
      <c r="I1657" s="55"/>
      <c r="J1657" s="55"/>
      <c r="K1657" s="57"/>
      <c r="L1657" s="55"/>
    </row>
    <row r="1658" spans="1:12">
      <c r="A1658" s="53">
        <v>46286</v>
      </c>
      <c r="B1658" s="54">
        <f>Table13[[#This Row],[Date]]</f>
        <v>46286</v>
      </c>
      <c r="C1658" s="55" t="s">
        <v>14</v>
      </c>
      <c r="D1658" s="82" t="s">
        <v>96</v>
      </c>
      <c r="E1658" s="55" t="s">
        <v>18</v>
      </c>
      <c r="F1658" s="55" t="s">
        <v>19</v>
      </c>
      <c r="G1658" s="55">
        <v>1</v>
      </c>
      <c r="H1658" s="55"/>
      <c r="I1658" s="55"/>
      <c r="J1658" s="55"/>
      <c r="K1658" s="57"/>
      <c r="L1658" s="55"/>
    </row>
    <row r="1659" spans="1:12">
      <c r="A1659" s="96">
        <v>46286</v>
      </c>
      <c r="B1659" s="37">
        <f>Table13[[#This Row],[Date]]</f>
        <v>46286</v>
      </c>
      <c r="C1659" s="38" t="s">
        <v>14</v>
      </c>
      <c r="D1659" s="274" t="s">
        <v>97</v>
      </c>
      <c r="E1659" s="38" t="s">
        <v>18</v>
      </c>
      <c r="F1659" s="38" t="s">
        <v>19</v>
      </c>
      <c r="G1659" s="38">
        <v>1</v>
      </c>
      <c r="H1659" s="38"/>
      <c r="I1659" s="38"/>
      <c r="J1659" s="38"/>
      <c r="K1659" s="97"/>
      <c r="L1659" s="38"/>
    </row>
    <row r="1660" spans="1:12">
      <c r="A1660" s="15">
        <v>46288</v>
      </c>
      <c r="B1660" s="54">
        <f>Table13[[#This Row],[Date]]</f>
        <v>46288</v>
      </c>
      <c r="C1660" s="55" t="s">
        <v>14</v>
      </c>
      <c r="D1660" s="59" t="s">
        <v>124</v>
      </c>
      <c r="E1660" s="55" t="s">
        <v>18</v>
      </c>
      <c r="F1660" s="55" t="s">
        <v>19</v>
      </c>
      <c r="G1660" s="55">
        <v>1</v>
      </c>
      <c r="H1660" s="55"/>
      <c r="I1660" s="55"/>
      <c r="J1660" s="55"/>
      <c r="K1660" s="57"/>
      <c r="L1660" s="55"/>
    </row>
    <row r="1661" spans="1:12">
      <c r="A1661" s="48">
        <v>46294</v>
      </c>
      <c r="B1661" s="49">
        <f>Table13[[#This Row],[Date]]</f>
        <v>46294</v>
      </c>
      <c r="C1661" s="50" t="s">
        <v>149</v>
      </c>
      <c r="D1661" s="51" t="s">
        <v>150</v>
      </c>
      <c r="E1661" s="50"/>
      <c r="F1661" s="50"/>
      <c r="G1661" s="50"/>
      <c r="H1661" s="50"/>
      <c r="I1661" s="50"/>
      <c r="J1661" s="50"/>
      <c r="K1661" s="52"/>
      <c r="L1661" s="50"/>
    </row>
    <row r="1662" spans="1:12">
      <c r="A1662" s="53">
        <v>46294</v>
      </c>
      <c r="B1662" s="17">
        <f>Table13[[#This Row],[Date]]</f>
        <v>46294</v>
      </c>
      <c r="C1662" s="1"/>
      <c r="D1662" s="61" t="s">
        <v>179</v>
      </c>
      <c r="E1662" s="55" t="s">
        <v>47</v>
      </c>
      <c r="F1662" s="55" t="s">
        <v>19</v>
      </c>
      <c r="G1662" s="55">
        <v>1</v>
      </c>
      <c r="H1662" s="1"/>
      <c r="I1662" s="1"/>
      <c r="J1662" s="1"/>
      <c r="K1662" s="3"/>
      <c r="L1662" s="1"/>
    </row>
    <row r="1663" spans="1:12">
      <c r="A1663" s="16">
        <v>46298</v>
      </c>
      <c r="B1663" s="18">
        <f>Table13[[#This Row],[Date]]</f>
        <v>46298</v>
      </c>
      <c r="C1663" s="10" t="s">
        <v>14</v>
      </c>
      <c r="D1663" s="9" t="s">
        <v>57</v>
      </c>
      <c r="E1663" s="55" t="s">
        <v>18</v>
      </c>
      <c r="F1663" s="55" t="s">
        <v>19</v>
      </c>
      <c r="G1663" s="55">
        <v>1</v>
      </c>
      <c r="H1663" s="1"/>
      <c r="I1663" s="1"/>
      <c r="J1663" s="1"/>
      <c r="K1663" s="3"/>
      <c r="L1663" s="1"/>
    </row>
    <row r="1664" spans="1:12">
      <c r="A1664" s="15">
        <v>46302</v>
      </c>
      <c r="B1664" s="104">
        <f>Table13[[#This Row],[Date]]</f>
        <v>46302</v>
      </c>
      <c r="C1664" s="105" t="s">
        <v>16</v>
      </c>
      <c r="D1664" s="271" t="s">
        <v>22</v>
      </c>
      <c r="E1664" s="107" t="s">
        <v>18</v>
      </c>
      <c r="F1664" s="105" t="s">
        <v>19</v>
      </c>
      <c r="G1664" s="105">
        <v>1</v>
      </c>
      <c r="H1664" s="105"/>
      <c r="I1664" s="105"/>
      <c r="J1664" s="105"/>
      <c r="K1664" s="108"/>
      <c r="L1664" s="105"/>
    </row>
    <row r="1665" spans="1:12">
      <c r="A1665" s="15">
        <v>46302</v>
      </c>
      <c r="B1665" s="17">
        <f>Table13[[#This Row],[Date]]</f>
        <v>46302</v>
      </c>
      <c r="C1665" s="1" t="s">
        <v>23</v>
      </c>
      <c r="D1665" s="141" t="s">
        <v>38</v>
      </c>
      <c r="E1665" s="1" t="s">
        <v>18</v>
      </c>
      <c r="F1665" s="1" t="s">
        <v>19</v>
      </c>
      <c r="G1665" s="1">
        <v>1</v>
      </c>
      <c r="H1665" s="1"/>
      <c r="I1665" s="1"/>
      <c r="J1665" s="1"/>
      <c r="K1665" s="3"/>
      <c r="L1665" s="1"/>
    </row>
    <row r="1666" spans="1:12">
      <c r="A1666" s="15">
        <v>46308</v>
      </c>
      <c r="B1666" s="17">
        <f>Table13[[#This Row],[Date]]</f>
        <v>46308</v>
      </c>
      <c r="C1666" s="1"/>
      <c r="D1666" s="2" t="s">
        <v>180</v>
      </c>
      <c r="E1666" s="1" t="s">
        <v>18</v>
      </c>
      <c r="F1666" s="1" t="s">
        <v>19</v>
      </c>
      <c r="G1666" s="1">
        <v>1</v>
      </c>
      <c r="H1666" s="1"/>
      <c r="I1666" s="1"/>
      <c r="J1666" s="1"/>
      <c r="K1666" s="3"/>
      <c r="L1666" s="1"/>
    </row>
    <row r="1667" spans="1:12">
      <c r="A1667" s="53">
        <v>46311</v>
      </c>
      <c r="B1667" s="54">
        <f>Table13[[#This Row],[Date]]</f>
        <v>46311</v>
      </c>
      <c r="C1667" s="55" t="s">
        <v>23</v>
      </c>
      <c r="D1667" s="59" t="s">
        <v>114</v>
      </c>
      <c r="E1667" s="55" t="s">
        <v>18</v>
      </c>
      <c r="F1667" s="55" t="s">
        <v>19</v>
      </c>
      <c r="G1667" s="55">
        <v>1</v>
      </c>
      <c r="H1667" s="55"/>
      <c r="I1667" s="55"/>
      <c r="J1667" s="55"/>
      <c r="K1667" s="57"/>
      <c r="L1667" s="55"/>
    </row>
    <row r="1668" spans="1:12">
      <c r="A1668" s="53">
        <v>46311</v>
      </c>
      <c r="B1668" s="54">
        <f>Table13[[#This Row],[Date]]</f>
        <v>46311</v>
      </c>
      <c r="C1668" s="55" t="s">
        <v>23</v>
      </c>
      <c r="D1668" s="59" t="s">
        <v>114</v>
      </c>
      <c r="E1668" s="55" t="s">
        <v>21</v>
      </c>
      <c r="F1668" s="55" t="s">
        <v>19</v>
      </c>
      <c r="G1668" s="55">
        <v>1</v>
      </c>
      <c r="H1668" s="55"/>
      <c r="I1668" s="55"/>
      <c r="J1668" s="55"/>
      <c r="K1668" s="57"/>
      <c r="L1668" s="55"/>
    </row>
    <row r="1669" spans="1:12">
      <c r="A1669" s="15">
        <v>46323</v>
      </c>
      <c r="B1669" s="54">
        <f>Table13[[#This Row],[Date]]</f>
        <v>46323</v>
      </c>
      <c r="C1669" s="55" t="s">
        <v>14</v>
      </c>
      <c r="D1669" s="59" t="s">
        <v>124</v>
      </c>
      <c r="E1669" s="55" t="s">
        <v>18</v>
      </c>
      <c r="F1669" s="55" t="s">
        <v>19</v>
      </c>
      <c r="G1669" s="55">
        <v>1</v>
      </c>
      <c r="H1669" s="55"/>
      <c r="I1669" s="55"/>
      <c r="J1669" s="55"/>
      <c r="K1669" s="57"/>
      <c r="L1669" s="55"/>
    </row>
    <row r="1670" spans="1:12">
      <c r="A1670" s="53">
        <v>46325</v>
      </c>
      <c r="B1670" s="17">
        <f>Table13[[#This Row],[Date]]</f>
        <v>46325</v>
      </c>
      <c r="C1670" s="1"/>
      <c r="D1670" s="61" t="s">
        <v>179</v>
      </c>
      <c r="E1670" s="55" t="s">
        <v>47</v>
      </c>
      <c r="F1670" s="55" t="s">
        <v>19</v>
      </c>
      <c r="G1670" s="55">
        <v>1</v>
      </c>
      <c r="H1670" s="1"/>
      <c r="I1670" s="1"/>
      <c r="J1670" s="1"/>
      <c r="K1670" s="3"/>
      <c r="L1670" s="1"/>
    </row>
    <row r="1671" spans="1:12">
      <c r="A1671" s="103">
        <v>46330</v>
      </c>
      <c r="B1671" s="17">
        <f>Table13[[#This Row],[Date]]</f>
        <v>46330</v>
      </c>
      <c r="C1671" s="105" t="s">
        <v>16</v>
      </c>
      <c r="D1671" s="271" t="s">
        <v>22</v>
      </c>
      <c r="E1671" s="107" t="s">
        <v>18</v>
      </c>
      <c r="F1671" s="105" t="s">
        <v>19</v>
      </c>
      <c r="G1671" s="105">
        <v>1</v>
      </c>
      <c r="H1671" s="1"/>
      <c r="I1671" s="1"/>
      <c r="J1671" s="1"/>
      <c r="K1671" s="3"/>
      <c r="L1671" s="1"/>
    </row>
    <row r="1672" spans="1:12">
      <c r="A1672" s="103">
        <v>46330</v>
      </c>
      <c r="B1672" s="104">
        <f>Table13[[#This Row],[Date]]</f>
        <v>46330</v>
      </c>
      <c r="C1672" s="105" t="s">
        <v>23</v>
      </c>
      <c r="D1672" s="270" t="s">
        <v>38</v>
      </c>
      <c r="E1672" s="105" t="s">
        <v>18</v>
      </c>
      <c r="F1672" s="105" t="s">
        <v>19</v>
      </c>
      <c r="G1672" s="105">
        <v>1</v>
      </c>
      <c r="H1672" s="105"/>
      <c r="I1672" s="105"/>
      <c r="J1672" s="105"/>
      <c r="K1672" s="108"/>
      <c r="L1672" s="105"/>
    </row>
    <row r="1673" spans="1:12">
      <c r="A1673" s="53">
        <v>46346</v>
      </c>
      <c r="B1673" s="54">
        <f>Table13[[#This Row],[Date]]</f>
        <v>46346</v>
      </c>
      <c r="C1673" s="55" t="s">
        <v>23</v>
      </c>
      <c r="D1673" s="59" t="s">
        <v>114</v>
      </c>
      <c r="E1673" s="55" t="s">
        <v>18</v>
      </c>
      <c r="F1673" s="55" t="s">
        <v>19</v>
      </c>
      <c r="G1673" s="55">
        <v>1</v>
      </c>
      <c r="H1673" s="55"/>
      <c r="I1673" s="55"/>
      <c r="J1673" s="55"/>
      <c r="K1673" s="57"/>
      <c r="L1673" s="55"/>
    </row>
    <row r="1674" spans="1:12">
      <c r="A1674" s="53">
        <v>46346</v>
      </c>
      <c r="B1674" s="54">
        <f>Table13[[#This Row],[Date]]</f>
        <v>46346</v>
      </c>
      <c r="C1674" s="55" t="s">
        <v>23</v>
      </c>
      <c r="D1674" s="59" t="s">
        <v>114</v>
      </c>
      <c r="E1674" s="55" t="s">
        <v>21</v>
      </c>
      <c r="F1674" s="55" t="s">
        <v>19</v>
      </c>
      <c r="G1674" s="55">
        <v>1</v>
      </c>
      <c r="H1674" s="55"/>
      <c r="I1674" s="55"/>
      <c r="J1674" s="55"/>
      <c r="K1674" s="57"/>
      <c r="L1674" s="55"/>
    </row>
    <row r="1675" spans="1:12">
      <c r="A1675" s="15">
        <v>46346</v>
      </c>
      <c r="B1675" s="17">
        <f>Table13[[#This Row],[Date]]</f>
        <v>46346</v>
      </c>
      <c r="C1675" s="1" t="s">
        <v>23</v>
      </c>
      <c r="D1675" s="2" t="s">
        <v>126</v>
      </c>
      <c r="E1675" s="55" t="s">
        <v>18</v>
      </c>
      <c r="F1675" s="1" t="s">
        <v>99</v>
      </c>
      <c r="G1675" s="28">
        <v>1</v>
      </c>
      <c r="H1675" s="1"/>
      <c r="I1675" s="1"/>
      <c r="J1675" s="1"/>
      <c r="K1675" s="3"/>
      <c r="L1675" s="1"/>
    </row>
    <row r="1676" spans="1:12">
      <c r="A1676" s="15">
        <v>46364</v>
      </c>
      <c r="B1676" s="104">
        <f>Table13[[#This Row],[Date]]</f>
        <v>46364</v>
      </c>
      <c r="C1676" s="105"/>
      <c r="D1676" s="270" t="s">
        <v>180</v>
      </c>
      <c r="E1676" s="105" t="s">
        <v>18</v>
      </c>
      <c r="F1676" s="105" t="s">
        <v>19</v>
      </c>
      <c r="G1676" s="105">
        <v>1</v>
      </c>
      <c r="H1676" s="105"/>
      <c r="I1676" s="105"/>
      <c r="J1676" s="105"/>
      <c r="K1676" s="108"/>
      <c r="L1676" s="105"/>
    </row>
    <row r="1677" spans="1:12">
      <c r="A1677" s="53">
        <v>46374</v>
      </c>
      <c r="B1677" s="54">
        <f>Table13[[#This Row],[Date]]</f>
        <v>46374</v>
      </c>
      <c r="C1677" s="55" t="s">
        <v>23</v>
      </c>
      <c r="D1677" s="59" t="s">
        <v>114</v>
      </c>
      <c r="E1677" s="55" t="s">
        <v>18</v>
      </c>
      <c r="F1677" s="55" t="s">
        <v>19</v>
      </c>
      <c r="G1677" s="55">
        <v>1</v>
      </c>
      <c r="H1677" s="55"/>
      <c r="I1677" s="55"/>
      <c r="J1677" s="55"/>
      <c r="K1677" s="57"/>
      <c r="L1677" s="55"/>
    </row>
    <row r="1678" spans="1:12">
      <c r="A1678" s="53">
        <v>46374</v>
      </c>
      <c r="B1678" s="54">
        <f>Table13[[#This Row],[Date]]</f>
        <v>46374</v>
      </c>
      <c r="C1678" s="55" t="s">
        <v>23</v>
      </c>
      <c r="D1678" s="82" t="s">
        <v>114</v>
      </c>
      <c r="E1678" s="55" t="s">
        <v>21</v>
      </c>
      <c r="F1678" s="55" t="s">
        <v>19</v>
      </c>
      <c r="G1678" s="55">
        <v>1</v>
      </c>
      <c r="H1678" s="55"/>
      <c r="I1678" s="55"/>
      <c r="J1678" s="55"/>
      <c r="K1678" s="57"/>
      <c r="L1678" s="55"/>
    </row>
    <row r="1679" spans="1:12">
      <c r="A1679" s="53"/>
      <c r="B1679" s="17">
        <f>Table13[[#This Row],[Date]]</f>
        <v>0</v>
      </c>
      <c r="C1679" s="1"/>
      <c r="D1679" s="271" t="s">
        <v>182</v>
      </c>
      <c r="E1679" s="55"/>
      <c r="F1679" s="55"/>
      <c r="G1679" s="55"/>
      <c r="H1679" s="1"/>
      <c r="I1679" s="1"/>
      <c r="J1679" s="1"/>
      <c r="K1679" s="3"/>
      <c r="L1679" s="1"/>
    </row>
    <row r="1680" spans="1:12">
      <c r="A1680" s="15"/>
      <c r="B1680" s="17">
        <f>Table13[[#This Row],[Date]]</f>
        <v>0</v>
      </c>
      <c r="C1680" s="1"/>
      <c r="D1680" s="61"/>
      <c r="E1680" s="1"/>
      <c r="F1680" s="1"/>
      <c r="G1680" s="1"/>
      <c r="H1680" s="1"/>
      <c r="I1680" s="1"/>
      <c r="J1680" s="1"/>
      <c r="K1680" s="3"/>
      <c r="L1680" s="1"/>
    </row>
    <row r="1681" spans="1:12">
      <c r="A1681" s="15"/>
      <c r="B1681" s="17">
        <f>Table13[[#This Row],[Date]]</f>
        <v>0</v>
      </c>
      <c r="C1681" s="1"/>
      <c r="D1681" s="61"/>
      <c r="E1681" s="1"/>
      <c r="F1681" s="1"/>
      <c r="G1681" s="1"/>
      <c r="H1681" s="1"/>
      <c r="I1681" s="1"/>
      <c r="J1681" s="1"/>
      <c r="K1681" s="3"/>
      <c r="L1681" s="1"/>
    </row>
    <row r="1682" spans="1:12">
      <c r="A1682" s="266"/>
      <c r="B1682" s="267">
        <f>Table13[[#This Row],[Date]]</f>
        <v>0</v>
      </c>
      <c r="C1682" s="150"/>
      <c r="D1682" s="78"/>
      <c r="E1682" s="150"/>
      <c r="F1682" s="150"/>
      <c r="G1682" s="150"/>
      <c r="H1682" s="150"/>
      <c r="I1682" s="150"/>
      <c r="J1682" s="150"/>
      <c r="K1682" s="268"/>
      <c r="L1682" s="150"/>
    </row>
    <row r="1683" spans="1:12">
      <c r="A1683" s="15"/>
      <c r="B1683" s="17">
        <f>Table13[[#This Row],[Date]]</f>
        <v>0</v>
      </c>
      <c r="C1683" s="1"/>
      <c r="D1683" s="61"/>
      <c r="E1683" s="1"/>
      <c r="F1683" s="1"/>
      <c r="G1683" s="1"/>
      <c r="H1683" s="1"/>
      <c r="I1683" s="1"/>
      <c r="J1683" s="1"/>
      <c r="K1683" s="3"/>
      <c r="L1683" s="1"/>
    </row>
    <row r="1684" spans="1:12">
      <c r="A1684" s="15"/>
      <c r="B1684" s="17">
        <f>Table13[[#This Row],[Date]]</f>
        <v>0</v>
      </c>
      <c r="C1684" s="1"/>
      <c r="D1684" s="2"/>
      <c r="E1684" s="1"/>
      <c r="F1684" s="1"/>
      <c r="G1684" s="1"/>
      <c r="H1684" s="1"/>
      <c r="I1684" s="1"/>
      <c r="J1684" s="1"/>
      <c r="K1684" s="3"/>
      <c r="L1684" s="1"/>
    </row>
    <row r="1685" spans="1:12">
      <c r="A1685" s="15"/>
      <c r="B1685" s="17">
        <f>Table13[[#This Row],[Date]]</f>
        <v>0</v>
      </c>
      <c r="C1685" s="1"/>
      <c r="D1685" s="2"/>
      <c r="E1685" s="1"/>
      <c r="F1685" s="1"/>
      <c r="G1685" s="1"/>
      <c r="H1685" s="1"/>
      <c r="I1685" s="1"/>
      <c r="J1685" s="1"/>
      <c r="K1685" s="3"/>
      <c r="L1685" s="1"/>
    </row>
    <row r="1686" spans="1:12">
      <c r="A1686" s="15"/>
      <c r="B1686" s="17">
        <f>Table13[[#This Row],[Date]]</f>
        <v>0</v>
      </c>
      <c r="C1686" s="1"/>
      <c r="D1686" s="2"/>
      <c r="E1686" s="1"/>
      <c r="F1686" s="1"/>
      <c r="G1686" s="1"/>
      <c r="H1686" s="1"/>
      <c r="I1686" s="1"/>
      <c r="J1686" s="1"/>
      <c r="K1686" s="3"/>
      <c r="L1686" s="1"/>
    </row>
    <row r="1687" spans="1:12">
      <c r="A1687" s="15"/>
      <c r="B1687" s="17">
        <f>Table13[[#This Row],[Date]]</f>
        <v>0</v>
      </c>
      <c r="C1687" s="1"/>
      <c r="D1687" s="2"/>
      <c r="E1687" s="1"/>
      <c r="F1687" s="1"/>
      <c r="G1687" s="1"/>
      <c r="H1687" s="1"/>
      <c r="I1687" s="1"/>
      <c r="J1687" s="1"/>
      <c r="K1687" s="3"/>
      <c r="L1687" s="1"/>
    </row>
    <row r="1688" spans="1:12">
      <c r="A1688" s="15"/>
      <c r="B1688" s="17">
        <f>Table13[[#This Row],[Date]]</f>
        <v>0</v>
      </c>
      <c r="C1688" s="1"/>
      <c r="D1688" s="2"/>
      <c r="E1688" s="1"/>
      <c r="F1688" s="1"/>
      <c r="G1688" s="1"/>
      <c r="H1688" s="1"/>
      <c r="I1688" s="1"/>
      <c r="J1688" s="1"/>
      <c r="K1688" s="3"/>
      <c r="L1688" s="1"/>
    </row>
    <row r="1689" spans="1:12">
      <c r="A1689" s="15"/>
      <c r="B1689" s="17">
        <f>Table13[[#This Row],[Date]]</f>
        <v>0</v>
      </c>
      <c r="C1689" s="1"/>
      <c r="D1689" s="2"/>
      <c r="E1689" s="1"/>
      <c r="F1689" s="1"/>
      <c r="G1689" s="1"/>
      <c r="H1689" s="1"/>
      <c r="I1689" s="1"/>
      <c r="J1689" s="1"/>
      <c r="K1689" s="3"/>
      <c r="L1689" s="1"/>
    </row>
    <row r="1690" spans="1:12">
      <c r="A1690" s="15"/>
      <c r="B1690" s="17">
        <f>Table13[[#This Row],[Date]]</f>
        <v>0</v>
      </c>
      <c r="C1690" s="1"/>
      <c r="D1690" s="2"/>
      <c r="E1690" s="1"/>
      <c r="F1690" s="1"/>
      <c r="G1690" s="1"/>
      <c r="H1690" s="1"/>
      <c r="I1690" s="1"/>
      <c r="J1690" s="1"/>
      <c r="K1690" s="3"/>
      <c r="L1690" s="1"/>
    </row>
    <row r="1691" spans="1:12">
      <c r="A1691" s="15"/>
      <c r="B1691" s="17">
        <f>Table13[[#This Row],[Date]]</f>
        <v>0</v>
      </c>
      <c r="C1691" s="1"/>
      <c r="D1691" s="2"/>
      <c r="E1691" s="1"/>
      <c r="F1691" s="1"/>
      <c r="G1691" s="1"/>
      <c r="H1691" s="1"/>
      <c r="I1691" s="1"/>
      <c r="J1691" s="1"/>
      <c r="K1691" s="3"/>
      <c r="L1691" s="1"/>
    </row>
    <row r="1692" spans="1:12">
      <c r="A1692" s="266"/>
      <c r="B1692" s="267">
        <f>Table13[[#This Row],[Date]]</f>
        <v>0</v>
      </c>
      <c r="C1692" s="150"/>
      <c r="D1692" s="35"/>
      <c r="E1692" s="150"/>
      <c r="F1692" s="150"/>
      <c r="G1692" s="150"/>
      <c r="H1692" s="150"/>
      <c r="I1692" s="150"/>
      <c r="J1692" s="150"/>
      <c r="K1692" s="268"/>
      <c r="L1692" s="150"/>
    </row>
    <row r="1693" spans="1:12">
      <c r="A1693" s="15"/>
      <c r="B1693" s="17">
        <f>Table13[[#This Row],[Date]]</f>
        <v>0</v>
      </c>
      <c r="C1693" s="1"/>
      <c r="D1693" s="2"/>
      <c r="E1693" s="1"/>
      <c r="F1693" s="1"/>
      <c r="G1693" s="1"/>
      <c r="H1693" s="1"/>
      <c r="I1693" s="1"/>
      <c r="J1693" s="1"/>
      <c r="K1693" s="3"/>
      <c r="L1693" s="1"/>
    </row>
    <row r="1694" spans="1:12">
      <c r="A1694" s="15"/>
      <c r="B1694" s="17">
        <f>Table13[[#This Row],[Date]]</f>
        <v>0</v>
      </c>
      <c r="C1694" s="1"/>
      <c r="D1694" s="2"/>
      <c r="E1694" s="1"/>
      <c r="F1694" s="1"/>
      <c r="G1694" s="1"/>
      <c r="H1694" s="1"/>
      <c r="I1694" s="1"/>
      <c r="J1694" s="1"/>
      <c r="K1694" s="3"/>
      <c r="L1694" s="1"/>
    </row>
    <row r="1695" spans="1:12">
      <c r="A1695" s="15"/>
      <c r="B1695" s="17">
        <f>Table13[[#This Row],[Date]]</f>
        <v>0</v>
      </c>
      <c r="C1695" s="1"/>
      <c r="D1695" s="2"/>
      <c r="E1695" s="1"/>
      <c r="F1695" s="1"/>
      <c r="G1695" s="1"/>
      <c r="H1695" s="1"/>
      <c r="I1695" s="1"/>
      <c r="J1695" s="1"/>
      <c r="K1695" s="3"/>
      <c r="L1695" s="1"/>
    </row>
    <row r="1696" spans="1:12">
      <c r="A1696" s="15"/>
      <c r="B1696" s="17">
        <f>Table13[[#This Row],[Date]]</f>
        <v>0</v>
      </c>
      <c r="C1696" s="1"/>
      <c r="D1696" s="2"/>
      <c r="E1696" s="1"/>
      <c r="F1696" s="1"/>
      <c r="G1696" s="1"/>
      <c r="H1696" s="1"/>
      <c r="I1696" s="1"/>
      <c r="J1696" s="1"/>
      <c r="K1696" s="3"/>
      <c r="L1696" s="1"/>
    </row>
    <row r="1697" spans="1:12">
      <c r="A1697" s="15"/>
      <c r="B1697" s="17">
        <f>Table13[[#This Row],[Date]]</f>
        <v>0</v>
      </c>
      <c r="C1697" s="1"/>
      <c r="D1697" s="2"/>
      <c r="E1697" s="1"/>
      <c r="F1697" s="1"/>
      <c r="G1697" s="1"/>
      <c r="H1697" s="1"/>
      <c r="I1697" s="1"/>
      <c r="J1697" s="1"/>
      <c r="K1697" s="3"/>
      <c r="L1697" s="1"/>
    </row>
    <row r="1698" spans="1:12">
      <c r="A1698" s="15"/>
      <c r="B1698" s="17">
        <f>Table13[[#This Row],[Date]]</f>
        <v>0</v>
      </c>
      <c r="C1698" s="1"/>
      <c r="D1698" s="2"/>
      <c r="E1698" s="1"/>
      <c r="F1698" s="1"/>
      <c r="G1698" s="1"/>
      <c r="H1698" s="1"/>
      <c r="I1698" s="1"/>
      <c r="J1698" s="1"/>
      <c r="K1698" s="3"/>
      <c r="L1698" s="1"/>
    </row>
    <row r="1699" spans="1:12">
      <c r="A1699" s="15"/>
      <c r="B1699" s="17">
        <f>Table13[[#This Row],[Date]]</f>
        <v>0</v>
      </c>
      <c r="C1699" s="1"/>
      <c r="D1699" s="2"/>
      <c r="E1699" s="1"/>
      <c r="F1699" s="1"/>
      <c r="G1699" s="1"/>
      <c r="H1699" s="1"/>
      <c r="I1699" s="1"/>
      <c r="J1699" s="1"/>
      <c r="K1699" s="3"/>
      <c r="L1699" s="1"/>
    </row>
    <row r="1700" spans="1:12">
      <c r="A1700" s="15"/>
      <c r="B1700" s="17">
        <f>Table13[[#This Row],[Date]]</f>
        <v>0</v>
      </c>
      <c r="C1700" s="1"/>
      <c r="D1700" s="2"/>
      <c r="E1700" s="1"/>
      <c r="F1700" s="1"/>
      <c r="G1700" s="1"/>
      <c r="H1700" s="1"/>
      <c r="I1700" s="1"/>
      <c r="J1700" s="1"/>
      <c r="K1700" s="3"/>
      <c r="L1700" s="1"/>
    </row>
    <row r="1701" spans="1:12">
      <c r="A1701" s="15"/>
      <c r="B1701" s="17">
        <f>Table13[[#This Row],[Date]]</f>
        <v>0</v>
      </c>
      <c r="C1701" s="1"/>
      <c r="D1701" s="2"/>
      <c r="E1701" s="1"/>
      <c r="F1701" s="1"/>
      <c r="G1701" s="1"/>
      <c r="H1701" s="1"/>
      <c r="I1701" s="1"/>
      <c r="J1701" s="1"/>
      <c r="K1701" s="3"/>
      <c r="L1701" s="1"/>
    </row>
    <row r="1702" spans="1:12">
      <c r="A1702" s="266"/>
      <c r="B1702" s="267">
        <f>Table13[[#This Row],[Date]]</f>
        <v>0</v>
      </c>
      <c r="C1702" s="150"/>
      <c r="D1702" s="35"/>
      <c r="E1702" s="150"/>
      <c r="F1702" s="150"/>
      <c r="G1702" s="150"/>
      <c r="H1702" s="150"/>
      <c r="I1702" s="150"/>
      <c r="J1702" s="150"/>
      <c r="K1702" s="268"/>
      <c r="L1702" s="150"/>
    </row>
    <row r="1703" spans="1:12">
      <c r="A1703" s="15"/>
      <c r="B1703" s="17">
        <f>Table13[[#This Row],[Date]]</f>
        <v>0</v>
      </c>
      <c r="C1703" s="1"/>
      <c r="D1703" s="2"/>
      <c r="E1703" s="1"/>
      <c r="F1703" s="1"/>
      <c r="G1703" s="1"/>
      <c r="H1703" s="1"/>
      <c r="I1703" s="1"/>
      <c r="J1703" s="1"/>
      <c r="K1703" s="3"/>
      <c r="L1703" s="1"/>
    </row>
  </sheetData>
  <mergeCells count="1">
    <mergeCell ref="A1:L1"/>
  </mergeCells>
  <phoneticPr fontId="1" type="noConversion"/>
  <dataValidations count="3">
    <dataValidation type="list" allowBlank="1" showInputMessage="1" showErrorMessage="1" sqref="E1:E3 E1678:E1702 E1704:E1048576" xr:uid="{A101DAB3-932D-40BA-9CD5-B616BD9CF388}">
      <formula1>"PL1,PL2,PL3,PL4,PL5,PL6,PL7,PL8,SL,SL1,SL2,SL3,SL4,FL,FL1,FL2,Lift A,Lift B, Lift C, Lift D,ESC1,ESC2,ESC3,ESC4,ESC5,ESC6,ESC7,ESC8"</formula1>
    </dataValidation>
    <dataValidation type="list" allowBlank="1" showInputMessage="1" showErrorMessage="1" sqref="F1322:F1447 F1:F655 F1449:F1048576 F659:F1320" xr:uid="{A386A21C-B9AF-414F-826B-FCB2D7AAD60A}">
      <formula1>"ELV,ESC,HL,DW"</formula1>
    </dataValidation>
    <dataValidation type="list" allowBlank="1" showInputMessage="1" showErrorMessage="1" sqref="E1703 E4:E1677" xr:uid="{D560BDBF-2B82-4FA4-8183-4EC04B462CC1}">
      <formula1>"B01,B02,PL1,PL2,PL3,PL4,PL5,PL6,PL7,PL8,SL1,SL2,SL3,SL4,FL1,FL2,FL3,FL4,FL6,FL8,Lift A,Lift B, Lift C, Lift D,ESC1,ESC2,ESC3,ESC4,ESC5,ESC6,ESC7,ESC8"</formula1>
    </dataValidation>
  </dataValidations>
  <printOptions horizontalCentered="1"/>
  <pageMargins left="0.25" right="0.25" top="0.75" bottom="0.75" header="0.3" footer="0.3"/>
  <pageSetup paperSize="9" scale="58" fitToHeight="0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94159A-A29E-4A8E-A6D3-7F3EF0D880B2}">
  <dimension ref="A1:X262"/>
  <sheetViews>
    <sheetView topLeftCell="A44" zoomScaleNormal="100" workbookViewId="0">
      <selection activeCell="G41" sqref="G41"/>
    </sheetView>
  </sheetViews>
  <sheetFormatPr defaultRowHeight="14.45"/>
  <cols>
    <col min="1" max="1" width="33.7109375" customWidth="1"/>
    <col min="2" max="2" width="12.7109375" bestFit="1" customWidth="1"/>
    <col min="3" max="3" width="8.28515625" bestFit="1" customWidth="1"/>
    <col min="4" max="4" width="7.28515625" customWidth="1"/>
    <col min="5" max="6" width="8.28515625" customWidth="1"/>
    <col min="7" max="7" width="11.5703125" bestFit="1" customWidth="1"/>
    <col min="8" max="8" width="6.28515625" customWidth="1"/>
    <col min="9" max="9" width="6.5703125" customWidth="1"/>
    <col min="10" max="10" width="7.5703125" customWidth="1"/>
    <col min="11" max="11" width="10.42578125" customWidth="1"/>
    <col min="12" max="12" width="12.42578125" bestFit="1" customWidth="1"/>
    <col min="13" max="13" width="13.7109375" customWidth="1"/>
    <col min="14" max="14" width="10.28515625" customWidth="1"/>
    <col min="17" max="17" width="14.28515625" bestFit="1" customWidth="1"/>
    <col min="18" max="18" width="8.28515625" customWidth="1"/>
    <col min="19" max="19" width="8.5703125" customWidth="1"/>
    <col min="20" max="20" width="12.28515625" style="241" customWidth="1"/>
    <col min="21" max="21" width="14.85546875" style="248" customWidth="1"/>
    <col min="22" max="22" width="11.5703125" customWidth="1"/>
    <col min="23" max="23" width="9.7109375" customWidth="1"/>
  </cols>
  <sheetData>
    <row r="1" spans="1:24" ht="15" thickBot="1">
      <c r="A1" s="340" t="s">
        <v>211</v>
      </c>
      <c r="B1" s="340"/>
      <c r="C1" s="340"/>
      <c r="D1" s="340"/>
      <c r="E1" s="340"/>
      <c r="F1" s="340"/>
      <c r="G1" s="340"/>
      <c r="H1" s="340"/>
      <c r="I1" s="340"/>
      <c r="J1" s="340"/>
      <c r="K1" s="340"/>
      <c r="L1" s="341"/>
      <c r="M1" s="337" t="s">
        <v>212</v>
      </c>
      <c r="N1" s="338"/>
      <c r="O1" s="338"/>
      <c r="P1" s="338"/>
      <c r="Q1" s="338"/>
      <c r="R1" s="338"/>
      <c r="S1" s="338"/>
      <c r="T1" s="338"/>
      <c r="U1" s="339"/>
      <c r="V1" s="333"/>
      <c r="W1" s="334"/>
      <c r="X1" s="334"/>
    </row>
    <row r="2" spans="1:24">
      <c r="D2" s="4"/>
      <c r="E2" s="4"/>
      <c r="F2" s="4"/>
      <c r="G2" s="145"/>
      <c r="H2" s="145"/>
      <c r="I2" s="335" t="s">
        <v>213</v>
      </c>
      <c r="J2" s="335"/>
      <c r="K2" s="335" t="s">
        <v>214</v>
      </c>
      <c r="L2" s="335"/>
      <c r="M2" s="314" t="s">
        <v>215</v>
      </c>
      <c r="N2" s="315"/>
      <c r="O2" s="315" t="s">
        <v>216</v>
      </c>
      <c r="P2" s="315"/>
      <c r="Q2" s="310"/>
      <c r="R2" s="315" t="s">
        <v>217</v>
      </c>
      <c r="S2" s="315"/>
      <c r="T2" s="316" t="s">
        <v>218</v>
      </c>
      <c r="U2" s="317"/>
    </row>
    <row r="3" spans="1:24">
      <c r="D3" s="4"/>
      <c r="E3" s="4"/>
      <c r="F3" s="4"/>
      <c r="G3" s="145"/>
      <c r="H3" s="145"/>
      <c r="I3" s="335" t="s">
        <v>219</v>
      </c>
      <c r="J3" s="335"/>
      <c r="K3" s="335" t="s">
        <v>216</v>
      </c>
      <c r="L3" s="335"/>
      <c r="M3" s="318" t="s">
        <v>220</v>
      </c>
      <c r="N3" s="319"/>
      <c r="O3" s="319" t="s">
        <v>221</v>
      </c>
      <c r="P3" s="319"/>
      <c r="R3" s="319" t="s">
        <v>222</v>
      </c>
      <c r="S3" s="319"/>
      <c r="T3" s="320" t="s">
        <v>223</v>
      </c>
      <c r="U3" s="321"/>
    </row>
    <row r="4" spans="1:24">
      <c r="D4" s="4"/>
      <c r="E4" s="4"/>
      <c r="F4" s="4"/>
      <c r="G4" s="145"/>
      <c r="H4" s="145"/>
      <c r="I4" s="335" t="s">
        <v>224</v>
      </c>
      <c r="J4" s="335"/>
      <c r="K4" s="336">
        <v>45968</v>
      </c>
      <c r="L4" s="336"/>
      <c r="M4" s="318" t="s">
        <v>225</v>
      </c>
      <c r="N4" s="319"/>
      <c r="O4" s="319" t="s">
        <v>226</v>
      </c>
      <c r="P4" s="319"/>
      <c r="R4" s="319" t="s">
        <v>227</v>
      </c>
      <c r="S4" s="319"/>
      <c r="T4" s="320" t="s">
        <v>228</v>
      </c>
      <c r="U4" s="321"/>
    </row>
    <row r="5" spans="1:24" ht="15" thickBot="1">
      <c r="C5" s="146" t="s">
        <v>1</v>
      </c>
      <c r="D5" s="147">
        <f>SUBTOTAL(109,Table1[Total Unit])</f>
        <v>255</v>
      </c>
      <c r="E5" s="242"/>
      <c r="F5" s="242"/>
      <c r="G5" s="145"/>
      <c r="H5" s="145"/>
      <c r="I5" s="145"/>
      <c r="J5" s="4"/>
      <c r="K5" s="148" t="s">
        <v>229</v>
      </c>
      <c r="L5" s="149">
        <f>COUNTIF(Table1[SF Gear Result],"OK")</f>
        <v>68</v>
      </c>
      <c r="M5" s="313"/>
      <c r="N5" s="311"/>
      <c r="O5" s="311"/>
      <c r="P5" s="311"/>
      <c r="Q5" s="311"/>
      <c r="R5" s="322" t="s">
        <v>230</v>
      </c>
      <c r="S5" s="322"/>
      <c r="T5" s="323" t="s">
        <v>231</v>
      </c>
      <c r="U5" s="324"/>
    </row>
    <row r="6" spans="1:24">
      <c r="C6" s="146" t="s">
        <v>232</v>
      </c>
      <c r="D6" s="147">
        <f>SUBTOTAL(103,Table1[SF Gear Result])</f>
        <v>68</v>
      </c>
      <c r="E6" s="242"/>
      <c r="F6" s="242"/>
      <c r="G6" s="145"/>
      <c r="H6" s="145"/>
      <c r="I6" s="145"/>
      <c r="J6" s="4"/>
      <c r="K6" s="146" t="s">
        <v>233</v>
      </c>
      <c r="L6" s="149">
        <f>COUNTIF(Table1[SF Gear Result],"NG")</f>
        <v>0</v>
      </c>
      <c r="N6" s="312">
        <f>SUBTOTAL(3,Table1[Brake Overhaul])</f>
        <v>19</v>
      </c>
      <c r="T6" s="312">
        <f>SUBTOTAL(3,Table1[Rope Maintenance])</f>
        <v>255</v>
      </c>
      <c r="X6" s="1">
        <f>COUNTA(Table1[Grease Result])</f>
        <v>0</v>
      </c>
    </row>
    <row r="7" spans="1:24" s="218" customFormat="1" ht="43.15">
      <c r="A7" s="217" t="s">
        <v>234</v>
      </c>
      <c r="B7" s="214" t="s">
        <v>235</v>
      </c>
      <c r="C7" s="214" t="s">
        <v>236</v>
      </c>
      <c r="D7" s="214" t="s">
        <v>237</v>
      </c>
      <c r="E7" s="214" t="s">
        <v>238</v>
      </c>
      <c r="F7" s="214" t="s">
        <v>239</v>
      </c>
      <c r="G7" s="215" t="s">
        <v>240</v>
      </c>
      <c r="H7" s="215" t="s">
        <v>241</v>
      </c>
      <c r="I7" s="215" t="s">
        <v>242</v>
      </c>
      <c r="J7" s="214" t="s">
        <v>243</v>
      </c>
      <c r="K7" s="214" t="s">
        <v>244</v>
      </c>
      <c r="L7" s="216" t="s">
        <v>245</v>
      </c>
      <c r="M7" s="204" t="s">
        <v>246</v>
      </c>
      <c r="N7" s="214" t="s">
        <v>247</v>
      </c>
      <c r="O7" s="214" t="s">
        <v>248</v>
      </c>
      <c r="P7" s="214" t="s">
        <v>249</v>
      </c>
      <c r="Q7" s="214" t="s">
        <v>250</v>
      </c>
      <c r="R7" s="214" t="s">
        <v>251</v>
      </c>
      <c r="S7" s="214" t="s">
        <v>252</v>
      </c>
      <c r="T7" s="240" t="s">
        <v>253</v>
      </c>
      <c r="U7" s="253" t="s">
        <v>254</v>
      </c>
      <c r="V7" s="214" t="s">
        <v>255</v>
      </c>
      <c r="W7" s="214" t="s">
        <v>256</v>
      </c>
      <c r="X7" s="214" t="s">
        <v>257</v>
      </c>
    </row>
    <row r="8" spans="1:24">
      <c r="A8" s="142" t="s">
        <v>258</v>
      </c>
      <c r="B8" s="141" t="s">
        <v>259</v>
      </c>
      <c r="C8" s="141" t="s">
        <v>18</v>
      </c>
      <c r="D8" s="1">
        <v>1</v>
      </c>
      <c r="E8" s="243">
        <v>2025</v>
      </c>
      <c r="F8" s="243"/>
      <c r="G8" s="219" t="s">
        <v>260</v>
      </c>
      <c r="H8" s="219"/>
      <c r="I8" s="219"/>
      <c r="J8" s="147"/>
      <c r="K8" s="221"/>
      <c r="L8" s="222"/>
      <c r="M8" s="227"/>
      <c r="N8" s="227"/>
      <c r="O8" s="227"/>
      <c r="P8" s="228"/>
      <c r="Q8" s="228"/>
      <c r="R8" s="230"/>
      <c r="S8" s="230"/>
      <c r="T8" s="245">
        <v>45932</v>
      </c>
      <c r="U8" s="249"/>
      <c r="V8" s="233"/>
      <c r="W8" s="233"/>
      <c r="X8" s="233"/>
    </row>
    <row r="9" spans="1:24">
      <c r="A9" s="142" t="s">
        <v>134</v>
      </c>
      <c r="B9" s="141" t="s">
        <v>259</v>
      </c>
      <c r="C9" s="141" t="s">
        <v>18</v>
      </c>
      <c r="D9" s="1">
        <v>1</v>
      </c>
      <c r="E9" s="244">
        <v>2017</v>
      </c>
      <c r="F9" s="244"/>
      <c r="G9" s="219" t="s">
        <v>260</v>
      </c>
      <c r="H9" s="219"/>
      <c r="I9" s="219"/>
      <c r="J9" s="147"/>
      <c r="K9" s="221"/>
      <c r="L9" s="222"/>
      <c r="M9" s="227"/>
      <c r="N9" s="227"/>
      <c r="O9" s="227"/>
      <c r="P9" s="227"/>
      <c r="Q9" s="227"/>
      <c r="R9" s="231"/>
      <c r="S9" s="231"/>
      <c r="T9" s="245">
        <v>45932</v>
      </c>
      <c r="U9" s="250"/>
      <c r="V9" s="234"/>
      <c r="W9" s="234"/>
      <c r="X9" s="234"/>
    </row>
    <row r="10" spans="1:24">
      <c r="A10" s="142" t="s">
        <v>117</v>
      </c>
      <c r="B10" s="141" t="s">
        <v>259</v>
      </c>
      <c r="C10" s="141" t="s">
        <v>261</v>
      </c>
      <c r="D10" s="1">
        <v>1</v>
      </c>
      <c r="E10" s="243">
        <v>2017</v>
      </c>
      <c r="F10" s="243" t="s">
        <v>99</v>
      </c>
      <c r="G10" s="219" t="s">
        <v>99</v>
      </c>
      <c r="H10" s="219"/>
      <c r="I10" s="219"/>
      <c r="J10" s="147"/>
      <c r="K10" s="221"/>
      <c r="L10" s="222"/>
      <c r="M10" s="227"/>
      <c r="N10" s="227"/>
      <c r="O10" s="227"/>
      <c r="P10" s="227"/>
      <c r="Q10" s="227"/>
      <c r="R10" s="231"/>
      <c r="S10" s="231"/>
      <c r="T10" s="246">
        <v>45658</v>
      </c>
      <c r="U10" s="250"/>
      <c r="V10" s="234"/>
      <c r="W10" s="234"/>
      <c r="X10" s="234"/>
    </row>
    <row r="11" spans="1:24">
      <c r="A11" s="142" t="s">
        <v>262</v>
      </c>
      <c r="B11" s="141" t="s">
        <v>259</v>
      </c>
      <c r="C11" s="141" t="s">
        <v>18</v>
      </c>
      <c r="D11" s="1">
        <v>1</v>
      </c>
      <c r="E11" s="244">
        <v>2004</v>
      </c>
      <c r="F11" s="244" t="s">
        <v>263</v>
      </c>
      <c r="G11" s="219" t="s">
        <v>264</v>
      </c>
      <c r="H11" s="219"/>
      <c r="I11" s="219"/>
      <c r="J11" s="147"/>
      <c r="K11" s="221"/>
      <c r="L11" s="222"/>
      <c r="M11" s="237" t="s">
        <v>265</v>
      </c>
      <c r="N11" s="236">
        <v>45974</v>
      </c>
      <c r="O11" s="227"/>
      <c r="P11" s="227"/>
      <c r="Q11" s="227"/>
      <c r="R11" s="231"/>
      <c r="S11" s="231"/>
      <c r="T11" s="236">
        <v>45974</v>
      </c>
      <c r="U11" s="250"/>
      <c r="V11" s="234"/>
      <c r="W11" s="234"/>
      <c r="X11" s="234"/>
    </row>
    <row r="12" spans="1:24">
      <c r="A12" s="142" t="s">
        <v>81</v>
      </c>
      <c r="B12" s="141" t="s">
        <v>259</v>
      </c>
      <c r="C12" s="141" t="s">
        <v>18</v>
      </c>
      <c r="D12" s="1">
        <v>1</v>
      </c>
      <c r="E12" s="243">
        <v>2019</v>
      </c>
      <c r="F12" s="243"/>
      <c r="G12" s="219" t="s">
        <v>260</v>
      </c>
      <c r="H12" s="219"/>
      <c r="I12" s="219"/>
      <c r="J12" s="147"/>
      <c r="K12" s="221"/>
      <c r="L12" s="222"/>
      <c r="M12" s="227"/>
      <c r="N12" s="227"/>
      <c r="O12" s="227"/>
      <c r="P12" s="227"/>
      <c r="Q12" s="227"/>
      <c r="R12" s="231"/>
      <c r="S12" s="231"/>
      <c r="T12" s="246">
        <v>45658</v>
      </c>
      <c r="U12" s="250"/>
      <c r="V12" s="234"/>
      <c r="W12" s="234"/>
      <c r="X12" s="234"/>
    </row>
    <row r="13" spans="1:24">
      <c r="A13" s="142" t="s">
        <v>161</v>
      </c>
      <c r="B13" s="141" t="s">
        <v>259</v>
      </c>
      <c r="C13" s="141" t="s">
        <v>18</v>
      </c>
      <c r="D13" s="1">
        <v>1</v>
      </c>
      <c r="E13" s="244">
        <v>2018</v>
      </c>
      <c r="F13" s="244"/>
      <c r="G13" s="219" t="s">
        <v>260</v>
      </c>
      <c r="H13" s="219"/>
      <c r="I13" s="219"/>
      <c r="J13" s="147"/>
      <c r="K13" s="221"/>
      <c r="L13" s="222"/>
      <c r="M13" s="227"/>
      <c r="N13" s="227"/>
      <c r="O13" s="227"/>
      <c r="P13" s="227"/>
      <c r="Q13" s="227"/>
      <c r="R13" s="231"/>
      <c r="S13" s="231"/>
      <c r="T13" s="246">
        <v>45870</v>
      </c>
      <c r="U13" s="250"/>
      <c r="V13" s="234"/>
      <c r="W13" s="234"/>
      <c r="X13" s="234"/>
    </row>
    <row r="14" spans="1:24">
      <c r="A14" s="142" t="s">
        <v>20</v>
      </c>
      <c r="B14" s="141" t="s">
        <v>259</v>
      </c>
      <c r="C14" s="141" t="s">
        <v>18</v>
      </c>
      <c r="D14" s="1">
        <v>1</v>
      </c>
      <c r="E14" s="243">
        <v>2016</v>
      </c>
      <c r="F14" s="243"/>
      <c r="G14" s="219" t="s">
        <v>260</v>
      </c>
      <c r="H14" s="219"/>
      <c r="I14" s="219"/>
      <c r="J14" s="147"/>
      <c r="K14" s="221"/>
      <c r="L14" s="222"/>
      <c r="M14" s="227"/>
      <c r="N14" s="227"/>
      <c r="O14" s="227"/>
      <c r="P14" s="227"/>
      <c r="Q14" s="227"/>
      <c r="R14" s="231"/>
      <c r="S14" s="231"/>
      <c r="T14" s="246">
        <v>45658</v>
      </c>
      <c r="U14" s="250"/>
      <c r="V14" s="234"/>
      <c r="W14" s="234"/>
      <c r="X14" s="234"/>
    </row>
    <row r="15" spans="1:24">
      <c r="A15" s="142" t="s">
        <v>20</v>
      </c>
      <c r="B15" s="141" t="s">
        <v>259</v>
      </c>
      <c r="C15" s="141" t="s">
        <v>21</v>
      </c>
      <c r="D15" s="1">
        <v>1</v>
      </c>
      <c r="E15" s="244">
        <v>2017</v>
      </c>
      <c r="F15" s="244"/>
      <c r="G15" s="219" t="s">
        <v>260</v>
      </c>
      <c r="H15" s="219"/>
      <c r="I15" s="219"/>
      <c r="J15" s="147"/>
      <c r="K15" s="221"/>
      <c r="L15" s="222"/>
      <c r="M15" s="227"/>
      <c r="N15" s="227"/>
      <c r="O15" s="227"/>
      <c r="P15" s="227"/>
      <c r="Q15" s="227"/>
      <c r="R15" s="231"/>
      <c r="S15" s="231"/>
      <c r="T15" s="246">
        <v>45658</v>
      </c>
      <c r="U15" s="250"/>
      <c r="V15" s="234"/>
      <c r="W15" s="234"/>
      <c r="X15" s="234"/>
    </row>
    <row r="16" spans="1:24">
      <c r="A16" s="142" t="s">
        <v>130</v>
      </c>
      <c r="B16" s="141" t="s">
        <v>259</v>
      </c>
      <c r="C16" s="141" t="s">
        <v>18</v>
      </c>
      <c r="D16" s="1">
        <v>1</v>
      </c>
      <c r="E16" s="243">
        <v>2016</v>
      </c>
      <c r="F16" s="243"/>
      <c r="G16" s="219" t="s">
        <v>264</v>
      </c>
      <c r="H16" s="219"/>
      <c r="I16" s="219"/>
      <c r="J16" s="147"/>
      <c r="K16" s="221"/>
      <c r="L16" s="222"/>
      <c r="M16" s="227"/>
      <c r="N16" s="227"/>
      <c r="O16" s="227"/>
      <c r="P16" s="227"/>
      <c r="Q16" s="227"/>
      <c r="R16" s="231"/>
      <c r="S16" s="231"/>
      <c r="T16" s="245">
        <v>45933</v>
      </c>
      <c r="U16" s="250"/>
      <c r="V16" s="234"/>
      <c r="W16" s="234"/>
      <c r="X16" s="234"/>
    </row>
    <row r="17" spans="1:24">
      <c r="A17" s="142" t="s">
        <v>163</v>
      </c>
      <c r="B17" s="141" t="s">
        <v>259</v>
      </c>
      <c r="C17" s="141" t="s">
        <v>261</v>
      </c>
      <c r="D17" s="1">
        <v>1</v>
      </c>
      <c r="E17" s="244">
        <v>2020</v>
      </c>
      <c r="F17" s="244" t="s">
        <v>99</v>
      </c>
      <c r="G17" s="219" t="s">
        <v>99</v>
      </c>
      <c r="H17" s="219"/>
      <c r="I17" s="219"/>
      <c r="J17" s="147"/>
      <c r="K17" s="221"/>
      <c r="L17" s="222"/>
      <c r="M17" s="227"/>
      <c r="N17" s="227"/>
      <c r="O17" s="227"/>
      <c r="P17" s="227"/>
      <c r="Q17" s="227"/>
      <c r="R17" s="231"/>
      <c r="S17" s="231"/>
      <c r="T17" s="246">
        <v>45658</v>
      </c>
      <c r="U17" s="250"/>
      <c r="V17" s="234"/>
      <c r="W17" s="234"/>
      <c r="X17" s="234"/>
    </row>
    <row r="18" spans="1:24">
      <c r="A18" s="142" t="s">
        <v>56</v>
      </c>
      <c r="B18" s="141" t="s">
        <v>259</v>
      </c>
      <c r="C18" s="141" t="s">
        <v>18</v>
      </c>
      <c r="D18" s="1">
        <v>1</v>
      </c>
      <c r="E18" s="243">
        <v>2006</v>
      </c>
      <c r="F18" s="243"/>
      <c r="G18" s="219" t="s">
        <v>264</v>
      </c>
      <c r="H18" s="219"/>
      <c r="I18" s="219"/>
      <c r="J18" s="147"/>
      <c r="K18" s="221"/>
      <c r="L18" s="222"/>
      <c r="M18" s="237" t="s">
        <v>265</v>
      </c>
      <c r="N18" s="236">
        <v>45975</v>
      </c>
      <c r="O18" s="227"/>
      <c r="P18" s="227"/>
      <c r="Q18" s="227"/>
      <c r="R18" s="231"/>
      <c r="S18" s="231"/>
      <c r="T18" s="236">
        <v>45975</v>
      </c>
      <c r="U18" s="250"/>
      <c r="V18" s="234"/>
      <c r="W18" s="234"/>
      <c r="X18" s="234"/>
    </row>
    <row r="19" spans="1:24">
      <c r="A19" s="142" t="s">
        <v>145</v>
      </c>
      <c r="B19" s="141" t="s">
        <v>259</v>
      </c>
      <c r="C19" s="141" t="s">
        <v>18</v>
      </c>
      <c r="D19" s="1">
        <v>1</v>
      </c>
      <c r="E19" s="244">
        <v>2024</v>
      </c>
      <c r="F19" s="244"/>
      <c r="G19" s="219" t="s">
        <v>260</v>
      </c>
      <c r="H19" s="219"/>
      <c r="I19" s="219"/>
      <c r="J19" s="147"/>
      <c r="K19" s="221"/>
      <c r="L19" s="222"/>
      <c r="M19" s="227"/>
      <c r="N19" s="227"/>
      <c r="O19" s="227"/>
      <c r="P19" s="227"/>
      <c r="Q19" s="227"/>
      <c r="R19" s="231"/>
      <c r="S19" s="231"/>
      <c r="T19" s="246">
        <v>45658</v>
      </c>
      <c r="U19" s="250"/>
      <c r="V19" s="234"/>
      <c r="W19" s="234"/>
      <c r="X19" s="234"/>
    </row>
    <row r="20" spans="1:24">
      <c r="A20" s="142" t="s">
        <v>266</v>
      </c>
      <c r="B20" s="141" t="s">
        <v>259</v>
      </c>
      <c r="C20" s="141" t="s">
        <v>18</v>
      </c>
      <c r="D20" s="1">
        <v>1</v>
      </c>
      <c r="E20" s="243">
        <v>2017</v>
      </c>
      <c r="F20" s="243"/>
      <c r="G20" s="219" t="s">
        <v>260</v>
      </c>
      <c r="H20" s="219"/>
      <c r="I20" s="219"/>
      <c r="J20" s="147"/>
      <c r="K20" s="221"/>
      <c r="L20" s="222"/>
      <c r="M20" s="227"/>
      <c r="N20" s="227"/>
      <c r="O20" s="227"/>
      <c r="P20" s="227"/>
      <c r="Q20" s="227"/>
      <c r="R20" s="231"/>
      <c r="S20" s="231"/>
      <c r="T20" s="246">
        <v>45809</v>
      </c>
      <c r="U20" s="250"/>
      <c r="V20" s="234"/>
      <c r="W20" s="234"/>
      <c r="X20" s="234"/>
    </row>
    <row r="21" spans="1:24">
      <c r="A21" s="142" t="s">
        <v>266</v>
      </c>
      <c r="B21" s="141" t="s">
        <v>259</v>
      </c>
      <c r="C21" s="141" t="s">
        <v>47</v>
      </c>
      <c r="D21" s="1">
        <v>1</v>
      </c>
      <c r="E21" s="244">
        <v>2017</v>
      </c>
      <c r="F21" s="244"/>
      <c r="G21" s="219" t="s">
        <v>260</v>
      </c>
      <c r="H21" s="219"/>
      <c r="I21" s="219"/>
      <c r="J21" s="147"/>
      <c r="K21" s="221"/>
      <c r="L21" s="222"/>
      <c r="M21" s="227"/>
      <c r="N21" s="227"/>
      <c r="O21" s="227"/>
      <c r="P21" s="227"/>
      <c r="Q21" s="227"/>
      <c r="R21" s="231"/>
      <c r="S21" s="231"/>
      <c r="T21" s="246">
        <v>45809</v>
      </c>
      <c r="U21" s="250"/>
      <c r="V21" s="234"/>
      <c r="W21" s="234"/>
      <c r="X21" s="234"/>
    </row>
    <row r="22" spans="1:24">
      <c r="A22" s="142" t="s">
        <v>267</v>
      </c>
      <c r="B22" s="141" t="s">
        <v>268</v>
      </c>
      <c r="C22" s="141" t="s">
        <v>47</v>
      </c>
      <c r="D22" s="1">
        <v>1</v>
      </c>
      <c r="E22" s="1"/>
      <c r="F22" s="1"/>
      <c r="G22" s="219" t="s">
        <v>264</v>
      </c>
      <c r="H22" s="219"/>
      <c r="I22" s="219"/>
      <c r="J22" s="147"/>
      <c r="K22" s="221"/>
      <c r="L22" s="222"/>
      <c r="M22" s="227"/>
      <c r="N22" s="236">
        <v>45772</v>
      </c>
      <c r="O22" s="227"/>
      <c r="P22" s="227"/>
      <c r="Q22" s="227"/>
      <c r="R22" s="231"/>
      <c r="S22" s="231"/>
      <c r="T22" s="236">
        <v>45772</v>
      </c>
      <c r="U22" s="250"/>
      <c r="V22" s="234"/>
      <c r="W22" s="234"/>
      <c r="X22" s="234"/>
    </row>
    <row r="23" spans="1:24">
      <c r="A23" s="142" t="s">
        <v>269</v>
      </c>
      <c r="B23" s="141" t="s">
        <v>268</v>
      </c>
      <c r="C23" s="141" t="s">
        <v>261</v>
      </c>
      <c r="D23" s="1">
        <v>1</v>
      </c>
      <c r="E23" s="1"/>
      <c r="F23" s="1" t="s">
        <v>99</v>
      </c>
      <c r="G23" s="219" t="s">
        <v>99</v>
      </c>
      <c r="H23" s="219"/>
      <c r="I23" s="219"/>
      <c r="J23" s="147"/>
      <c r="K23" s="221"/>
      <c r="L23" s="222"/>
      <c r="M23" s="227"/>
      <c r="N23" s="227"/>
      <c r="O23" s="227"/>
      <c r="P23" s="227"/>
      <c r="Q23" s="227"/>
      <c r="R23" s="231"/>
      <c r="S23" s="231"/>
      <c r="T23" s="246">
        <v>45658</v>
      </c>
      <c r="U23" s="250"/>
      <c r="V23" s="234"/>
      <c r="W23" s="234"/>
      <c r="X23" s="234"/>
    </row>
    <row r="24" spans="1:24">
      <c r="A24" s="142" t="s">
        <v>269</v>
      </c>
      <c r="B24" s="141" t="s">
        <v>268</v>
      </c>
      <c r="C24" s="141" t="s">
        <v>270</v>
      </c>
      <c r="D24" s="1">
        <v>1</v>
      </c>
      <c r="E24" s="1"/>
      <c r="F24" s="1" t="s">
        <v>99</v>
      </c>
      <c r="G24" s="219" t="s">
        <v>99</v>
      </c>
      <c r="H24" s="219"/>
      <c r="I24" s="219"/>
      <c r="J24" s="147"/>
      <c r="K24" s="221"/>
      <c r="L24" s="222"/>
      <c r="M24" s="227"/>
      <c r="N24" s="227"/>
      <c r="O24" s="227"/>
      <c r="P24" s="227"/>
      <c r="Q24" s="227"/>
      <c r="R24" s="231"/>
      <c r="S24" s="231"/>
      <c r="T24" s="246">
        <v>45658</v>
      </c>
      <c r="U24" s="250"/>
      <c r="V24" s="234"/>
      <c r="W24" s="234"/>
      <c r="X24" s="234"/>
    </row>
    <row r="25" spans="1:24">
      <c r="A25" s="142" t="s">
        <v>114</v>
      </c>
      <c r="B25" s="141" t="s">
        <v>259</v>
      </c>
      <c r="C25" s="141" t="s">
        <v>18</v>
      </c>
      <c r="D25" s="1">
        <v>1</v>
      </c>
      <c r="E25" s="243">
        <v>2014</v>
      </c>
      <c r="F25" s="243"/>
      <c r="G25" s="219" t="s">
        <v>264</v>
      </c>
      <c r="H25" s="219"/>
      <c r="I25" s="219"/>
      <c r="J25" s="147"/>
      <c r="K25" s="221"/>
      <c r="L25" s="222"/>
      <c r="M25" s="227"/>
      <c r="N25" s="227"/>
      <c r="O25" s="227"/>
      <c r="P25" s="227"/>
      <c r="Q25" s="227"/>
      <c r="R25" s="231"/>
      <c r="S25" s="231"/>
      <c r="T25" s="245">
        <v>45947</v>
      </c>
      <c r="U25" s="250"/>
      <c r="V25" s="234"/>
      <c r="W25" s="234"/>
      <c r="X25" s="234"/>
    </row>
    <row r="26" spans="1:24">
      <c r="A26" s="142" t="s">
        <v>114</v>
      </c>
      <c r="B26" s="141" t="s">
        <v>259</v>
      </c>
      <c r="C26" s="141" t="s">
        <v>21</v>
      </c>
      <c r="D26" s="1">
        <v>1</v>
      </c>
      <c r="E26" s="244">
        <v>2014</v>
      </c>
      <c r="F26" s="244"/>
      <c r="G26" s="219" t="s">
        <v>264</v>
      </c>
      <c r="H26" s="219"/>
      <c r="I26" s="219"/>
      <c r="J26" s="147"/>
      <c r="K26" s="221"/>
      <c r="L26" s="222"/>
      <c r="M26" s="227"/>
      <c r="N26" s="227"/>
      <c r="O26" s="227"/>
      <c r="P26" s="227"/>
      <c r="Q26" s="227"/>
      <c r="R26" s="231"/>
      <c r="S26" s="231"/>
      <c r="T26" s="245">
        <v>45947</v>
      </c>
      <c r="U26" s="250"/>
      <c r="V26" s="234"/>
      <c r="W26" s="234"/>
      <c r="X26" s="234"/>
    </row>
    <row r="27" spans="1:24">
      <c r="A27" s="142" t="s">
        <v>271</v>
      </c>
      <c r="B27" s="141" t="s">
        <v>268</v>
      </c>
      <c r="C27" s="141" t="s">
        <v>18</v>
      </c>
      <c r="D27" s="1">
        <v>1</v>
      </c>
      <c r="E27" s="244"/>
      <c r="F27" s="244"/>
      <c r="G27" s="219" t="s">
        <v>264</v>
      </c>
      <c r="H27" s="219"/>
      <c r="I27" s="219"/>
      <c r="J27" s="147"/>
      <c r="K27" s="221"/>
      <c r="L27" s="147"/>
      <c r="M27" s="227"/>
      <c r="N27" s="236">
        <v>45991</v>
      </c>
      <c r="O27" s="227"/>
      <c r="P27" s="227"/>
      <c r="Q27" s="227"/>
      <c r="R27" s="231"/>
      <c r="S27" s="231"/>
      <c r="T27" s="236">
        <v>45991</v>
      </c>
      <c r="U27" s="250"/>
      <c r="V27" s="234"/>
      <c r="W27" s="234"/>
      <c r="X27" s="234"/>
    </row>
    <row r="28" spans="1:24">
      <c r="A28" s="142" t="s">
        <v>271</v>
      </c>
      <c r="B28" s="141" t="s">
        <v>268</v>
      </c>
      <c r="C28" s="141" t="s">
        <v>21</v>
      </c>
      <c r="D28" s="1">
        <v>1</v>
      </c>
      <c r="E28" s="244"/>
      <c r="F28" s="244"/>
      <c r="G28" s="219" t="s">
        <v>264</v>
      </c>
      <c r="H28" s="219"/>
      <c r="I28" s="219"/>
      <c r="J28" s="147"/>
      <c r="K28" s="221"/>
      <c r="L28" s="147"/>
      <c r="M28" s="227"/>
      <c r="N28" s="236">
        <v>45741</v>
      </c>
      <c r="O28" s="227"/>
      <c r="P28" s="227"/>
      <c r="Q28" s="227"/>
      <c r="R28" s="231"/>
      <c r="S28" s="231"/>
      <c r="T28" s="236">
        <v>45741</v>
      </c>
      <c r="U28" s="250"/>
      <c r="V28" s="234"/>
      <c r="W28" s="234"/>
      <c r="X28" s="234"/>
    </row>
    <row r="29" spans="1:24">
      <c r="A29" s="142" t="s">
        <v>110</v>
      </c>
      <c r="B29" s="141" t="s">
        <v>259</v>
      </c>
      <c r="C29" s="141" t="s">
        <v>18</v>
      </c>
      <c r="D29" s="1">
        <v>1</v>
      </c>
      <c r="E29" s="243">
        <v>2015</v>
      </c>
      <c r="F29" s="243"/>
      <c r="G29" s="219" t="s">
        <v>260</v>
      </c>
      <c r="H29" s="219"/>
      <c r="I29" s="219"/>
      <c r="J29" s="220"/>
      <c r="K29" s="221"/>
      <c r="L29" s="222"/>
      <c r="M29" s="227"/>
      <c r="N29" s="227"/>
      <c r="O29" s="227"/>
      <c r="P29" s="227"/>
      <c r="Q29" s="227"/>
      <c r="R29" s="231"/>
      <c r="S29" s="231"/>
      <c r="T29" s="246">
        <v>45839</v>
      </c>
      <c r="U29" s="250"/>
      <c r="V29" s="234"/>
      <c r="W29" s="234"/>
      <c r="X29" s="234"/>
    </row>
    <row r="30" spans="1:24">
      <c r="A30" s="142" t="s">
        <v>110</v>
      </c>
      <c r="B30" s="141" t="s">
        <v>259</v>
      </c>
      <c r="C30" s="141" t="s">
        <v>21</v>
      </c>
      <c r="D30" s="1">
        <v>1</v>
      </c>
      <c r="E30" s="244">
        <v>2015</v>
      </c>
      <c r="F30" s="244"/>
      <c r="G30" s="219" t="s">
        <v>260</v>
      </c>
      <c r="H30" s="219"/>
      <c r="I30" s="219"/>
      <c r="J30" s="220"/>
      <c r="K30" s="221"/>
      <c r="L30" s="222"/>
      <c r="M30" s="227"/>
      <c r="N30" s="227"/>
      <c r="O30" s="227"/>
      <c r="P30" s="227"/>
      <c r="Q30" s="227"/>
      <c r="R30" s="231"/>
      <c r="S30" s="231"/>
      <c r="T30" s="246">
        <v>45839</v>
      </c>
      <c r="U30" s="250"/>
      <c r="V30" s="234"/>
      <c r="W30" s="234"/>
      <c r="X30" s="234"/>
    </row>
    <row r="31" spans="1:24">
      <c r="A31" s="142" t="s">
        <v>24</v>
      </c>
      <c r="B31" s="141" t="s">
        <v>259</v>
      </c>
      <c r="C31" s="141" t="s">
        <v>18</v>
      </c>
      <c r="D31" s="1">
        <v>1</v>
      </c>
      <c r="E31" s="243">
        <v>2016</v>
      </c>
      <c r="F31" s="243" t="s">
        <v>263</v>
      </c>
      <c r="G31" s="219" t="s">
        <v>264</v>
      </c>
      <c r="H31" s="219"/>
      <c r="I31" s="219"/>
      <c r="J31" s="147"/>
      <c r="K31" s="221"/>
      <c r="L31" s="222"/>
      <c r="M31" s="227"/>
      <c r="N31" s="227"/>
      <c r="O31" s="227"/>
      <c r="P31" s="227"/>
      <c r="Q31" s="227"/>
      <c r="R31" s="231"/>
      <c r="S31" s="231"/>
      <c r="T31" s="246">
        <v>45870</v>
      </c>
      <c r="U31" s="250"/>
      <c r="V31" s="234"/>
      <c r="W31" s="234"/>
      <c r="X31" s="234"/>
    </row>
    <row r="32" spans="1:24">
      <c r="A32" s="142" t="s">
        <v>139</v>
      </c>
      <c r="B32" s="141" t="s">
        <v>259</v>
      </c>
      <c r="C32" s="141" t="s">
        <v>18</v>
      </c>
      <c r="D32" s="1">
        <v>1</v>
      </c>
      <c r="E32" s="244">
        <v>2004</v>
      </c>
      <c r="F32" s="244"/>
      <c r="G32" s="219" t="s">
        <v>264</v>
      </c>
      <c r="H32" s="219"/>
      <c r="I32" s="219"/>
      <c r="J32" s="147"/>
      <c r="K32" s="221"/>
      <c r="L32" s="222"/>
      <c r="M32" s="237" t="s">
        <v>272</v>
      </c>
      <c r="N32" s="236">
        <v>45968</v>
      </c>
      <c r="O32" s="227"/>
      <c r="P32" s="227"/>
      <c r="Q32" s="227"/>
      <c r="R32" s="231"/>
      <c r="S32" s="231"/>
      <c r="T32" s="245">
        <v>45930</v>
      </c>
      <c r="U32" s="250"/>
      <c r="V32" s="234"/>
      <c r="W32" s="234"/>
      <c r="X32" s="234"/>
    </row>
    <row r="33" spans="1:24">
      <c r="A33" s="142" t="s">
        <v>136</v>
      </c>
      <c r="B33" s="141" t="s">
        <v>259</v>
      </c>
      <c r="C33" s="141" t="s">
        <v>18</v>
      </c>
      <c r="D33" s="1">
        <v>1</v>
      </c>
      <c r="E33" s="243">
        <v>2004</v>
      </c>
      <c r="F33" s="243"/>
      <c r="G33" s="219" t="s">
        <v>264</v>
      </c>
      <c r="H33" s="219"/>
      <c r="I33" s="219"/>
      <c r="J33" s="147"/>
      <c r="K33" s="221"/>
      <c r="L33" s="222"/>
      <c r="M33" s="237" t="s">
        <v>272</v>
      </c>
      <c r="N33" s="236">
        <v>45968</v>
      </c>
      <c r="O33" s="227"/>
      <c r="P33" s="227"/>
      <c r="Q33" s="227"/>
      <c r="R33" s="231"/>
      <c r="S33" s="231"/>
      <c r="T33" s="245">
        <v>45930</v>
      </c>
      <c r="U33" s="250"/>
      <c r="V33" s="234"/>
      <c r="W33" s="234"/>
      <c r="X33" s="234"/>
    </row>
    <row r="34" spans="1:24">
      <c r="A34" s="142" t="s">
        <v>140</v>
      </c>
      <c r="B34" s="141" t="s">
        <v>259</v>
      </c>
      <c r="C34" s="141" t="s">
        <v>18</v>
      </c>
      <c r="D34" s="1">
        <v>1</v>
      </c>
      <c r="E34" s="244">
        <v>2011</v>
      </c>
      <c r="F34" s="244" t="s">
        <v>273</v>
      </c>
      <c r="G34" s="219" t="s">
        <v>260</v>
      </c>
      <c r="H34" s="219"/>
      <c r="I34" s="219"/>
      <c r="J34" s="147"/>
      <c r="K34" s="221"/>
      <c r="L34" s="222"/>
      <c r="M34" s="227"/>
      <c r="N34" s="227"/>
      <c r="O34" s="227"/>
      <c r="P34" s="227"/>
      <c r="Q34" s="227"/>
      <c r="R34" s="231"/>
      <c r="S34" s="231"/>
      <c r="T34" s="245">
        <v>45930</v>
      </c>
      <c r="U34" s="250"/>
      <c r="V34" s="234"/>
      <c r="W34" s="234"/>
      <c r="X34" s="234"/>
    </row>
    <row r="35" spans="1:24">
      <c r="A35" s="142" t="s">
        <v>137</v>
      </c>
      <c r="B35" s="141" t="s">
        <v>259</v>
      </c>
      <c r="C35" s="141" t="s">
        <v>18</v>
      </c>
      <c r="D35" s="1">
        <v>1</v>
      </c>
      <c r="E35" s="243">
        <v>2011</v>
      </c>
      <c r="F35" s="244" t="s">
        <v>273</v>
      </c>
      <c r="G35" s="219" t="s">
        <v>260</v>
      </c>
      <c r="H35" s="219"/>
      <c r="I35" s="219"/>
      <c r="J35" s="147"/>
      <c r="K35" s="221"/>
      <c r="L35" s="222"/>
      <c r="M35" s="227"/>
      <c r="N35" s="227"/>
      <c r="O35" s="227"/>
      <c r="P35" s="227"/>
      <c r="Q35" s="227"/>
      <c r="R35" s="231"/>
      <c r="S35" s="231"/>
      <c r="T35" s="245">
        <v>45931</v>
      </c>
      <c r="U35" s="250"/>
      <c r="V35" s="234"/>
      <c r="W35" s="234"/>
      <c r="X35" s="234"/>
    </row>
    <row r="36" spans="1:24">
      <c r="A36" s="142" t="s">
        <v>141</v>
      </c>
      <c r="B36" s="141" t="s">
        <v>259</v>
      </c>
      <c r="C36" s="141" t="s">
        <v>18</v>
      </c>
      <c r="D36" s="1">
        <v>1</v>
      </c>
      <c r="E36" s="244">
        <v>2013</v>
      </c>
      <c r="F36" s="244" t="s">
        <v>273</v>
      </c>
      <c r="G36" s="219" t="s">
        <v>260</v>
      </c>
      <c r="H36" s="219"/>
      <c r="I36" s="219"/>
      <c r="J36" s="147"/>
      <c r="K36" s="221"/>
      <c r="L36" s="222"/>
      <c r="M36" s="227"/>
      <c r="N36" s="227"/>
      <c r="O36" s="227"/>
      <c r="P36" s="227"/>
      <c r="Q36" s="227"/>
      <c r="R36" s="231"/>
      <c r="S36" s="231"/>
      <c r="T36" s="245">
        <v>45931</v>
      </c>
      <c r="U36" s="250"/>
      <c r="V36" s="234"/>
      <c r="W36" s="234"/>
      <c r="X36" s="234"/>
    </row>
    <row r="37" spans="1:24">
      <c r="A37" s="142" t="s">
        <v>138</v>
      </c>
      <c r="B37" s="141" t="s">
        <v>259</v>
      </c>
      <c r="C37" s="141" t="s">
        <v>18</v>
      </c>
      <c r="D37" s="1">
        <v>1</v>
      </c>
      <c r="E37" s="243">
        <v>2013</v>
      </c>
      <c r="F37" s="244" t="s">
        <v>273</v>
      </c>
      <c r="G37" s="219" t="s">
        <v>260</v>
      </c>
      <c r="H37" s="219"/>
      <c r="I37" s="219"/>
      <c r="J37" s="147"/>
      <c r="K37" s="221"/>
      <c r="L37" s="222"/>
      <c r="M37" s="227"/>
      <c r="N37" s="227"/>
      <c r="O37" s="227"/>
      <c r="P37" s="227"/>
      <c r="Q37" s="227"/>
      <c r="R37" s="231"/>
      <c r="S37" s="231"/>
      <c r="T37" s="245">
        <v>45931</v>
      </c>
      <c r="U37" s="250"/>
      <c r="V37" s="234"/>
      <c r="W37" s="234"/>
      <c r="X37" s="234"/>
    </row>
    <row r="38" spans="1:24">
      <c r="A38" s="142" t="s">
        <v>142</v>
      </c>
      <c r="B38" s="141" t="s">
        <v>259</v>
      </c>
      <c r="C38" s="141" t="s">
        <v>18</v>
      </c>
      <c r="D38" s="1">
        <v>1</v>
      </c>
      <c r="E38" s="244">
        <v>2013</v>
      </c>
      <c r="F38" s="244" t="s">
        <v>273</v>
      </c>
      <c r="G38" s="219" t="s">
        <v>260</v>
      </c>
      <c r="H38" s="219"/>
      <c r="I38" s="219"/>
      <c r="J38" s="147"/>
      <c r="K38" s="221"/>
      <c r="L38" s="222"/>
      <c r="M38" s="227"/>
      <c r="N38" s="227"/>
      <c r="O38" s="227"/>
      <c r="P38" s="227"/>
      <c r="Q38" s="227"/>
      <c r="R38" s="231"/>
      <c r="S38" s="231"/>
      <c r="T38" s="245">
        <v>45932</v>
      </c>
      <c r="U38" s="250"/>
      <c r="V38" s="234"/>
      <c r="W38" s="234"/>
      <c r="X38" s="234"/>
    </row>
    <row r="39" spans="1:24">
      <c r="A39" s="142" t="s">
        <v>82</v>
      </c>
      <c r="B39" s="141" t="s">
        <v>259</v>
      </c>
      <c r="C39" s="141" t="s">
        <v>18</v>
      </c>
      <c r="D39" s="1">
        <v>1</v>
      </c>
      <c r="E39" s="243">
        <v>2019</v>
      </c>
      <c r="F39" s="244" t="s">
        <v>273</v>
      </c>
      <c r="G39" s="219" t="s">
        <v>260</v>
      </c>
      <c r="H39" s="219"/>
      <c r="I39" s="219"/>
      <c r="J39" s="147"/>
      <c r="K39" s="221"/>
      <c r="L39" s="222"/>
      <c r="M39" s="227"/>
      <c r="N39" s="227"/>
      <c r="O39" s="227"/>
      <c r="P39" s="227"/>
      <c r="Q39" s="227"/>
      <c r="R39" s="231"/>
      <c r="S39" s="231"/>
      <c r="T39" s="246">
        <v>45901</v>
      </c>
      <c r="U39" s="250"/>
      <c r="V39" s="234"/>
      <c r="W39" s="234"/>
      <c r="X39" s="234"/>
    </row>
    <row r="40" spans="1:24">
      <c r="A40" s="142" t="s">
        <v>82</v>
      </c>
      <c r="B40" s="141" t="s">
        <v>259</v>
      </c>
      <c r="C40" s="141" t="s">
        <v>21</v>
      </c>
      <c r="D40" s="1">
        <v>1</v>
      </c>
      <c r="E40" s="244">
        <v>2019</v>
      </c>
      <c r="F40" s="244" t="s">
        <v>273</v>
      </c>
      <c r="G40" s="219" t="s">
        <v>260</v>
      </c>
      <c r="H40" s="219"/>
      <c r="I40" s="219"/>
      <c r="J40" s="147"/>
      <c r="K40" s="221"/>
      <c r="L40" s="222"/>
      <c r="M40" s="227"/>
      <c r="N40" s="227"/>
      <c r="O40" s="227"/>
      <c r="P40" s="227"/>
      <c r="Q40" s="227"/>
      <c r="R40" s="231"/>
      <c r="S40" s="231"/>
      <c r="T40" s="246">
        <v>45870</v>
      </c>
      <c r="U40" s="250"/>
      <c r="V40" s="234"/>
      <c r="W40" s="234"/>
      <c r="X40" s="234"/>
    </row>
    <row r="41" spans="1:24">
      <c r="A41" s="142" t="s">
        <v>108</v>
      </c>
      <c r="B41" s="141" t="s">
        <v>259</v>
      </c>
      <c r="C41" s="141" t="s">
        <v>18</v>
      </c>
      <c r="D41" s="1">
        <v>1</v>
      </c>
      <c r="E41" s="243">
        <v>2017</v>
      </c>
      <c r="F41" s="243"/>
      <c r="G41" s="219"/>
      <c r="H41" s="219"/>
      <c r="I41" s="219"/>
      <c r="J41" s="220"/>
      <c r="K41" s="221"/>
      <c r="L41" s="222"/>
      <c r="M41" s="227"/>
      <c r="N41" s="227"/>
      <c r="O41" s="227"/>
      <c r="P41" s="227"/>
      <c r="Q41" s="227"/>
      <c r="R41" s="231"/>
      <c r="S41" s="231"/>
      <c r="T41" s="246">
        <v>45992</v>
      </c>
      <c r="U41" s="250"/>
      <c r="V41" s="234"/>
      <c r="W41" s="234"/>
      <c r="X41" s="234"/>
    </row>
    <row r="42" spans="1:24">
      <c r="A42" s="142" t="s">
        <v>108</v>
      </c>
      <c r="B42" s="141" t="s">
        <v>259</v>
      </c>
      <c r="C42" s="141" t="s">
        <v>21</v>
      </c>
      <c r="D42" s="1">
        <v>1</v>
      </c>
      <c r="E42" s="244">
        <v>2017</v>
      </c>
      <c r="F42" s="244"/>
      <c r="G42" s="219"/>
      <c r="H42" s="219"/>
      <c r="I42" s="219"/>
      <c r="J42" s="220"/>
      <c r="K42" s="221"/>
      <c r="L42" s="222"/>
      <c r="M42" s="227"/>
      <c r="N42" s="227"/>
      <c r="O42" s="227"/>
      <c r="P42" s="227"/>
      <c r="Q42" s="227"/>
      <c r="R42" s="231"/>
      <c r="S42" s="231"/>
      <c r="T42" s="246">
        <v>45992</v>
      </c>
      <c r="U42" s="250"/>
      <c r="V42" s="234"/>
      <c r="W42" s="234"/>
      <c r="X42" s="234"/>
    </row>
    <row r="43" spans="1:24">
      <c r="A43" s="142" t="s">
        <v>108</v>
      </c>
      <c r="B43" s="141" t="s">
        <v>259</v>
      </c>
      <c r="C43" s="141" t="s">
        <v>49</v>
      </c>
      <c r="D43" s="1">
        <v>1</v>
      </c>
      <c r="E43" s="243">
        <v>2017</v>
      </c>
      <c r="F43" s="243"/>
      <c r="G43" s="219"/>
      <c r="H43" s="219"/>
      <c r="I43" s="219"/>
      <c r="J43" s="220"/>
      <c r="K43" s="221"/>
      <c r="L43" s="222"/>
      <c r="M43" s="227"/>
      <c r="N43" s="227"/>
      <c r="O43" s="227"/>
      <c r="P43" s="227"/>
      <c r="Q43" s="227"/>
      <c r="R43" s="231"/>
      <c r="S43" s="231"/>
      <c r="T43" s="246">
        <v>45992</v>
      </c>
      <c r="U43" s="250"/>
      <c r="V43" s="234"/>
      <c r="W43" s="234"/>
      <c r="X43" s="234"/>
    </row>
    <row r="44" spans="1:24">
      <c r="A44" s="142" t="s">
        <v>108</v>
      </c>
      <c r="B44" s="141" t="s">
        <v>259</v>
      </c>
      <c r="C44" s="141" t="s">
        <v>41</v>
      </c>
      <c r="D44" s="1">
        <v>1</v>
      </c>
      <c r="E44" s="244">
        <v>2017</v>
      </c>
      <c r="F44" s="244"/>
      <c r="G44" s="219"/>
      <c r="H44" s="219"/>
      <c r="I44" s="219"/>
      <c r="J44" s="220"/>
      <c r="K44" s="221"/>
      <c r="L44" s="222"/>
      <c r="M44" s="227"/>
      <c r="N44" s="227"/>
      <c r="O44" s="227"/>
      <c r="P44" s="227"/>
      <c r="Q44" s="227"/>
      <c r="R44" s="231"/>
      <c r="S44" s="231"/>
      <c r="T44" s="246">
        <v>45992</v>
      </c>
      <c r="U44" s="250"/>
      <c r="V44" s="234"/>
      <c r="W44" s="234"/>
      <c r="X44" s="234"/>
    </row>
    <row r="45" spans="1:24">
      <c r="A45" s="142" t="s">
        <v>274</v>
      </c>
      <c r="B45" s="141" t="s">
        <v>259</v>
      </c>
      <c r="C45" s="141" t="s">
        <v>18</v>
      </c>
      <c r="D45" s="1">
        <v>1</v>
      </c>
      <c r="E45" s="243">
        <v>2015</v>
      </c>
      <c r="F45" s="243"/>
      <c r="G45" s="219"/>
      <c r="H45" s="219"/>
      <c r="I45" s="219"/>
      <c r="J45" s="220"/>
      <c r="K45" s="220"/>
      <c r="L45" s="222"/>
      <c r="M45" s="227"/>
      <c r="N45" s="227"/>
      <c r="O45" s="227"/>
      <c r="P45" s="227"/>
      <c r="Q45" s="227"/>
      <c r="R45" s="231"/>
      <c r="S45" s="231"/>
      <c r="T45" s="245">
        <v>45778</v>
      </c>
      <c r="U45" s="250"/>
      <c r="V45" s="234"/>
      <c r="W45" s="234"/>
      <c r="X45" s="234"/>
    </row>
    <row r="46" spans="1:24">
      <c r="A46" s="142" t="s">
        <v>274</v>
      </c>
      <c r="B46" s="141" t="s">
        <v>259</v>
      </c>
      <c r="C46" s="141" t="s">
        <v>21</v>
      </c>
      <c r="D46" s="1">
        <v>1</v>
      </c>
      <c r="E46" s="244">
        <v>2015</v>
      </c>
      <c r="F46" s="244"/>
      <c r="G46" s="219"/>
      <c r="H46" s="219"/>
      <c r="I46" s="219"/>
      <c r="J46" s="220"/>
      <c r="K46" s="220"/>
      <c r="L46" s="222"/>
      <c r="M46" s="227"/>
      <c r="N46" s="227"/>
      <c r="O46" s="227"/>
      <c r="P46" s="227"/>
      <c r="Q46" s="227"/>
      <c r="R46" s="231"/>
      <c r="S46" s="231"/>
      <c r="T46" s="245">
        <v>45778</v>
      </c>
      <c r="U46" s="250"/>
      <c r="V46" s="234"/>
      <c r="W46" s="234"/>
      <c r="X46" s="234"/>
    </row>
    <row r="47" spans="1:24">
      <c r="A47" s="142" t="s">
        <v>274</v>
      </c>
      <c r="B47" s="141" t="s">
        <v>259</v>
      </c>
      <c r="C47" s="141" t="s">
        <v>49</v>
      </c>
      <c r="D47" s="1">
        <v>1</v>
      </c>
      <c r="E47" s="243">
        <v>2015</v>
      </c>
      <c r="F47" s="243"/>
      <c r="G47" s="219"/>
      <c r="H47" s="219"/>
      <c r="I47" s="219"/>
      <c r="J47" s="220"/>
      <c r="K47" s="220"/>
      <c r="L47" s="222"/>
      <c r="M47" s="227"/>
      <c r="N47" s="227"/>
      <c r="O47" s="227"/>
      <c r="P47" s="227"/>
      <c r="Q47" s="227"/>
      <c r="R47" s="231"/>
      <c r="S47" s="231"/>
      <c r="T47" s="245">
        <v>45778</v>
      </c>
      <c r="U47" s="250"/>
      <c r="V47" s="234"/>
      <c r="W47" s="234"/>
      <c r="X47" s="234"/>
    </row>
    <row r="48" spans="1:24">
      <c r="A48" s="142" t="s">
        <v>115</v>
      </c>
      <c r="B48" s="141" t="s">
        <v>259</v>
      </c>
      <c r="C48" s="141" t="s">
        <v>18</v>
      </c>
      <c r="D48" s="1">
        <v>1</v>
      </c>
      <c r="E48" s="244">
        <v>2014</v>
      </c>
      <c r="F48" s="244"/>
      <c r="G48" s="219"/>
      <c r="H48" s="219"/>
      <c r="I48" s="219"/>
      <c r="J48" s="147"/>
      <c r="K48" s="221"/>
      <c r="L48" s="222"/>
      <c r="M48" s="227"/>
      <c r="N48" s="227"/>
      <c r="O48" s="227"/>
      <c r="P48" s="227"/>
      <c r="Q48" s="227"/>
      <c r="R48" s="231"/>
      <c r="S48" s="231"/>
      <c r="T48" s="246">
        <v>45778</v>
      </c>
      <c r="U48" s="250"/>
      <c r="V48" s="234"/>
      <c r="W48" s="234"/>
      <c r="X48" s="234"/>
    </row>
    <row r="49" spans="1:24">
      <c r="A49" s="142" t="s">
        <v>275</v>
      </c>
      <c r="B49" s="141" t="s">
        <v>259</v>
      </c>
      <c r="C49" s="141" t="s">
        <v>18</v>
      </c>
      <c r="D49" s="1">
        <v>1</v>
      </c>
      <c r="E49" s="243">
        <v>2025</v>
      </c>
      <c r="F49" s="243"/>
      <c r="G49" s="219"/>
      <c r="H49" s="219"/>
      <c r="I49" s="219"/>
      <c r="J49" s="147"/>
      <c r="K49" s="221"/>
      <c r="L49" s="222"/>
      <c r="M49" s="227"/>
      <c r="N49" s="227"/>
      <c r="O49" s="227"/>
      <c r="P49" s="227"/>
      <c r="Q49" s="227"/>
      <c r="R49" s="231"/>
      <c r="S49" s="231"/>
      <c r="T49" s="246">
        <v>45992</v>
      </c>
      <c r="U49" s="250"/>
      <c r="V49" s="234"/>
      <c r="W49" s="234"/>
      <c r="X49" s="234"/>
    </row>
    <row r="50" spans="1:24">
      <c r="A50" s="142" t="s">
        <v>96</v>
      </c>
      <c r="B50" s="141" t="s">
        <v>259</v>
      </c>
      <c r="C50" s="141" t="s">
        <v>18</v>
      </c>
      <c r="D50" s="1">
        <v>1</v>
      </c>
      <c r="E50" s="244">
        <v>2004</v>
      </c>
      <c r="F50" s="244"/>
      <c r="G50" s="219"/>
      <c r="H50" s="219"/>
      <c r="I50" s="219"/>
      <c r="J50" s="147"/>
      <c r="K50" s="221"/>
      <c r="L50" s="222"/>
      <c r="M50" s="237" t="s">
        <v>265</v>
      </c>
      <c r="N50" s="236">
        <v>45978</v>
      </c>
      <c r="O50" s="227"/>
      <c r="P50" s="227"/>
      <c r="Q50" s="227"/>
      <c r="R50" s="231"/>
      <c r="S50" s="231"/>
      <c r="T50" s="236">
        <v>45978</v>
      </c>
      <c r="U50" s="250"/>
      <c r="V50" s="234"/>
      <c r="W50" s="234"/>
      <c r="X50" s="234"/>
    </row>
    <row r="51" spans="1:24">
      <c r="A51" s="142" t="s">
        <v>276</v>
      </c>
      <c r="B51" s="141" t="s">
        <v>277</v>
      </c>
      <c r="C51" s="141" t="s">
        <v>18</v>
      </c>
      <c r="D51" s="1">
        <v>1</v>
      </c>
      <c r="E51" s="243">
        <v>2017</v>
      </c>
      <c r="F51" s="243"/>
      <c r="G51" s="219"/>
      <c r="H51" s="219"/>
      <c r="I51" s="219"/>
      <c r="J51" s="147"/>
      <c r="K51" s="221"/>
      <c r="L51" s="222"/>
      <c r="M51" s="227"/>
      <c r="N51" s="227"/>
      <c r="O51" s="227"/>
      <c r="P51" s="227"/>
      <c r="Q51" s="227"/>
      <c r="R51" s="231"/>
      <c r="S51" s="231"/>
      <c r="T51" s="246">
        <v>45748</v>
      </c>
      <c r="U51" s="250"/>
      <c r="V51" s="234"/>
      <c r="W51" s="234"/>
      <c r="X51" s="234"/>
    </row>
    <row r="52" spans="1:24">
      <c r="A52" s="142" t="s">
        <v>278</v>
      </c>
      <c r="B52" s="141" t="s">
        <v>277</v>
      </c>
      <c r="C52" s="141" t="s">
        <v>18</v>
      </c>
      <c r="D52" s="1">
        <v>1</v>
      </c>
      <c r="E52" s="244">
        <v>2018</v>
      </c>
      <c r="F52" s="244"/>
      <c r="G52" s="219"/>
      <c r="H52" s="219"/>
      <c r="I52" s="219"/>
      <c r="J52" s="147"/>
      <c r="K52" s="221"/>
      <c r="L52" s="222"/>
      <c r="M52" s="227"/>
      <c r="N52" s="227"/>
      <c r="O52" s="227"/>
      <c r="P52" s="227"/>
      <c r="Q52" s="227"/>
      <c r="R52" s="231"/>
      <c r="S52" s="231"/>
      <c r="T52" s="246">
        <v>45748</v>
      </c>
      <c r="U52" s="250"/>
      <c r="V52" s="234"/>
      <c r="W52" s="234"/>
      <c r="X52" s="234"/>
    </row>
    <row r="53" spans="1:24">
      <c r="A53" s="142" t="s">
        <v>278</v>
      </c>
      <c r="B53" s="141" t="s">
        <v>277</v>
      </c>
      <c r="C53" s="141" t="s">
        <v>21</v>
      </c>
      <c r="D53" s="1">
        <v>1</v>
      </c>
      <c r="E53" s="243">
        <v>2018</v>
      </c>
      <c r="F53" s="243"/>
      <c r="G53" s="219"/>
      <c r="H53" s="219"/>
      <c r="I53" s="219"/>
      <c r="J53" s="147"/>
      <c r="K53" s="221"/>
      <c r="L53" s="222"/>
      <c r="M53" s="227"/>
      <c r="N53" s="227"/>
      <c r="O53" s="227"/>
      <c r="P53" s="227"/>
      <c r="Q53" s="227"/>
      <c r="R53" s="231"/>
      <c r="S53" s="231"/>
      <c r="T53" s="246">
        <v>45748</v>
      </c>
      <c r="U53" s="250"/>
      <c r="V53" s="234"/>
      <c r="W53" s="234"/>
      <c r="X53" s="234"/>
    </row>
    <row r="54" spans="1:24">
      <c r="A54" s="142" t="s">
        <v>278</v>
      </c>
      <c r="B54" s="141" t="s">
        <v>277</v>
      </c>
      <c r="C54" s="141" t="s">
        <v>49</v>
      </c>
      <c r="D54" s="1">
        <v>1</v>
      </c>
      <c r="E54" s="244">
        <v>2019</v>
      </c>
      <c r="F54" s="244"/>
      <c r="G54" s="219"/>
      <c r="H54" s="219"/>
      <c r="I54" s="219"/>
      <c r="J54" s="147"/>
      <c r="K54" s="221"/>
      <c r="L54" s="222"/>
      <c r="M54" s="227"/>
      <c r="N54" s="227"/>
      <c r="O54" s="227"/>
      <c r="P54" s="227"/>
      <c r="Q54" s="227"/>
      <c r="R54" s="231"/>
      <c r="S54" s="231"/>
      <c r="T54" s="246">
        <v>45748</v>
      </c>
      <c r="U54" s="250"/>
      <c r="V54" s="234"/>
      <c r="W54" s="234"/>
      <c r="X54" s="234"/>
    </row>
    <row r="55" spans="1:24">
      <c r="A55" s="142" t="s">
        <v>278</v>
      </c>
      <c r="B55" s="141" t="s">
        <v>277</v>
      </c>
      <c r="C55" s="141" t="s">
        <v>47</v>
      </c>
      <c r="D55" s="1">
        <v>1</v>
      </c>
      <c r="E55" s="243">
        <v>2019</v>
      </c>
      <c r="F55" s="243"/>
      <c r="G55" s="219"/>
      <c r="H55" s="219"/>
      <c r="I55" s="219"/>
      <c r="J55" s="147"/>
      <c r="K55" s="221"/>
      <c r="L55" s="222"/>
      <c r="M55" s="227"/>
      <c r="N55" s="227"/>
      <c r="O55" s="227"/>
      <c r="P55" s="227"/>
      <c r="Q55" s="227"/>
      <c r="R55" s="231"/>
      <c r="S55" s="231"/>
      <c r="T55" s="246">
        <v>45748</v>
      </c>
      <c r="U55" s="250"/>
      <c r="V55" s="234"/>
      <c r="W55" s="234"/>
      <c r="X55" s="234"/>
    </row>
    <row r="56" spans="1:24">
      <c r="A56" s="142" t="s">
        <v>278</v>
      </c>
      <c r="B56" s="141" t="s">
        <v>277</v>
      </c>
      <c r="C56" s="141" t="s">
        <v>53</v>
      </c>
      <c r="D56" s="1">
        <v>1</v>
      </c>
      <c r="E56" s="244">
        <v>2019</v>
      </c>
      <c r="F56" s="244"/>
      <c r="G56" s="219"/>
      <c r="H56" s="219"/>
      <c r="I56" s="219"/>
      <c r="J56" s="147"/>
      <c r="K56" s="221"/>
      <c r="L56" s="222"/>
      <c r="M56" s="227"/>
      <c r="N56" s="227"/>
      <c r="O56" s="227"/>
      <c r="P56" s="227"/>
      <c r="Q56" s="227"/>
      <c r="R56" s="231"/>
      <c r="S56" s="231"/>
      <c r="T56" s="246">
        <v>45748</v>
      </c>
      <c r="U56" s="250"/>
      <c r="V56" s="234"/>
      <c r="W56" s="234"/>
      <c r="X56" s="234"/>
    </row>
    <row r="57" spans="1:24">
      <c r="A57" s="142" t="s">
        <v>119</v>
      </c>
      <c r="B57" s="141" t="s">
        <v>259</v>
      </c>
      <c r="C57" s="141" t="s">
        <v>47</v>
      </c>
      <c r="D57" s="1">
        <v>1</v>
      </c>
      <c r="E57" s="243">
        <v>2023</v>
      </c>
      <c r="F57" s="243"/>
      <c r="G57" s="219"/>
      <c r="H57" s="219"/>
      <c r="I57" s="219"/>
      <c r="J57" s="147"/>
      <c r="K57" s="221"/>
      <c r="L57" s="222"/>
      <c r="M57" s="227"/>
      <c r="N57" s="227"/>
      <c r="O57" s="227"/>
      <c r="P57" s="227"/>
      <c r="Q57" s="227"/>
      <c r="R57" s="231"/>
      <c r="S57" s="231"/>
      <c r="T57" s="246">
        <v>45778</v>
      </c>
      <c r="U57" s="250"/>
      <c r="V57" s="234"/>
      <c r="W57" s="234"/>
      <c r="X57" s="234"/>
    </row>
    <row r="58" spans="1:24">
      <c r="A58" s="142" t="s">
        <v>119</v>
      </c>
      <c r="B58" s="141" t="s">
        <v>259</v>
      </c>
      <c r="C58" s="141" t="s">
        <v>18</v>
      </c>
      <c r="D58" s="1">
        <v>1</v>
      </c>
      <c r="E58" s="244">
        <v>2023</v>
      </c>
      <c r="F58" s="244"/>
      <c r="G58" s="219"/>
      <c r="H58" s="219"/>
      <c r="I58" s="219"/>
      <c r="J58" s="147"/>
      <c r="K58" s="221"/>
      <c r="L58" s="222"/>
      <c r="M58" s="227"/>
      <c r="N58" s="227"/>
      <c r="O58" s="227"/>
      <c r="P58" s="227"/>
      <c r="Q58" s="227"/>
      <c r="R58" s="231"/>
      <c r="S58" s="231"/>
      <c r="T58" s="246">
        <v>45778</v>
      </c>
      <c r="U58" s="250"/>
      <c r="V58" s="234"/>
      <c r="W58" s="234"/>
      <c r="X58" s="234"/>
    </row>
    <row r="59" spans="1:24">
      <c r="A59" s="142" t="s">
        <v>119</v>
      </c>
      <c r="B59" s="141" t="s">
        <v>259</v>
      </c>
      <c r="C59" s="141" t="s">
        <v>21</v>
      </c>
      <c r="D59" s="1">
        <v>1</v>
      </c>
      <c r="E59" s="243">
        <v>2025</v>
      </c>
      <c r="F59" s="243"/>
      <c r="G59" s="219"/>
      <c r="H59" s="219"/>
      <c r="I59" s="219"/>
      <c r="J59" s="147"/>
      <c r="K59" s="221"/>
      <c r="L59" s="222"/>
      <c r="M59" s="227"/>
      <c r="N59" s="227"/>
      <c r="O59" s="227"/>
      <c r="P59" s="227"/>
      <c r="Q59" s="227"/>
      <c r="R59" s="231"/>
      <c r="S59" s="231"/>
      <c r="T59" s="246">
        <v>45778</v>
      </c>
      <c r="U59" s="250"/>
      <c r="V59" s="234"/>
      <c r="W59" s="234"/>
      <c r="X59" s="234"/>
    </row>
    <row r="60" spans="1:24">
      <c r="A60" s="142" t="s">
        <v>135</v>
      </c>
      <c r="B60" s="141" t="s">
        <v>259</v>
      </c>
      <c r="C60" s="141" t="s">
        <v>47</v>
      </c>
      <c r="D60" s="1">
        <v>1</v>
      </c>
      <c r="E60" s="244">
        <v>2022</v>
      </c>
      <c r="F60" s="244"/>
      <c r="G60" s="219"/>
      <c r="H60" s="219"/>
      <c r="I60" s="219"/>
      <c r="J60" s="147"/>
      <c r="K60" s="221"/>
      <c r="L60" s="222"/>
      <c r="M60" s="227"/>
      <c r="N60" s="227"/>
      <c r="O60" s="227"/>
      <c r="P60" s="227"/>
      <c r="Q60" s="227"/>
      <c r="R60" s="231"/>
      <c r="S60" s="231"/>
      <c r="T60" s="246">
        <v>45689</v>
      </c>
      <c r="U60" s="250"/>
      <c r="V60" s="234"/>
      <c r="W60" s="234"/>
      <c r="X60" s="234"/>
    </row>
    <row r="61" spans="1:24">
      <c r="A61" s="142" t="s">
        <v>135</v>
      </c>
      <c r="B61" s="141" t="s">
        <v>259</v>
      </c>
      <c r="C61" s="141" t="s">
        <v>53</v>
      </c>
      <c r="D61" s="1">
        <v>1</v>
      </c>
      <c r="E61" s="243">
        <v>2022</v>
      </c>
      <c r="F61" s="243"/>
      <c r="G61" s="219"/>
      <c r="H61" s="219"/>
      <c r="I61" s="219"/>
      <c r="J61" s="147"/>
      <c r="K61" s="221"/>
      <c r="L61" s="222"/>
      <c r="M61" s="227"/>
      <c r="N61" s="227"/>
      <c r="O61" s="227"/>
      <c r="P61" s="227"/>
      <c r="Q61" s="227"/>
      <c r="R61" s="231"/>
      <c r="S61" s="231"/>
      <c r="T61" s="246">
        <v>45689</v>
      </c>
      <c r="U61" s="250"/>
      <c r="V61" s="234"/>
      <c r="W61" s="234"/>
      <c r="X61" s="234"/>
    </row>
    <row r="62" spans="1:24">
      <c r="A62" s="142" t="s">
        <v>105</v>
      </c>
      <c r="B62" s="141" t="s">
        <v>259</v>
      </c>
      <c r="C62" s="141" t="s">
        <v>18</v>
      </c>
      <c r="D62" s="1">
        <v>1</v>
      </c>
      <c r="E62" s="244">
        <v>2016</v>
      </c>
      <c r="F62" s="244"/>
      <c r="G62" s="219"/>
      <c r="H62" s="219"/>
      <c r="I62" s="219"/>
      <c r="J62" s="147"/>
      <c r="K62" s="221"/>
      <c r="L62" s="222"/>
      <c r="M62" s="227"/>
      <c r="N62" s="227"/>
      <c r="O62" s="227"/>
      <c r="P62" s="227"/>
      <c r="Q62" s="227"/>
      <c r="R62" s="231"/>
      <c r="S62" s="231"/>
      <c r="T62" s="245">
        <v>45934</v>
      </c>
      <c r="U62" s="250"/>
      <c r="V62" s="234"/>
      <c r="W62" s="234"/>
      <c r="X62" s="234"/>
    </row>
    <row r="63" spans="1:24">
      <c r="A63" s="142" t="s">
        <v>105</v>
      </c>
      <c r="B63" s="141" t="s">
        <v>259</v>
      </c>
      <c r="C63" s="141" t="s">
        <v>21</v>
      </c>
      <c r="D63" s="1">
        <v>1</v>
      </c>
      <c r="E63" s="243">
        <v>2017</v>
      </c>
      <c r="F63" s="243"/>
      <c r="G63" s="219"/>
      <c r="H63" s="219"/>
      <c r="I63" s="219"/>
      <c r="J63" s="147"/>
      <c r="K63" s="221"/>
      <c r="L63" s="222"/>
      <c r="M63" s="227"/>
      <c r="N63" s="227"/>
      <c r="O63" s="227"/>
      <c r="P63" s="227"/>
      <c r="Q63" s="227"/>
      <c r="R63" s="231"/>
      <c r="S63" s="231"/>
      <c r="T63" s="245">
        <v>45934</v>
      </c>
      <c r="U63" s="250"/>
      <c r="V63" s="234"/>
      <c r="W63" s="234"/>
      <c r="X63" s="234"/>
    </row>
    <row r="64" spans="1:24">
      <c r="A64" s="142" t="s">
        <v>105</v>
      </c>
      <c r="B64" s="141" t="s">
        <v>259</v>
      </c>
      <c r="C64" s="141" t="s">
        <v>49</v>
      </c>
      <c r="D64" s="1">
        <v>1</v>
      </c>
      <c r="E64" s="244">
        <v>2017</v>
      </c>
      <c r="F64" s="244"/>
      <c r="G64" s="219"/>
      <c r="H64" s="219"/>
      <c r="I64" s="219"/>
      <c r="J64" s="147"/>
      <c r="K64" s="221"/>
      <c r="L64" s="222"/>
      <c r="M64" s="227"/>
      <c r="N64" s="227"/>
      <c r="O64" s="227"/>
      <c r="P64" s="227"/>
      <c r="Q64" s="227"/>
      <c r="R64" s="231"/>
      <c r="S64" s="231"/>
      <c r="T64" s="245">
        <v>45934</v>
      </c>
      <c r="U64" s="250"/>
      <c r="V64" s="234"/>
      <c r="W64" s="234"/>
      <c r="X64" s="234"/>
    </row>
    <row r="65" spans="1:24">
      <c r="A65" s="142" t="s">
        <v>105</v>
      </c>
      <c r="B65" s="141" t="s">
        <v>259</v>
      </c>
      <c r="C65" s="141" t="s">
        <v>41</v>
      </c>
      <c r="D65" s="1">
        <v>1</v>
      </c>
      <c r="E65" s="243">
        <v>2017</v>
      </c>
      <c r="F65" s="243"/>
      <c r="G65" s="219"/>
      <c r="H65" s="219"/>
      <c r="I65" s="219"/>
      <c r="J65" s="147"/>
      <c r="K65" s="221"/>
      <c r="L65" s="222"/>
      <c r="M65" s="227"/>
      <c r="N65" s="227"/>
      <c r="O65" s="227"/>
      <c r="P65" s="227"/>
      <c r="Q65" s="227"/>
      <c r="R65" s="231"/>
      <c r="S65" s="231"/>
      <c r="T65" s="245">
        <v>45934</v>
      </c>
      <c r="U65" s="250"/>
      <c r="V65" s="234"/>
      <c r="W65" s="234"/>
      <c r="X65" s="234"/>
    </row>
    <row r="66" spans="1:24">
      <c r="A66" s="142" t="s">
        <v>105</v>
      </c>
      <c r="B66" s="141" t="s">
        <v>259</v>
      </c>
      <c r="C66" s="141" t="s">
        <v>47</v>
      </c>
      <c r="D66" s="1">
        <v>1</v>
      </c>
      <c r="E66" s="244">
        <v>2017</v>
      </c>
      <c r="F66" s="244"/>
      <c r="G66" s="219"/>
      <c r="H66" s="219"/>
      <c r="I66" s="219"/>
      <c r="J66" s="147"/>
      <c r="K66" s="221"/>
      <c r="L66" s="222"/>
      <c r="M66" s="227"/>
      <c r="N66" s="227"/>
      <c r="O66" s="227"/>
      <c r="P66" s="227"/>
      <c r="Q66" s="227"/>
      <c r="R66" s="231"/>
      <c r="S66" s="231"/>
      <c r="T66" s="245">
        <v>45934</v>
      </c>
      <c r="U66" s="250"/>
      <c r="V66" s="234"/>
      <c r="W66" s="234"/>
      <c r="X66" s="234"/>
    </row>
    <row r="67" spans="1:24">
      <c r="A67" s="142" t="s">
        <v>105</v>
      </c>
      <c r="B67" s="141" t="s">
        <v>259</v>
      </c>
      <c r="C67" s="141" t="s">
        <v>53</v>
      </c>
      <c r="D67" s="1">
        <v>1</v>
      </c>
      <c r="E67" s="243">
        <v>2017</v>
      </c>
      <c r="F67" s="243"/>
      <c r="G67" s="219"/>
      <c r="H67" s="219"/>
      <c r="I67" s="219"/>
      <c r="J67" s="147"/>
      <c r="K67" s="221"/>
      <c r="L67" s="222"/>
      <c r="M67" s="227"/>
      <c r="N67" s="227"/>
      <c r="O67" s="227"/>
      <c r="P67" s="227"/>
      <c r="Q67" s="227"/>
      <c r="R67" s="231"/>
      <c r="S67" s="231"/>
      <c r="T67" s="245">
        <v>45934</v>
      </c>
      <c r="U67" s="250"/>
      <c r="V67" s="234"/>
      <c r="W67" s="234"/>
      <c r="X67" s="234"/>
    </row>
    <row r="68" spans="1:24">
      <c r="A68" s="142" t="s">
        <v>279</v>
      </c>
      <c r="B68" s="141" t="s">
        <v>280</v>
      </c>
      <c r="C68" s="141" t="s">
        <v>18</v>
      </c>
      <c r="D68" s="1">
        <v>1</v>
      </c>
      <c r="E68" s="1"/>
      <c r="F68" s="1"/>
      <c r="G68" s="219"/>
      <c r="H68" s="219"/>
      <c r="I68" s="219"/>
      <c r="J68" s="147"/>
      <c r="K68" s="221"/>
      <c r="L68" s="222"/>
      <c r="M68" s="227"/>
      <c r="N68" s="227"/>
      <c r="O68" s="227"/>
      <c r="P68" s="227"/>
      <c r="Q68" s="227"/>
      <c r="R68" s="231"/>
      <c r="S68" s="231"/>
      <c r="T68" s="246">
        <v>45717</v>
      </c>
      <c r="U68" s="250"/>
      <c r="V68" s="234"/>
      <c r="W68" s="234"/>
      <c r="X68" s="234"/>
    </row>
    <row r="69" spans="1:24">
      <c r="A69" s="142" t="s">
        <v>97</v>
      </c>
      <c r="B69" s="141" t="s">
        <v>259</v>
      </c>
      <c r="C69" s="141" t="s">
        <v>18</v>
      </c>
      <c r="D69" s="1">
        <v>1</v>
      </c>
      <c r="E69" s="244">
        <v>2019</v>
      </c>
      <c r="F69" s="244"/>
      <c r="G69" s="219"/>
      <c r="H69" s="219"/>
      <c r="I69" s="219"/>
      <c r="J69" s="147"/>
      <c r="K69" s="221"/>
      <c r="L69" s="222"/>
      <c r="M69" s="227"/>
      <c r="N69" s="227"/>
      <c r="O69" s="227"/>
      <c r="P69" s="227"/>
      <c r="Q69" s="227"/>
      <c r="R69" s="231"/>
      <c r="S69" s="231"/>
      <c r="T69" s="246">
        <v>45717</v>
      </c>
      <c r="U69" s="250"/>
      <c r="V69" s="234"/>
      <c r="W69" s="234"/>
      <c r="X69" s="234"/>
    </row>
    <row r="70" spans="1:24">
      <c r="A70" s="142" t="s">
        <v>164</v>
      </c>
      <c r="B70" s="141" t="s">
        <v>259</v>
      </c>
      <c r="C70" s="141" t="s">
        <v>261</v>
      </c>
      <c r="D70" s="1">
        <v>1</v>
      </c>
      <c r="E70" s="243">
        <v>2022</v>
      </c>
      <c r="F70" s="243"/>
      <c r="G70" s="219"/>
      <c r="H70" s="219"/>
      <c r="I70" s="219"/>
      <c r="J70" s="147"/>
      <c r="K70" s="221"/>
      <c r="L70" s="222"/>
      <c r="M70" s="227"/>
      <c r="N70" s="227"/>
      <c r="O70" s="227"/>
      <c r="P70" s="227"/>
      <c r="Q70" s="227"/>
      <c r="R70" s="231"/>
      <c r="S70" s="231"/>
      <c r="T70" s="246">
        <v>45658</v>
      </c>
      <c r="U70" s="250"/>
      <c r="V70" s="234"/>
      <c r="W70" s="234"/>
      <c r="X70" s="234"/>
    </row>
    <row r="71" spans="1:24">
      <c r="A71" s="142" t="s">
        <v>65</v>
      </c>
      <c r="B71" s="141" t="s">
        <v>259</v>
      </c>
      <c r="C71" s="141" t="s">
        <v>18</v>
      </c>
      <c r="D71" s="1">
        <v>1</v>
      </c>
      <c r="E71" s="244">
        <v>2019</v>
      </c>
      <c r="F71" s="244"/>
      <c r="G71" s="219"/>
      <c r="H71" s="219"/>
      <c r="I71" s="219"/>
      <c r="J71" s="147"/>
      <c r="K71" s="221"/>
      <c r="L71" s="222"/>
      <c r="M71" s="227"/>
      <c r="N71" s="227"/>
      <c r="O71" s="227"/>
      <c r="P71" s="227"/>
      <c r="Q71" s="227"/>
      <c r="R71" s="231"/>
      <c r="S71" s="231"/>
      <c r="T71" s="246">
        <v>45717</v>
      </c>
      <c r="U71" s="250"/>
      <c r="V71" s="234"/>
      <c r="W71" s="234"/>
      <c r="X71" s="234"/>
    </row>
    <row r="72" spans="1:24">
      <c r="A72" s="142" t="s">
        <v>281</v>
      </c>
      <c r="B72" s="141" t="s">
        <v>277</v>
      </c>
      <c r="C72" s="141" t="s">
        <v>18</v>
      </c>
      <c r="D72" s="1">
        <v>1</v>
      </c>
      <c r="E72" s="243">
        <v>2020</v>
      </c>
      <c r="F72" s="243"/>
      <c r="G72" s="219"/>
      <c r="H72" s="219"/>
      <c r="I72" s="219"/>
      <c r="J72" s="147"/>
      <c r="K72" s="221"/>
      <c r="L72" s="222"/>
      <c r="M72" s="227"/>
      <c r="N72" s="227"/>
      <c r="O72" s="227"/>
      <c r="P72" s="227"/>
      <c r="Q72" s="227"/>
      <c r="R72" s="231"/>
      <c r="S72" s="231"/>
      <c r="T72" s="246">
        <v>45748</v>
      </c>
      <c r="U72" s="250"/>
      <c r="V72" s="234"/>
      <c r="W72" s="234"/>
      <c r="X72" s="234"/>
    </row>
    <row r="73" spans="1:24">
      <c r="A73" s="142" t="s">
        <v>124</v>
      </c>
      <c r="B73" s="141" t="s">
        <v>259</v>
      </c>
      <c r="C73" s="141" t="s">
        <v>18</v>
      </c>
      <c r="D73" s="1">
        <v>1</v>
      </c>
      <c r="E73" s="244">
        <v>2017</v>
      </c>
      <c r="F73" s="244"/>
      <c r="G73" s="219"/>
      <c r="H73" s="219"/>
      <c r="I73" s="219"/>
      <c r="J73" s="147"/>
      <c r="K73" s="221"/>
      <c r="L73" s="222"/>
      <c r="M73" s="227"/>
      <c r="N73" s="227"/>
      <c r="O73" s="227"/>
      <c r="P73" s="227"/>
      <c r="Q73" s="227"/>
      <c r="R73" s="231"/>
      <c r="S73" s="231"/>
      <c r="T73" s="246">
        <v>45748</v>
      </c>
      <c r="U73" s="250"/>
      <c r="V73" s="234"/>
      <c r="W73" s="234"/>
      <c r="X73" s="234"/>
    </row>
    <row r="74" spans="1:24">
      <c r="A74" s="142" t="s">
        <v>282</v>
      </c>
      <c r="B74" s="141" t="s">
        <v>259</v>
      </c>
      <c r="C74" s="141" t="s">
        <v>18</v>
      </c>
      <c r="D74" s="1">
        <v>1</v>
      </c>
      <c r="E74" s="243">
        <v>2023</v>
      </c>
      <c r="F74" s="243"/>
      <c r="G74" s="219"/>
      <c r="H74" s="219"/>
      <c r="I74" s="219"/>
      <c r="J74" s="147"/>
      <c r="K74" s="221"/>
      <c r="L74" s="222"/>
      <c r="M74" s="227"/>
      <c r="N74" s="227"/>
      <c r="O74" s="227"/>
      <c r="P74" s="227"/>
      <c r="Q74" s="227"/>
      <c r="R74" s="231"/>
      <c r="S74" s="231"/>
      <c r="T74" s="246">
        <v>45748</v>
      </c>
      <c r="U74" s="250"/>
      <c r="V74" s="234"/>
      <c r="W74" s="234"/>
      <c r="X74" s="234"/>
    </row>
    <row r="75" spans="1:24">
      <c r="A75" s="142" t="s">
        <v>92</v>
      </c>
      <c r="B75" s="141" t="s">
        <v>259</v>
      </c>
      <c r="C75" s="141" t="s">
        <v>18</v>
      </c>
      <c r="D75" s="1">
        <v>1</v>
      </c>
      <c r="E75" s="244">
        <v>2015</v>
      </c>
      <c r="F75" s="244"/>
      <c r="G75" s="325"/>
      <c r="H75" s="325"/>
      <c r="I75" s="325"/>
      <c r="J75" s="326" t="s">
        <v>283</v>
      </c>
      <c r="K75" s="326">
        <v>45977</v>
      </c>
      <c r="L75" s="52" t="s">
        <v>284</v>
      </c>
      <c r="M75" s="227"/>
      <c r="N75" s="227"/>
      <c r="O75" s="227"/>
      <c r="P75" s="227"/>
      <c r="Q75" s="227"/>
      <c r="R75" s="231"/>
      <c r="S75" s="231"/>
      <c r="T75" s="245">
        <v>45936</v>
      </c>
      <c r="U75" s="250"/>
      <c r="V75" s="234"/>
      <c r="W75" s="234"/>
      <c r="X75" s="234"/>
    </row>
    <row r="76" spans="1:24">
      <c r="A76" s="142" t="s">
        <v>92</v>
      </c>
      <c r="B76" s="141" t="s">
        <v>259</v>
      </c>
      <c r="C76" s="141" t="s">
        <v>21</v>
      </c>
      <c r="D76" s="1">
        <v>1</v>
      </c>
      <c r="E76" s="243">
        <v>2015</v>
      </c>
      <c r="F76" s="243"/>
      <c r="G76" s="325"/>
      <c r="H76" s="325"/>
      <c r="I76" s="325"/>
      <c r="J76" s="326" t="s">
        <v>283</v>
      </c>
      <c r="K76" s="326">
        <v>45977</v>
      </c>
      <c r="L76" s="52" t="s">
        <v>284</v>
      </c>
      <c r="M76" s="227"/>
      <c r="N76" s="227"/>
      <c r="O76" s="227"/>
      <c r="P76" s="227"/>
      <c r="Q76" s="227"/>
      <c r="R76" s="231"/>
      <c r="S76" s="231"/>
      <c r="T76" s="245">
        <v>45936</v>
      </c>
      <c r="U76" s="250"/>
      <c r="V76" s="234"/>
      <c r="W76" s="234"/>
      <c r="X76" s="234"/>
    </row>
    <row r="77" spans="1:24">
      <c r="A77" s="142" t="s">
        <v>92</v>
      </c>
      <c r="B77" s="141" t="s">
        <v>259</v>
      </c>
      <c r="C77" s="141" t="s">
        <v>49</v>
      </c>
      <c r="D77" s="1">
        <v>1</v>
      </c>
      <c r="E77" s="244">
        <v>2015</v>
      </c>
      <c r="F77" s="244"/>
      <c r="G77" s="325"/>
      <c r="H77" s="325"/>
      <c r="I77" s="325"/>
      <c r="J77" s="326" t="s">
        <v>283</v>
      </c>
      <c r="K77" s="326">
        <v>45977</v>
      </c>
      <c r="L77" s="52" t="s">
        <v>284</v>
      </c>
      <c r="M77" s="227"/>
      <c r="N77" s="227"/>
      <c r="O77" s="227"/>
      <c r="P77" s="227"/>
      <c r="Q77" s="227"/>
      <c r="R77" s="231"/>
      <c r="S77" s="231"/>
      <c r="T77" s="245">
        <v>45936</v>
      </c>
      <c r="U77" s="250"/>
      <c r="V77" s="234"/>
      <c r="W77" s="234"/>
      <c r="X77" s="234"/>
    </row>
    <row r="78" spans="1:24">
      <c r="A78" s="142" t="s">
        <v>92</v>
      </c>
      <c r="B78" s="141" t="s">
        <v>259</v>
      </c>
      <c r="C78" s="141" t="s">
        <v>41</v>
      </c>
      <c r="D78" s="1">
        <v>1</v>
      </c>
      <c r="E78" s="243">
        <v>2015</v>
      </c>
      <c r="F78" s="243"/>
      <c r="G78" s="325"/>
      <c r="H78" s="325"/>
      <c r="I78" s="325"/>
      <c r="J78" s="326" t="s">
        <v>283</v>
      </c>
      <c r="K78" s="326">
        <v>45977</v>
      </c>
      <c r="L78" s="52" t="s">
        <v>284</v>
      </c>
      <c r="M78" s="227"/>
      <c r="N78" s="227"/>
      <c r="O78" s="227"/>
      <c r="P78" s="227"/>
      <c r="Q78" s="227"/>
      <c r="R78" s="231"/>
      <c r="S78" s="231"/>
      <c r="T78" s="245">
        <v>45936</v>
      </c>
      <c r="U78" s="250"/>
      <c r="V78" s="234"/>
      <c r="W78" s="234"/>
      <c r="X78" s="234"/>
    </row>
    <row r="79" spans="1:24">
      <c r="A79" s="142" t="s">
        <v>92</v>
      </c>
      <c r="B79" s="141" t="s">
        <v>259</v>
      </c>
      <c r="C79" s="141" t="s">
        <v>47</v>
      </c>
      <c r="D79" s="1">
        <v>1</v>
      </c>
      <c r="E79" s="244">
        <v>2015</v>
      </c>
      <c r="F79" s="244"/>
      <c r="G79" s="325"/>
      <c r="H79" s="325"/>
      <c r="I79" s="325"/>
      <c r="J79" s="326" t="s">
        <v>283</v>
      </c>
      <c r="K79" s="326">
        <v>45977</v>
      </c>
      <c r="L79" s="52" t="s">
        <v>284</v>
      </c>
      <c r="M79" s="227"/>
      <c r="N79" s="227"/>
      <c r="O79" s="227"/>
      <c r="P79" s="227"/>
      <c r="Q79" s="227"/>
      <c r="R79" s="231"/>
      <c r="S79" s="231"/>
      <c r="T79" s="245">
        <v>45936</v>
      </c>
      <c r="U79" s="250"/>
      <c r="V79" s="234"/>
      <c r="W79" s="234"/>
      <c r="X79" s="234"/>
    </row>
    <row r="80" spans="1:24">
      <c r="A80" s="142" t="s">
        <v>36</v>
      </c>
      <c r="B80" s="141" t="s">
        <v>259</v>
      </c>
      <c r="C80" s="141" t="s">
        <v>18</v>
      </c>
      <c r="D80" s="1">
        <v>1</v>
      </c>
      <c r="E80" s="243">
        <v>2013</v>
      </c>
      <c r="F80" s="243"/>
      <c r="G80" s="219"/>
      <c r="H80" s="219"/>
      <c r="I80" s="219"/>
      <c r="J80" s="147"/>
      <c r="K80" s="221"/>
      <c r="L80" s="222"/>
      <c r="M80" s="227"/>
      <c r="N80" s="227"/>
      <c r="O80" s="227"/>
      <c r="P80" s="227"/>
      <c r="Q80" s="227"/>
      <c r="R80" s="231"/>
      <c r="S80" s="231"/>
      <c r="T80" s="246">
        <v>45778</v>
      </c>
      <c r="U80" s="250"/>
      <c r="V80" s="234"/>
      <c r="W80" s="234"/>
      <c r="X80" s="234"/>
    </row>
    <row r="81" spans="1:24">
      <c r="A81" s="142" t="s">
        <v>128</v>
      </c>
      <c r="B81" s="141" t="s">
        <v>259</v>
      </c>
      <c r="C81" s="141" t="s">
        <v>18</v>
      </c>
      <c r="D81" s="1">
        <v>1</v>
      </c>
      <c r="E81" s="244">
        <v>2020</v>
      </c>
      <c r="F81" s="244"/>
      <c r="G81" s="219"/>
      <c r="H81" s="219"/>
      <c r="I81" s="219"/>
      <c r="J81" s="220"/>
      <c r="K81" s="221"/>
      <c r="L81" s="222"/>
      <c r="M81" s="227"/>
      <c r="N81" s="227"/>
      <c r="O81" s="227"/>
      <c r="P81" s="227"/>
      <c r="Q81" s="227"/>
      <c r="R81" s="231"/>
      <c r="S81" s="231"/>
      <c r="T81" s="246">
        <v>45778</v>
      </c>
      <c r="U81" s="250"/>
      <c r="V81" s="234"/>
      <c r="W81" s="234"/>
      <c r="X81" s="234"/>
    </row>
    <row r="82" spans="1:24">
      <c r="A82" s="142" t="s">
        <v>128</v>
      </c>
      <c r="B82" s="141" t="s">
        <v>259</v>
      </c>
      <c r="C82" s="141" t="s">
        <v>21</v>
      </c>
      <c r="D82" s="1">
        <v>1</v>
      </c>
      <c r="E82" s="243">
        <v>2022</v>
      </c>
      <c r="F82" s="243"/>
      <c r="G82" s="219"/>
      <c r="H82" s="219"/>
      <c r="I82" s="219"/>
      <c r="J82" s="220"/>
      <c r="K82" s="221"/>
      <c r="L82" s="222"/>
      <c r="M82" s="227"/>
      <c r="N82" s="227"/>
      <c r="O82" s="227"/>
      <c r="P82" s="227"/>
      <c r="Q82" s="227"/>
      <c r="R82" s="231"/>
      <c r="S82" s="231"/>
      <c r="T82" s="246">
        <v>45809</v>
      </c>
      <c r="U82" s="250"/>
      <c r="V82" s="234"/>
      <c r="W82" s="234"/>
      <c r="X82" s="234"/>
    </row>
    <row r="83" spans="1:24">
      <c r="A83" s="142" t="s">
        <v>129</v>
      </c>
      <c r="B83" s="141" t="s">
        <v>259</v>
      </c>
      <c r="C83" s="141" t="s">
        <v>18</v>
      </c>
      <c r="D83" s="1">
        <v>1</v>
      </c>
      <c r="E83" s="244">
        <v>2019</v>
      </c>
      <c r="F83" s="244"/>
      <c r="G83" s="219"/>
      <c r="H83" s="219"/>
      <c r="I83" s="219"/>
      <c r="J83" s="220"/>
      <c r="K83" s="221"/>
      <c r="L83" s="222"/>
      <c r="M83" s="227"/>
      <c r="N83" s="227"/>
      <c r="O83" s="227"/>
      <c r="P83" s="227"/>
      <c r="Q83" s="227"/>
      <c r="R83" s="231"/>
      <c r="S83" s="231"/>
      <c r="T83" s="246">
        <v>45839</v>
      </c>
      <c r="U83" s="250"/>
      <c r="V83" s="234"/>
      <c r="W83" s="234"/>
      <c r="X83" s="234"/>
    </row>
    <row r="84" spans="1:24">
      <c r="A84" s="142" t="s">
        <v>129</v>
      </c>
      <c r="B84" s="141" t="s">
        <v>259</v>
      </c>
      <c r="C84" s="141" t="s">
        <v>21</v>
      </c>
      <c r="D84" s="1">
        <v>1</v>
      </c>
      <c r="E84" s="243">
        <v>2019</v>
      </c>
      <c r="F84" s="243"/>
      <c r="G84" s="219"/>
      <c r="H84" s="219"/>
      <c r="I84" s="219"/>
      <c r="J84" s="220"/>
      <c r="K84" s="221"/>
      <c r="L84" s="222"/>
      <c r="M84" s="227"/>
      <c r="N84" s="227"/>
      <c r="O84" s="227"/>
      <c r="P84" s="227"/>
      <c r="Q84" s="227"/>
      <c r="R84" s="231"/>
      <c r="S84" s="231"/>
      <c r="T84" s="246">
        <v>45870</v>
      </c>
      <c r="U84" s="250"/>
      <c r="V84" s="234"/>
      <c r="W84" s="234"/>
      <c r="X84" s="234"/>
    </row>
    <row r="85" spans="1:24">
      <c r="A85" s="142" t="s">
        <v>50</v>
      </c>
      <c r="B85" s="141" t="s">
        <v>259</v>
      </c>
      <c r="C85" s="141" t="s">
        <v>18</v>
      </c>
      <c r="D85" s="1">
        <v>1</v>
      </c>
      <c r="E85" s="244">
        <v>2017</v>
      </c>
      <c r="F85" s="244"/>
      <c r="G85" s="219"/>
      <c r="H85" s="219"/>
      <c r="I85" s="219"/>
      <c r="J85" s="147"/>
      <c r="K85" s="221"/>
      <c r="L85" s="222"/>
      <c r="M85" s="238"/>
      <c r="N85" s="227"/>
      <c r="O85" s="227"/>
      <c r="P85" s="227"/>
      <c r="Q85" s="227"/>
      <c r="R85" s="231"/>
      <c r="S85" s="231"/>
      <c r="T85" s="245">
        <v>45933</v>
      </c>
      <c r="U85" s="250"/>
      <c r="V85" s="234"/>
      <c r="W85" s="234"/>
      <c r="X85" s="234"/>
    </row>
    <row r="86" spans="1:24">
      <c r="A86" s="142" t="s">
        <v>50</v>
      </c>
      <c r="B86" s="141" t="s">
        <v>259</v>
      </c>
      <c r="C86" s="141" t="s">
        <v>21</v>
      </c>
      <c r="D86" s="1">
        <v>1</v>
      </c>
      <c r="E86" s="243">
        <v>2018</v>
      </c>
      <c r="F86" s="243"/>
      <c r="G86" s="219"/>
      <c r="H86" s="219"/>
      <c r="I86" s="219"/>
      <c r="J86" s="147"/>
      <c r="K86" s="221"/>
      <c r="L86" s="222"/>
      <c r="M86" s="238"/>
      <c r="N86" s="227"/>
      <c r="O86" s="227"/>
      <c r="P86" s="227"/>
      <c r="Q86" s="227"/>
      <c r="R86" s="231"/>
      <c r="S86" s="231"/>
      <c r="T86" s="245">
        <v>45933</v>
      </c>
      <c r="U86" s="250"/>
      <c r="V86" s="234"/>
      <c r="W86" s="234"/>
      <c r="X86" s="234"/>
    </row>
    <row r="87" spans="1:24">
      <c r="A87" s="142" t="s">
        <v>50</v>
      </c>
      <c r="B87" s="141" t="s">
        <v>259</v>
      </c>
      <c r="C87" s="141" t="s">
        <v>47</v>
      </c>
      <c r="D87" s="1">
        <v>1</v>
      </c>
      <c r="E87" s="244">
        <v>2018</v>
      </c>
      <c r="F87" s="244"/>
      <c r="G87" s="219"/>
      <c r="H87" s="219"/>
      <c r="I87" s="219"/>
      <c r="J87" s="147"/>
      <c r="K87" s="221"/>
      <c r="L87" s="222"/>
      <c r="M87" s="238"/>
      <c r="N87" s="227"/>
      <c r="O87" s="227"/>
      <c r="P87" s="227"/>
      <c r="Q87" s="227"/>
      <c r="R87" s="231"/>
      <c r="S87" s="231"/>
      <c r="T87" s="245">
        <v>45933</v>
      </c>
      <c r="U87" s="250"/>
      <c r="V87" s="234"/>
      <c r="W87" s="234"/>
      <c r="X87" s="234"/>
    </row>
    <row r="88" spans="1:24">
      <c r="A88" s="142" t="s">
        <v>285</v>
      </c>
      <c r="B88" s="141" t="s">
        <v>259</v>
      </c>
      <c r="C88" s="141" t="s">
        <v>18</v>
      </c>
      <c r="D88" s="1">
        <v>1</v>
      </c>
      <c r="E88" s="243">
        <v>2019</v>
      </c>
      <c r="F88" s="243"/>
      <c r="G88" s="219"/>
      <c r="H88" s="219"/>
      <c r="I88" s="219"/>
      <c r="J88" s="147"/>
      <c r="K88" s="221"/>
      <c r="L88" s="222"/>
      <c r="M88" s="238"/>
      <c r="N88" s="227"/>
      <c r="O88" s="227"/>
      <c r="P88" s="227"/>
      <c r="Q88" s="227"/>
      <c r="R88" s="231"/>
      <c r="S88" s="231"/>
      <c r="T88" s="246">
        <v>45717</v>
      </c>
      <c r="U88" s="250"/>
      <c r="V88" s="234"/>
      <c r="W88" s="234"/>
      <c r="X88" s="234"/>
    </row>
    <row r="89" spans="1:24">
      <c r="A89" s="142" t="s">
        <v>286</v>
      </c>
      <c r="B89" s="141" t="s">
        <v>259</v>
      </c>
      <c r="C89" s="141" t="s">
        <v>18</v>
      </c>
      <c r="D89" s="1">
        <v>1</v>
      </c>
      <c r="E89" s="244">
        <v>2009</v>
      </c>
      <c r="F89" s="244"/>
      <c r="G89" s="219"/>
      <c r="H89" s="219"/>
      <c r="I89" s="219"/>
      <c r="J89" s="147"/>
      <c r="K89" s="221"/>
      <c r="L89" s="222"/>
      <c r="M89" s="227"/>
      <c r="N89" s="227"/>
      <c r="O89" s="227"/>
      <c r="P89" s="227"/>
      <c r="Q89" s="227"/>
      <c r="R89" s="231"/>
      <c r="S89" s="231"/>
      <c r="T89" s="246">
        <v>45717</v>
      </c>
      <c r="U89" s="250"/>
      <c r="V89" s="234"/>
      <c r="W89" s="234"/>
      <c r="X89" s="234"/>
    </row>
    <row r="90" spans="1:24">
      <c r="A90" s="142" t="s">
        <v>286</v>
      </c>
      <c r="B90" s="141" t="s">
        <v>259</v>
      </c>
      <c r="C90" s="141" t="s">
        <v>21</v>
      </c>
      <c r="D90" s="1">
        <v>1</v>
      </c>
      <c r="E90" s="243">
        <v>2009</v>
      </c>
      <c r="F90" s="243"/>
      <c r="G90" s="219"/>
      <c r="H90" s="219"/>
      <c r="I90" s="219"/>
      <c r="J90" s="147"/>
      <c r="K90" s="221"/>
      <c r="L90" s="222"/>
      <c r="M90" s="227"/>
      <c r="N90" s="227"/>
      <c r="O90" s="227"/>
      <c r="P90" s="227"/>
      <c r="Q90" s="227"/>
      <c r="R90" s="231"/>
      <c r="S90" s="231"/>
      <c r="T90" s="246">
        <v>45717</v>
      </c>
      <c r="U90" s="250"/>
      <c r="V90" s="234"/>
      <c r="W90" s="234"/>
      <c r="X90" s="234"/>
    </row>
    <row r="91" spans="1:24">
      <c r="A91" s="142" t="s">
        <v>37</v>
      </c>
      <c r="B91" s="141" t="s">
        <v>259</v>
      </c>
      <c r="C91" s="141" t="s">
        <v>18</v>
      </c>
      <c r="D91" s="1">
        <v>1</v>
      </c>
      <c r="E91" s="244">
        <v>1999</v>
      </c>
      <c r="F91" s="244"/>
      <c r="G91" s="219"/>
      <c r="H91" s="219"/>
      <c r="I91" s="219"/>
      <c r="J91" s="147"/>
      <c r="K91" s="221"/>
      <c r="L91" s="222"/>
      <c r="M91" s="237" t="s">
        <v>265</v>
      </c>
      <c r="N91" s="236">
        <v>45973</v>
      </c>
      <c r="O91" s="227"/>
      <c r="P91" s="227"/>
      <c r="Q91" s="227"/>
      <c r="R91" s="231"/>
      <c r="S91" s="231"/>
      <c r="T91" s="236">
        <v>45973</v>
      </c>
      <c r="U91" s="250"/>
      <c r="V91" s="234"/>
      <c r="W91" s="234"/>
      <c r="X91" s="234"/>
    </row>
    <row r="92" spans="1:24">
      <c r="A92" s="142" t="s">
        <v>287</v>
      </c>
      <c r="B92" s="141" t="s">
        <v>277</v>
      </c>
      <c r="C92" s="141" t="s">
        <v>18</v>
      </c>
      <c r="D92" s="1">
        <v>1</v>
      </c>
      <c r="E92" s="243">
        <v>2015</v>
      </c>
      <c r="F92" s="243"/>
      <c r="G92" s="219"/>
      <c r="H92" s="219"/>
      <c r="I92" s="219"/>
      <c r="J92" s="147"/>
      <c r="K92" s="221"/>
      <c r="L92" s="222"/>
      <c r="M92" s="227"/>
      <c r="N92" s="227"/>
      <c r="O92" s="227"/>
      <c r="P92" s="227"/>
      <c r="Q92" s="227"/>
      <c r="R92" s="231"/>
      <c r="S92" s="231"/>
      <c r="T92" s="246">
        <v>45748</v>
      </c>
      <c r="U92" s="250"/>
      <c r="V92" s="234"/>
      <c r="W92" s="234"/>
      <c r="X92" s="234"/>
    </row>
    <row r="93" spans="1:24">
      <c r="A93" s="142" t="s">
        <v>287</v>
      </c>
      <c r="B93" s="141" t="s">
        <v>277</v>
      </c>
      <c r="C93" s="141" t="s">
        <v>49</v>
      </c>
      <c r="D93" s="1">
        <v>1</v>
      </c>
      <c r="E93" s="244">
        <v>2016</v>
      </c>
      <c r="F93" s="244"/>
      <c r="G93" s="219"/>
      <c r="H93" s="219"/>
      <c r="I93" s="219"/>
      <c r="J93" s="147"/>
      <c r="K93" s="221"/>
      <c r="L93" s="222"/>
      <c r="M93" s="227"/>
      <c r="N93" s="227"/>
      <c r="O93" s="227"/>
      <c r="P93" s="227"/>
      <c r="Q93" s="227"/>
      <c r="R93" s="231"/>
      <c r="S93" s="231"/>
      <c r="T93" s="246">
        <v>45748</v>
      </c>
      <c r="U93" s="250"/>
      <c r="V93" s="234"/>
      <c r="W93" s="234"/>
      <c r="X93" s="234"/>
    </row>
    <row r="94" spans="1:24">
      <c r="A94" s="142" t="s">
        <v>287</v>
      </c>
      <c r="B94" s="141" t="s">
        <v>277</v>
      </c>
      <c r="C94" s="141" t="s">
        <v>41</v>
      </c>
      <c r="D94" s="1">
        <v>1</v>
      </c>
      <c r="E94" s="243">
        <v>2016</v>
      </c>
      <c r="F94" s="243"/>
      <c r="G94" s="219"/>
      <c r="H94" s="219"/>
      <c r="I94" s="219"/>
      <c r="J94" s="147"/>
      <c r="K94" s="221"/>
      <c r="L94" s="222"/>
      <c r="M94" s="227"/>
      <c r="N94" s="227"/>
      <c r="O94" s="227"/>
      <c r="P94" s="227"/>
      <c r="Q94" s="227"/>
      <c r="R94" s="231"/>
      <c r="S94" s="231"/>
      <c r="T94" s="246">
        <v>45748</v>
      </c>
      <c r="U94" s="250"/>
      <c r="V94" s="234"/>
      <c r="W94" s="234"/>
      <c r="X94" s="234"/>
    </row>
    <row r="95" spans="1:24">
      <c r="A95" s="142" t="s">
        <v>287</v>
      </c>
      <c r="B95" s="141" t="s">
        <v>277</v>
      </c>
      <c r="C95" s="141" t="s">
        <v>64</v>
      </c>
      <c r="D95" s="1">
        <v>1</v>
      </c>
      <c r="E95" s="244">
        <v>2016</v>
      </c>
      <c r="F95" s="244"/>
      <c r="G95" s="219"/>
      <c r="H95" s="219"/>
      <c r="I95" s="219"/>
      <c r="J95" s="147"/>
      <c r="K95" s="221"/>
      <c r="L95" s="222"/>
      <c r="M95" s="227"/>
      <c r="N95" s="227"/>
      <c r="O95" s="227"/>
      <c r="P95" s="227"/>
      <c r="Q95" s="227"/>
      <c r="R95" s="231"/>
      <c r="S95" s="231"/>
      <c r="T95" s="246">
        <v>45748</v>
      </c>
      <c r="U95" s="250"/>
      <c r="V95" s="234"/>
      <c r="W95" s="234"/>
      <c r="X95" s="234"/>
    </row>
    <row r="96" spans="1:24">
      <c r="A96" s="142" t="s">
        <v>287</v>
      </c>
      <c r="B96" s="141" t="s">
        <v>277</v>
      </c>
      <c r="C96" s="141" t="s">
        <v>34</v>
      </c>
      <c r="D96" s="1">
        <v>1</v>
      </c>
      <c r="E96" s="243">
        <v>2016</v>
      </c>
      <c r="F96" s="243"/>
      <c r="G96" s="219"/>
      <c r="H96" s="219"/>
      <c r="I96" s="219"/>
      <c r="J96" s="147"/>
      <c r="K96" s="221"/>
      <c r="L96" s="222"/>
      <c r="M96" s="227"/>
      <c r="N96" s="227"/>
      <c r="O96" s="227"/>
      <c r="P96" s="227"/>
      <c r="Q96" s="227"/>
      <c r="R96" s="231"/>
      <c r="S96" s="231"/>
      <c r="T96" s="246">
        <v>45748</v>
      </c>
      <c r="U96" s="250"/>
      <c r="V96" s="234"/>
      <c r="W96" s="234"/>
      <c r="X96" s="234"/>
    </row>
    <row r="97" spans="1:24">
      <c r="A97" s="142" t="s">
        <v>287</v>
      </c>
      <c r="B97" s="141" t="s">
        <v>277</v>
      </c>
      <c r="C97" s="141" t="s">
        <v>43</v>
      </c>
      <c r="D97" s="1">
        <v>1</v>
      </c>
      <c r="E97" s="244">
        <v>2019</v>
      </c>
      <c r="F97" s="244"/>
      <c r="G97" s="219"/>
      <c r="H97" s="219"/>
      <c r="I97" s="219"/>
      <c r="J97" s="147"/>
      <c r="K97" s="221"/>
      <c r="L97" s="222"/>
      <c r="M97" s="227"/>
      <c r="N97" s="227"/>
      <c r="O97" s="227"/>
      <c r="P97" s="227"/>
      <c r="Q97" s="227"/>
      <c r="R97" s="231"/>
      <c r="S97" s="231"/>
      <c r="T97" s="246">
        <v>45748</v>
      </c>
      <c r="U97" s="250"/>
      <c r="V97" s="234"/>
      <c r="W97" s="234"/>
      <c r="X97" s="234"/>
    </row>
    <row r="98" spans="1:24">
      <c r="A98" s="142" t="s">
        <v>102</v>
      </c>
      <c r="B98" s="141" t="s">
        <v>259</v>
      </c>
      <c r="C98" s="141" t="s">
        <v>18</v>
      </c>
      <c r="D98" s="1">
        <v>1</v>
      </c>
      <c r="E98" s="243">
        <v>2017</v>
      </c>
      <c r="F98" s="243"/>
      <c r="G98" s="219"/>
      <c r="H98" s="219"/>
      <c r="I98" s="219"/>
      <c r="J98" s="220"/>
      <c r="K98" s="221"/>
      <c r="L98" s="222"/>
      <c r="M98" s="227"/>
      <c r="N98" s="227"/>
      <c r="O98" s="227"/>
      <c r="P98" s="227"/>
      <c r="Q98" s="227"/>
      <c r="R98" s="231"/>
      <c r="S98" s="231"/>
      <c r="T98" s="246">
        <v>45748</v>
      </c>
      <c r="U98" s="250"/>
      <c r="V98" s="234"/>
      <c r="W98" s="234"/>
      <c r="X98" s="234"/>
    </row>
    <row r="99" spans="1:24">
      <c r="A99" s="142" t="s">
        <v>51</v>
      </c>
      <c r="B99" s="141" t="s">
        <v>259</v>
      </c>
      <c r="C99" s="141" t="s">
        <v>18</v>
      </c>
      <c r="D99" s="1">
        <v>1</v>
      </c>
      <c r="E99" s="244">
        <v>2019</v>
      </c>
      <c r="F99" s="244"/>
      <c r="G99" s="219"/>
      <c r="H99" s="219"/>
      <c r="I99" s="219"/>
      <c r="J99" s="147"/>
      <c r="K99" s="221"/>
      <c r="L99" s="222"/>
      <c r="M99" s="227"/>
      <c r="N99" s="227"/>
      <c r="O99" s="227"/>
      <c r="P99" s="227"/>
      <c r="Q99" s="227"/>
      <c r="R99" s="231"/>
      <c r="S99" s="231"/>
      <c r="T99" s="246">
        <v>45748</v>
      </c>
      <c r="U99" s="250"/>
      <c r="V99" s="234"/>
      <c r="W99" s="234"/>
      <c r="X99" s="234"/>
    </row>
    <row r="100" spans="1:24">
      <c r="A100" s="142" t="s">
        <v>288</v>
      </c>
      <c r="B100" s="141" t="s">
        <v>259</v>
      </c>
      <c r="C100" s="141" t="s">
        <v>18</v>
      </c>
      <c r="D100" s="1">
        <v>1</v>
      </c>
      <c r="E100" s="243">
        <v>2015</v>
      </c>
      <c r="F100" s="243"/>
      <c r="G100" s="219"/>
      <c r="H100" s="219"/>
      <c r="I100" s="219"/>
      <c r="J100" s="147"/>
      <c r="K100" s="221"/>
      <c r="L100" s="222"/>
      <c r="M100" s="227"/>
      <c r="N100" s="227"/>
      <c r="O100" s="227"/>
      <c r="P100" s="227"/>
      <c r="Q100" s="227"/>
      <c r="R100" s="231"/>
      <c r="S100" s="231"/>
      <c r="T100" s="246">
        <v>45809</v>
      </c>
      <c r="U100" s="250"/>
      <c r="V100" s="234"/>
      <c r="W100" s="234"/>
      <c r="X100" s="234"/>
    </row>
    <row r="101" spans="1:24">
      <c r="A101" s="142" t="s">
        <v>288</v>
      </c>
      <c r="B101" s="141" t="s">
        <v>259</v>
      </c>
      <c r="C101" s="141" t="s">
        <v>21</v>
      </c>
      <c r="D101" s="1">
        <v>1</v>
      </c>
      <c r="E101" s="244">
        <v>2015</v>
      </c>
      <c r="F101" s="244"/>
      <c r="G101" s="219"/>
      <c r="H101" s="219"/>
      <c r="I101" s="219"/>
      <c r="J101" s="147"/>
      <c r="K101" s="221"/>
      <c r="L101" s="222"/>
      <c r="M101" s="227"/>
      <c r="N101" s="227"/>
      <c r="O101" s="227"/>
      <c r="P101" s="227"/>
      <c r="Q101" s="227"/>
      <c r="R101" s="231"/>
      <c r="S101" s="231"/>
      <c r="T101" s="246">
        <v>45809</v>
      </c>
      <c r="U101" s="250"/>
      <c r="V101" s="234"/>
      <c r="W101" s="234"/>
      <c r="X101" s="234"/>
    </row>
    <row r="102" spans="1:24">
      <c r="A102" s="142" t="s">
        <v>288</v>
      </c>
      <c r="B102" s="141" t="s">
        <v>259</v>
      </c>
      <c r="C102" s="141" t="s">
        <v>47</v>
      </c>
      <c r="D102" s="1">
        <v>1</v>
      </c>
      <c r="E102" s="243">
        <v>2015</v>
      </c>
      <c r="F102" s="243"/>
      <c r="G102" s="219"/>
      <c r="H102" s="219"/>
      <c r="I102" s="219"/>
      <c r="J102" s="147"/>
      <c r="K102" s="221"/>
      <c r="L102" s="222"/>
      <c r="M102" s="227"/>
      <c r="N102" s="227"/>
      <c r="O102" s="227"/>
      <c r="P102" s="227"/>
      <c r="Q102" s="227"/>
      <c r="R102" s="231"/>
      <c r="S102" s="231"/>
      <c r="T102" s="246">
        <v>45809</v>
      </c>
      <c r="U102" s="250"/>
      <c r="V102" s="234"/>
      <c r="W102" s="234"/>
      <c r="X102" s="234"/>
    </row>
    <row r="103" spans="1:24">
      <c r="A103" s="142" t="s">
        <v>100</v>
      </c>
      <c r="B103" s="141" t="s">
        <v>259</v>
      </c>
      <c r="C103" s="141" t="s">
        <v>18</v>
      </c>
      <c r="D103" s="1">
        <v>1</v>
      </c>
      <c r="E103" s="244">
        <v>2015</v>
      </c>
      <c r="F103" s="244"/>
      <c r="G103" s="219"/>
      <c r="H103" s="219"/>
      <c r="I103" s="219"/>
      <c r="J103" s="147"/>
      <c r="K103" s="221"/>
      <c r="L103" s="222"/>
      <c r="M103" s="227"/>
      <c r="N103" s="227"/>
      <c r="O103" s="227"/>
      <c r="P103" s="227"/>
      <c r="Q103" s="227"/>
      <c r="R103" s="231"/>
      <c r="S103" s="231"/>
      <c r="T103" s="246">
        <v>45717</v>
      </c>
      <c r="U103" s="250"/>
      <c r="V103" s="234"/>
      <c r="W103" s="234"/>
      <c r="X103" s="234"/>
    </row>
    <row r="104" spans="1:24">
      <c r="A104" s="142" t="s">
        <v>125</v>
      </c>
      <c r="B104" s="141" t="s">
        <v>259</v>
      </c>
      <c r="C104" s="141" t="s">
        <v>18</v>
      </c>
      <c r="D104" s="1">
        <v>1</v>
      </c>
      <c r="E104" s="243">
        <v>2005</v>
      </c>
      <c r="F104" s="243"/>
      <c r="G104" s="219"/>
      <c r="H104" s="219"/>
      <c r="I104" s="219"/>
      <c r="J104" s="147"/>
      <c r="K104" s="221"/>
      <c r="L104" s="222"/>
      <c r="M104" s="237" t="s">
        <v>272</v>
      </c>
      <c r="N104" s="236">
        <v>45973</v>
      </c>
      <c r="O104" s="227"/>
      <c r="P104" s="227"/>
      <c r="Q104" s="227"/>
      <c r="R104" s="231"/>
      <c r="S104" s="231"/>
      <c r="T104" s="236">
        <v>45973</v>
      </c>
      <c r="U104" s="250"/>
      <c r="V104" s="234"/>
      <c r="W104" s="234"/>
      <c r="X104" s="234"/>
    </row>
    <row r="105" spans="1:24">
      <c r="A105" s="142" t="s">
        <v>289</v>
      </c>
      <c r="B105" s="141" t="s">
        <v>277</v>
      </c>
      <c r="C105" s="141" t="s">
        <v>18</v>
      </c>
      <c r="D105" s="1">
        <v>1</v>
      </c>
      <c r="E105" s="244">
        <v>2021</v>
      </c>
      <c r="F105" s="244"/>
      <c r="G105" s="219"/>
      <c r="H105" s="219"/>
      <c r="I105" s="219"/>
      <c r="J105" s="147"/>
      <c r="K105" s="221"/>
      <c r="L105" s="222"/>
      <c r="M105" s="227"/>
      <c r="N105" s="227"/>
      <c r="O105" s="227"/>
      <c r="P105" s="227"/>
      <c r="Q105" s="227"/>
      <c r="R105" s="231"/>
      <c r="S105" s="231"/>
      <c r="T105" s="246">
        <v>45748</v>
      </c>
      <c r="U105" s="250"/>
      <c r="V105" s="234"/>
      <c r="W105" s="234"/>
      <c r="X105" s="234"/>
    </row>
    <row r="106" spans="1:24">
      <c r="A106" s="142" t="s">
        <v>126</v>
      </c>
      <c r="B106" s="141" t="s">
        <v>259</v>
      </c>
      <c r="C106" s="141" t="s">
        <v>261</v>
      </c>
      <c r="D106" s="1">
        <v>1</v>
      </c>
      <c r="E106" s="243">
        <v>2020</v>
      </c>
      <c r="F106" s="243"/>
      <c r="G106" s="219"/>
      <c r="H106" s="219"/>
      <c r="I106" s="219"/>
      <c r="J106" s="147"/>
      <c r="K106" s="221"/>
      <c r="L106" s="222"/>
      <c r="M106" s="227"/>
      <c r="N106" s="227"/>
      <c r="O106" s="227"/>
      <c r="P106" s="227"/>
      <c r="Q106" s="227"/>
      <c r="R106" s="231"/>
      <c r="S106" s="231"/>
      <c r="T106" s="246">
        <v>45658</v>
      </c>
      <c r="U106" s="250"/>
      <c r="V106" s="234"/>
      <c r="W106" s="234"/>
      <c r="X106" s="234"/>
    </row>
    <row r="107" spans="1:24">
      <c r="A107" s="142" t="s">
        <v>62</v>
      </c>
      <c r="B107" s="141" t="s">
        <v>259</v>
      </c>
      <c r="C107" s="141" t="s">
        <v>18</v>
      </c>
      <c r="D107" s="1">
        <v>1</v>
      </c>
      <c r="E107" s="244">
        <v>2001</v>
      </c>
      <c r="F107" s="244"/>
      <c r="G107" s="219"/>
      <c r="H107" s="219"/>
      <c r="I107" s="219"/>
      <c r="J107" s="147"/>
      <c r="K107" s="221"/>
      <c r="L107" s="222"/>
      <c r="M107" s="237" t="s">
        <v>290</v>
      </c>
      <c r="N107" s="236">
        <v>45983</v>
      </c>
      <c r="O107" s="227"/>
      <c r="P107" s="227"/>
      <c r="Q107" s="227"/>
      <c r="R107" s="231"/>
      <c r="S107" s="231"/>
      <c r="T107" s="236">
        <v>45983</v>
      </c>
      <c r="U107" s="250"/>
      <c r="V107" s="234"/>
      <c r="W107" s="234"/>
      <c r="X107" s="234"/>
    </row>
    <row r="108" spans="1:24">
      <c r="A108" s="142" t="s">
        <v>131</v>
      </c>
      <c r="B108" s="141" t="s">
        <v>259</v>
      </c>
      <c r="C108" s="141" t="s">
        <v>18</v>
      </c>
      <c r="D108" s="1">
        <v>1</v>
      </c>
      <c r="E108" s="243">
        <v>2003</v>
      </c>
      <c r="F108" s="243"/>
      <c r="G108" s="219"/>
      <c r="H108" s="219"/>
      <c r="I108" s="219"/>
      <c r="J108" s="147"/>
      <c r="K108" s="221"/>
      <c r="L108" s="222"/>
      <c r="M108" s="237" t="s">
        <v>272</v>
      </c>
      <c r="N108" s="236">
        <v>45989</v>
      </c>
      <c r="O108" s="227"/>
      <c r="P108" s="227"/>
      <c r="Q108" s="227"/>
      <c r="R108" s="231"/>
      <c r="S108" s="231"/>
      <c r="T108" s="245">
        <v>45933</v>
      </c>
      <c r="U108" s="250"/>
      <c r="V108" s="234"/>
      <c r="W108" s="234"/>
      <c r="X108" s="234"/>
    </row>
    <row r="109" spans="1:24">
      <c r="A109" s="142" t="s">
        <v>66</v>
      </c>
      <c r="B109" s="141" t="s">
        <v>259</v>
      </c>
      <c r="C109" s="141" t="s">
        <v>18</v>
      </c>
      <c r="D109" s="1">
        <v>1</v>
      </c>
      <c r="E109" s="244">
        <v>2016</v>
      </c>
      <c r="F109" s="244"/>
      <c r="G109" s="219"/>
      <c r="H109" s="219"/>
      <c r="I109" s="219"/>
      <c r="J109" s="147"/>
      <c r="K109" s="221"/>
      <c r="L109" s="222"/>
      <c r="M109" s="227"/>
      <c r="N109" s="227"/>
      <c r="O109" s="227"/>
      <c r="P109" s="227"/>
      <c r="Q109" s="227"/>
      <c r="R109" s="231"/>
      <c r="S109" s="231"/>
      <c r="T109" s="246">
        <v>45689</v>
      </c>
      <c r="U109" s="250"/>
      <c r="V109" s="234"/>
      <c r="W109" s="234"/>
      <c r="X109" s="234"/>
    </row>
    <row r="110" spans="1:24">
      <c r="A110" s="142" t="s">
        <v>162</v>
      </c>
      <c r="B110" s="141" t="s">
        <v>259</v>
      </c>
      <c r="C110" s="141" t="s">
        <v>261</v>
      </c>
      <c r="D110" s="1">
        <v>1</v>
      </c>
      <c r="E110" s="243">
        <v>2022</v>
      </c>
      <c r="F110" s="243"/>
      <c r="G110" s="219"/>
      <c r="H110" s="219"/>
      <c r="I110" s="219"/>
      <c r="J110" s="147"/>
      <c r="K110" s="221"/>
      <c r="L110" s="222"/>
      <c r="M110" s="227"/>
      <c r="N110" s="227"/>
      <c r="O110" s="227"/>
      <c r="P110" s="227"/>
      <c r="Q110" s="227"/>
      <c r="R110" s="231"/>
      <c r="S110" s="231"/>
      <c r="T110" s="246">
        <v>45658</v>
      </c>
      <c r="U110" s="250"/>
      <c r="V110" s="234"/>
      <c r="W110" s="234"/>
      <c r="X110" s="234"/>
    </row>
    <row r="111" spans="1:24">
      <c r="A111" s="142" t="s">
        <v>291</v>
      </c>
      <c r="B111" s="141" t="s">
        <v>259</v>
      </c>
      <c r="C111" s="141" t="s">
        <v>47</v>
      </c>
      <c r="D111" s="1">
        <v>1</v>
      </c>
      <c r="E111" s="244">
        <v>2016</v>
      </c>
      <c r="F111" s="244"/>
      <c r="G111" s="219"/>
      <c r="H111" s="219"/>
      <c r="I111" s="219"/>
      <c r="J111" s="147"/>
      <c r="K111" s="221"/>
      <c r="L111" s="222"/>
      <c r="M111" s="227"/>
      <c r="N111" s="227"/>
      <c r="O111" s="227"/>
      <c r="P111" s="227"/>
      <c r="Q111" s="227"/>
      <c r="R111" s="231"/>
      <c r="S111" s="231"/>
      <c r="T111" s="246">
        <v>45870</v>
      </c>
      <c r="U111" s="250"/>
      <c r="V111" s="234"/>
      <c r="W111" s="234"/>
      <c r="X111" s="234"/>
    </row>
    <row r="112" spans="1:24">
      <c r="A112" s="142" t="s">
        <v>291</v>
      </c>
      <c r="B112" s="141" t="s">
        <v>259</v>
      </c>
      <c r="C112" s="141" t="s">
        <v>53</v>
      </c>
      <c r="D112" s="1">
        <v>1</v>
      </c>
      <c r="E112" s="243">
        <v>2016</v>
      </c>
      <c r="F112" s="243"/>
      <c r="G112" s="219"/>
      <c r="H112" s="219"/>
      <c r="I112" s="219"/>
      <c r="J112" s="147"/>
      <c r="K112" s="221"/>
      <c r="L112" s="222"/>
      <c r="M112" s="227"/>
      <c r="N112" s="227"/>
      <c r="O112" s="227"/>
      <c r="P112" s="227"/>
      <c r="Q112" s="227"/>
      <c r="R112" s="231"/>
      <c r="S112" s="231"/>
      <c r="T112" s="246">
        <v>45870</v>
      </c>
      <c r="U112" s="250"/>
      <c r="V112" s="234"/>
      <c r="W112" s="234"/>
      <c r="X112" s="234"/>
    </row>
    <row r="113" spans="1:24">
      <c r="A113" s="142" t="s">
        <v>67</v>
      </c>
      <c r="B113" s="141" t="s">
        <v>259</v>
      </c>
      <c r="C113" s="141" t="s">
        <v>18</v>
      </c>
      <c r="D113" s="1">
        <v>1</v>
      </c>
      <c r="E113" s="244">
        <v>2013</v>
      </c>
      <c r="F113" s="244"/>
      <c r="G113" s="219"/>
      <c r="H113" s="219"/>
      <c r="I113" s="219"/>
      <c r="J113" s="147"/>
      <c r="K113" s="221"/>
      <c r="L113" s="222"/>
      <c r="M113" s="227"/>
      <c r="N113" s="227"/>
      <c r="O113" s="227"/>
      <c r="P113" s="227"/>
      <c r="Q113" s="227"/>
      <c r="R113" s="231"/>
      <c r="S113" s="231"/>
      <c r="T113" s="246">
        <v>45839</v>
      </c>
      <c r="U113" s="250"/>
      <c r="V113" s="234"/>
      <c r="W113" s="234"/>
      <c r="X113" s="234"/>
    </row>
    <row r="114" spans="1:24">
      <c r="A114" s="142" t="s">
        <v>292</v>
      </c>
      <c r="B114" s="141" t="s">
        <v>277</v>
      </c>
      <c r="C114" s="141" t="s">
        <v>293</v>
      </c>
      <c r="D114" s="1">
        <v>1</v>
      </c>
      <c r="E114" s="243">
        <v>2016</v>
      </c>
      <c r="F114" s="243"/>
      <c r="G114" s="219"/>
      <c r="H114" s="219"/>
      <c r="I114" s="219"/>
      <c r="J114" s="147"/>
      <c r="K114" s="221"/>
      <c r="L114" s="222"/>
      <c r="M114" s="227"/>
      <c r="N114" s="227"/>
      <c r="O114" s="227"/>
      <c r="P114" s="227"/>
      <c r="Q114" s="227"/>
      <c r="R114" s="231"/>
      <c r="S114" s="231"/>
      <c r="T114" s="246">
        <v>45748</v>
      </c>
      <c r="U114" s="250"/>
      <c r="V114" s="234"/>
      <c r="W114" s="234"/>
      <c r="X114" s="234"/>
    </row>
    <row r="115" spans="1:24">
      <c r="A115" s="142" t="s">
        <v>294</v>
      </c>
      <c r="B115" s="141" t="s">
        <v>259</v>
      </c>
      <c r="C115" s="141" t="s">
        <v>147</v>
      </c>
      <c r="D115" s="1">
        <v>1</v>
      </c>
      <c r="E115" s="244">
        <v>2003</v>
      </c>
      <c r="F115" s="244"/>
      <c r="G115" s="219"/>
      <c r="H115" s="219"/>
      <c r="I115" s="219"/>
      <c r="J115" s="220"/>
      <c r="K115" s="221"/>
      <c r="L115" s="222"/>
      <c r="M115" s="237" t="s">
        <v>265</v>
      </c>
      <c r="N115" s="236">
        <v>45987</v>
      </c>
      <c r="O115" s="227"/>
      <c r="P115" s="227"/>
      <c r="Q115" s="227"/>
      <c r="R115" s="231"/>
      <c r="S115" s="231"/>
      <c r="T115" s="245">
        <v>45929</v>
      </c>
      <c r="U115" s="250"/>
      <c r="V115" s="234"/>
      <c r="W115" s="234"/>
      <c r="X115" s="234"/>
    </row>
    <row r="116" spans="1:24">
      <c r="A116" s="142" t="s">
        <v>294</v>
      </c>
      <c r="B116" s="141" t="s">
        <v>259</v>
      </c>
      <c r="C116" s="141" t="s">
        <v>148</v>
      </c>
      <c r="D116" s="1">
        <v>1</v>
      </c>
      <c r="E116" s="243">
        <v>2003</v>
      </c>
      <c r="F116" s="243"/>
      <c r="G116" s="219"/>
      <c r="H116" s="219"/>
      <c r="I116" s="219"/>
      <c r="J116" s="220"/>
      <c r="K116" s="221"/>
      <c r="L116" s="222"/>
      <c r="M116" s="237" t="s">
        <v>265</v>
      </c>
      <c r="N116" s="236">
        <v>45987</v>
      </c>
      <c r="O116" s="227"/>
      <c r="P116" s="227"/>
      <c r="Q116" s="227"/>
      <c r="R116" s="231"/>
      <c r="S116" s="231"/>
      <c r="T116" s="245">
        <v>45929</v>
      </c>
      <c r="U116" s="250"/>
      <c r="V116" s="234"/>
      <c r="W116" s="234"/>
      <c r="X116" s="234"/>
    </row>
    <row r="117" spans="1:24">
      <c r="A117" s="142" t="s">
        <v>294</v>
      </c>
      <c r="B117" s="141" t="s">
        <v>259</v>
      </c>
      <c r="C117" s="141" t="s">
        <v>18</v>
      </c>
      <c r="D117" s="1">
        <v>1</v>
      </c>
      <c r="E117" s="244">
        <v>2003</v>
      </c>
      <c r="F117" s="244"/>
      <c r="G117" s="219"/>
      <c r="H117" s="219"/>
      <c r="I117" s="219"/>
      <c r="J117" s="220"/>
      <c r="K117" s="221"/>
      <c r="L117" s="222"/>
      <c r="M117" s="237" t="s">
        <v>265</v>
      </c>
      <c r="N117" s="236">
        <v>45988</v>
      </c>
      <c r="O117" s="227"/>
      <c r="P117" s="227"/>
      <c r="Q117" s="227"/>
      <c r="R117" s="231"/>
      <c r="S117" s="231"/>
      <c r="T117" s="245">
        <v>45929</v>
      </c>
      <c r="U117" s="250"/>
      <c r="V117" s="234"/>
      <c r="W117" s="234"/>
      <c r="X117" s="234"/>
    </row>
    <row r="118" spans="1:24">
      <c r="A118" s="142" t="s">
        <v>294</v>
      </c>
      <c r="B118" s="141" t="s">
        <v>259</v>
      </c>
      <c r="C118" s="141" t="s">
        <v>21</v>
      </c>
      <c r="D118" s="1">
        <v>1</v>
      </c>
      <c r="E118" s="243">
        <v>2003</v>
      </c>
      <c r="F118" s="243"/>
      <c r="G118" s="219"/>
      <c r="H118" s="219"/>
      <c r="I118" s="219"/>
      <c r="J118" s="220"/>
      <c r="K118" s="221"/>
      <c r="L118" s="222"/>
      <c r="M118" s="237" t="s">
        <v>265</v>
      </c>
      <c r="N118" s="236">
        <v>45988</v>
      </c>
      <c r="O118" s="227"/>
      <c r="P118" s="227"/>
      <c r="Q118" s="227"/>
      <c r="R118" s="231"/>
      <c r="S118" s="231"/>
      <c r="T118" s="245">
        <v>45929</v>
      </c>
      <c r="U118" s="250"/>
      <c r="V118" s="234"/>
      <c r="W118" s="234"/>
      <c r="X118" s="234"/>
    </row>
    <row r="119" spans="1:24">
      <c r="A119" s="142" t="s">
        <v>295</v>
      </c>
      <c r="B119" s="141" t="s">
        <v>277</v>
      </c>
      <c r="C119" s="141" t="s">
        <v>18</v>
      </c>
      <c r="D119" s="1">
        <v>1</v>
      </c>
      <c r="E119" s="244">
        <v>2019</v>
      </c>
      <c r="F119" s="244"/>
      <c r="G119" s="219"/>
      <c r="H119" s="219"/>
      <c r="I119" s="219"/>
      <c r="J119" s="147"/>
      <c r="K119" s="221"/>
      <c r="L119" s="222"/>
      <c r="M119" s="227"/>
      <c r="N119" s="227"/>
      <c r="O119" s="227"/>
      <c r="P119" s="227"/>
      <c r="Q119" s="227"/>
      <c r="R119" s="231"/>
      <c r="S119" s="231"/>
      <c r="T119" s="246">
        <v>45992</v>
      </c>
      <c r="U119" s="250"/>
      <c r="V119" s="234"/>
      <c r="W119" s="234"/>
      <c r="X119" s="234"/>
    </row>
    <row r="120" spans="1:24">
      <c r="A120" s="142" t="s">
        <v>111</v>
      </c>
      <c r="B120" s="141" t="s">
        <v>259</v>
      </c>
      <c r="C120" s="141" t="s">
        <v>261</v>
      </c>
      <c r="D120" s="1">
        <v>1</v>
      </c>
      <c r="E120" s="243">
        <v>2015</v>
      </c>
      <c r="F120" s="243"/>
      <c r="G120" s="219"/>
      <c r="H120" s="219"/>
      <c r="I120" s="219"/>
      <c r="J120" s="147"/>
      <c r="K120" s="221"/>
      <c r="L120" s="222"/>
      <c r="M120" s="227"/>
      <c r="N120" s="227"/>
      <c r="O120" s="227"/>
      <c r="P120" s="227"/>
      <c r="Q120" s="227"/>
      <c r="R120" s="231"/>
      <c r="S120" s="231"/>
      <c r="T120" s="246">
        <v>45658</v>
      </c>
      <c r="U120" s="250"/>
      <c r="V120" s="234"/>
      <c r="W120" s="234"/>
      <c r="X120" s="234"/>
    </row>
    <row r="121" spans="1:24">
      <c r="A121" s="142" t="s">
        <v>106</v>
      </c>
      <c r="B121" s="141" t="s">
        <v>259</v>
      </c>
      <c r="C121" s="141" t="s">
        <v>18</v>
      </c>
      <c r="D121" s="1">
        <v>1</v>
      </c>
      <c r="E121" s="244">
        <v>2025</v>
      </c>
      <c r="F121" s="244"/>
      <c r="G121" s="219"/>
      <c r="H121" s="219"/>
      <c r="I121" s="219"/>
      <c r="J121" s="147"/>
      <c r="K121" s="221"/>
      <c r="L121" s="222"/>
      <c r="M121" s="227"/>
      <c r="N121" s="227"/>
      <c r="O121" s="227"/>
      <c r="P121" s="227"/>
      <c r="Q121" s="227"/>
      <c r="R121" s="231"/>
      <c r="S121" s="231"/>
      <c r="T121" s="245">
        <v>45930</v>
      </c>
      <c r="U121" s="250"/>
      <c r="V121" s="234"/>
      <c r="W121" s="234"/>
      <c r="X121" s="234"/>
    </row>
    <row r="122" spans="1:24">
      <c r="A122" s="142" t="s">
        <v>106</v>
      </c>
      <c r="B122" s="141" t="s">
        <v>259</v>
      </c>
      <c r="C122" s="141" t="s">
        <v>21</v>
      </c>
      <c r="D122" s="1">
        <v>1</v>
      </c>
      <c r="E122" s="243">
        <v>2025</v>
      </c>
      <c r="F122" s="243"/>
      <c r="G122" s="219"/>
      <c r="H122" s="219"/>
      <c r="I122" s="219"/>
      <c r="J122" s="147"/>
      <c r="K122" s="221"/>
      <c r="L122" s="222"/>
      <c r="M122" s="227"/>
      <c r="N122" s="227"/>
      <c r="O122" s="227"/>
      <c r="P122" s="227"/>
      <c r="Q122" s="227"/>
      <c r="R122" s="231"/>
      <c r="S122" s="231"/>
      <c r="T122" s="245">
        <v>45930</v>
      </c>
      <c r="U122" s="250"/>
      <c r="V122" s="234"/>
      <c r="W122" s="234"/>
      <c r="X122" s="234"/>
    </row>
    <row r="123" spans="1:24">
      <c r="A123" s="142" t="s">
        <v>106</v>
      </c>
      <c r="B123" s="141" t="s">
        <v>259</v>
      </c>
      <c r="C123" s="141" t="s">
        <v>49</v>
      </c>
      <c r="D123" s="1">
        <v>1</v>
      </c>
      <c r="E123" s="244">
        <v>2025</v>
      </c>
      <c r="F123" s="244"/>
      <c r="G123" s="219"/>
      <c r="H123" s="219"/>
      <c r="I123" s="219"/>
      <c r="J123" s="147"/>
      <c r="K123" s="221"/>
      <c r="L123" s="222"/>
      <c r="M123" s="227"/>
      <c r="N123" s="227"/>
      <c r="O123" s="227"/>
      <c r="P123" s="227"/>
      <c r="Q123" s="227"/>
      <c r="R123" s="231"/>
      <c r="S123" s="231"/>
      <c r="T123" s="245">
        <v>45930</v>
      </c>
      <c r="U123" s="250"/>
      <c r="V123" s="234"/>
      <c r="W123" s="234"/>
      <c r="X123" s="234"/>
    </row>
    <row r="124" spans="1:24">
      <c r="A124" s="142" t="s">
        <v>106</v>
      </c>
      <c r="B124" s="141" t="s">
        <v>259</v>
      </c>
      <c r="C124" s="141" t="s">
        <v>41</v>
      </c>
      <c r="D124" s="1">
        <v>1</v>
      </c>
      <c r="E124" s="243">
        <v>2025</v>
      </c>
      <c r="F124" s="243"/>
      <c r="G124" s="219"/>
      <c r="H124" s="219"/>
      <c r="I124" s="219"/>
      <c r="J124" s="147"/>
      <c r="K124" s="221"/>
      <c r="L124" s="222"/>
      <c r="M124" s="227"/>
      <c r="N124" s="227"/>
      <c r="O124" s="227"/>
      <c r="P124" s="227"/>
      <c r="Q124" s="227"/>
      <c r="R124" s="231"/>
      <c r="S124" s="231"/>
      <c r="T124" s="245">
        <v>45930</v>
      </c>
      <c r="U124" s="250"/>
      <c r="V124" s="234"/>
      <c r="W124" s="234"/>
      <c r="X124" s="234"/>
    </row>
    <row r="125" spans="1:24">
      <c r="A125" s="142" t="s">
        <v>106</v>
      </c>
      <c r="B125" s="141" t="s">
        <v>259</v>
      </c>
      <c r="C125" s="141" t="s">
        <v>47</v>
      </c>
      <c r="D125" s="1">
        <v>1</v>
      </c>
      <c r="E125" s="244">
        <v>2025</v>
      </c>
      <c r="F125" s="244"/>
      <c r="G125" s="219"/>
      <c r="H125" s="219"/>
      <c r="I125" s="219"/>
      <c r="J125" s="147"/>
      <c r="K125" s="221"/>
      <c r="L125" s="222"/>
      <c r="M125" s="227"/>
      <c r="N125" s="227"/>
      <c r="O125" s="227"/>
      <c r="P125" s="227"/>
      <c r="Q125" s="227"/>
      <c r="R125" s="231"/>
      <c r="S125" s="231"/>
      <c r="T125" s="245">
        <v>45930</v>
      </c>
      <c r="U125" s="250"/>
      <c r="V125" s="234"/>
      <c r="W125" s="234"/>
      <c r="X125" s="234"/>
    </row>
    <row r="126" spans="1:24">
      <c r="A126" s="142" t="s">
        <v>106</v>
      </c>
      <c r="B126" s="141" t="s">
        <v>259</v>
      </c>
      <c r="C126" s="141" t="s">
        <v>53</v>
      </c>
      <c r="D126" s="1">
        <v>1</v>
      </c>
      <c r="E126" s="243">
        <v>2025</v>
      </c>
      <c r="F126" s="243"/>
      <c r="G126" s="219"/>
      <c r="H126" s="219"/>
      <c r="I126" s="219"/>
      <c r="J126" s="147"/>
      <c r="K126" s="221"/>
      <c r="L126" s="222"/>
      <c r="M126" s="227"/>
      <c r="N126" s="227"/>
      <c r="O126" s="227"/>
      <c r="P126" s="227"/>
      <c r="Q126" s="227"/>
      <c r="R126" s="231"/>
      <c r="S126" s="231"/>
      <c r="T126" s="245">
        <v>45930</v>
      </c>
      <c r="U126" s="250"/>
      <c r="V126" s="234"/>
      <c r="W126" s="234"/>
      <c r="X126" s="234"/>
    </row>
    <row r="127" spans="1:24">
      <c r="A127" s="142" t="s">
        <v>74</v>
      </c>
      <c r="B127" s="141" t="s">
        <v>259</v>
      </c>
      <c r="C127" s="141" t="s">
        <v>18</v>
      </c>
      <c r="D127" s="1">
        <v>1</v>
      </c>
      <c r="E127" s="244">
        <v>2018</v>
      </c>
      <c r="F127" s="244"/>
      <c r="G127" s="219"/>
      <c r="H127" s="219"/>
      <c r="I127" s="219"/>
      <c r="J127" s="147"/>
      <c r="K127" s="221"/>
      <c r="L127" s="222"/>
      <c r="M127" s="227"/>
      <c r="N127" s="227"/>
      <c r="O127" s="227"/>
      <c r="P127" s="227"/>
      <c r="Q127" s="227"/>
      <c r="R127" s="231"/>
      <c r="S127" s="231"/>
      <c r="T127" s="246">
        <v>45748</v>
      </c>
      <c r="U127" s="250"/>
      <c r="V127" s="234"/>
      <c r="W127" s="234"/>
      <c r="X127" s="234"/>
    </row>
    <row r="128" spans="1:24">
      <c r="A128" s="142" t="s">
        <v>74</v>
      </c>
      <c r="B128" s="141" t="s">
        <v>259</v>
      </c>
      <c r="C128" s="141" t="s">
        <v>21</v>
      </c>
      <c r="D128" s="1">
        <v>1</v>
      </c>
      <c r="E128" s="243">
        <v>2018</v>
      </c>
      <c r="F128" s="243"/>
      <c r="G128" s="219"/>
      <c r="H128" s="219"/>
      <c r="I128" s="219"/>
      <c r="J128" s="147"/>
      <c r="K128" s="221"/>
      <c r="L128" s="222"/>
      <c r="M128" s="227"/>
      <c r="N128" s="227"/>
      <c r="O128" s="227"/>
      <c r="P128" s="227"/>
      <c r="Q128" s="227"/>
      <c r="R128" s="231"/>
      <c r="S128" s="231"/>
      <c r="T128" s="246">
        <v>45748</v>
      </c>
      <c r="U128" s="250"/>
      <c r="V128" s="234"/>
      <c r="W128" s="234"/>
      <c r="X128" s="234"/>
    </row>
    <row r="129" spans="1:24">
      <c r="A129" s="142" t="s">
        <v>74</v>
      </c>
      <c r="B129" s="141" t="s">
        <v>259</v>
      </c>
      <c r="C129" s="141" t="s">
        <v>49</v>
      </c>
      <c r="D129" s="1">
        <v>1</v>
      </c>
      <c r="E129" s="244">
        <v>2018</v>
      </c>
      <c r="F129" s="244"/>
      <c r="G129" s="219"/>
      <c r="H129" s="219"/>
      <c r="I129" s="219"/>
      <c r="J129" s="147"/>
      <c r="K129" s="221"/>
      <c r="L129" s="222"/>
      <c r="M129" s="227"/>
      <c r="N129" s="227"/>
      <c r="O129" s="227"/>
      <c r="P129" s="227"/>
      <c r="Q129" s="227"/>
      <c r="R129" s="231"/>
      <c r="S129" s="231"/>
      <c r="T129" s="246">
        <v>45748</v>
      </c>
      <c r="U129" s="250"/>
      <c r="V129" s="234"/>
      <c r="W129" s="234"/>
      <c r="X129" s="234"/>
    </row>
    <row r="130" spans="1:24">
      <c r="A130" s="142" t="s">
        <v>74</v>
      </c>
      <c r="B130" s="141" t="s">
        <v>259</v>
      </c>
      <c r="C130" s="141" t="s">
        <v>41</v>
      </c>
      <c r="D130" s="1">
        <v>1</v>
      </c>
      <c r="E130" s="243">
        <v>2019</v>
      </c>
      <c r="F130" s="243"/>
      <c r="G130" s="219"/>
      <c r="H130" s="219"/>
      <c r="I130" s="219"/>
      <c r="J130" s="147"/>
      <c r="K130" s="221"/>
      <c r="L130" s="222"/>
      <c r="M130" s="227"/>
      <c r="N130" s="227"/>
      <c r="O130" s="227"/>
      <c r="P130" s="227"/>
      <c r="Q130" s="227"/>
      <c r="R130" s="231"/>
      <c r="S130" s="231"/>
      <c r="T130" s="246">
        <v>45748</v>
      </c>
      <c r="U130" s="250"/>
      <c r="V130" s="234"/>
      <c r="W130" s="234"/>
      <c r="X130" s="234"/>
    </row>
    <row r="131" spans="1:24">
      <c r="A131" s="142" t="s">
        <v>74</v>
      </c>
      <c r="B131" s="141" t="s">
        <v>259</v>
      </c>
      <c r="C131" s="141" t="s">
        <v>42</v>
      </c>
      <c r="D131" s="1">
        <v>1</v>
      </c>
      <c r="E131" s="244">
        <v>2019</v>
      </c>
      <c r="F131" s="244"/>
      <c r="G131" s="219"/>
      <c r="H131" s="219"/>
      <c r="I131" s="219"/>
      <c r="J131" s="147"/>
      <c r="K131" s="221"/>
      <c r="L131" s="222"/>
      <c r="M131" s="227"/>
      <c r="N131" s="227"/>
      <c r="O131" s="227"/>
      <c r="P131" s="227"/>
      <c r="Q131" s="227"/>
      <c r="R131" s="231"/>
      <c r="S131" s="231"/>
      <c r="T131" s="246">
        <v>45748</v>
      </c>
      <c r="U131" s="250"/>
      <c r="V131" s="234"/>
      <c r="W131" s="234"/>
      <c r="X131" s="234"/>
    </row>
    <row r="132" spans="1:24">
      <c r="A132" s="142" t="s">
        <v>74</v>
      </c>
      <c r="B132" s="141" t="s">
        <v>259</v>
      </c>
      <c r="C132" s="141" t="s">
        <v>47</v>
      </c>
      <c r="D132" s="1">
        <v>1</v>
      </c>
      <c r="E132" s="243">
        <v>2019</v>
      </c>
      <c r="F132" s="243"/>
      <c r="G132" s="219"/>
      <c r="H132" s="219"/>
      <c r="I132" s="219"/>
      <c r="J132" s="147"/>
      <c r="K132" s="221"/>
      <c r="L132" s="222"/>
      <c r="M132" s="227"/>
      <c r="N132" s="227"/>
      <c r="O132" s="227"/>
      <c r="P132" s="227"/>
      <c r="Q132" s="227"/>
      <c r="R132" s="231"/>
      <c r="S132" s="231"/>
      <c r="T132" s="246">
        <v>45748</v>
      </c>
      <c r="U132" s="250"/>
      <c r="V132" s="234"/>
      <c r="W132" s="234"/>
      <c r="X132" s="234"/>
    </row>
    <row r="133" spans="1:24">
      <c r="A133" s="142" t="s">
        <v>74</v>
      </c>
      <c r="B133" s="141" t="s">
        <v>259</v>
      </c>
      <c r="C133" s="141" t="s">
        <v>53</v>
      </c>
      <c r="D133" s="1">
        <v>1</v>
      </c>
      <c r="E133" s="244">
        <v>2019</v>
      </c>
      <c r="F133" s="244"/>
      <c r="G133" s="219"/>
      <c r="H133" s="219"/>
      <c r="I133" s="219"/>
      <c r="J133" s="147"/>
      <c r="K133" s="221"/>
      <c r="L133" s="222"/>
      <c r="M133" s="227"/>
      <c r="N133" s="227"/>
      <c r="O133" s="227"/>
      <c r="P133" s="227"/>
      <c r="Q133" s="227"/>
      <c r="R133" s="231"/>
      <c r="S133" s="231"/>
      <c r="T133" s="246">
        <v>45748</v>
      </c>
      <c r="U133" s="250"/>
      <c r="V133" s="234"/>
      <c r="W133" s="234"/>
      <c r="X133" s="234"/>
    </row>
    <row r="134" spans="1:24">
      <c r="A134" s="142" t="s">
        <v>169</v>
      </c>
      <c r="B134" s="141" t="s">
        <v>259</v>
      </c>
      <c r="C134" s="141" t="s">
        <v>47</v>
      </c>
      <c r="D134" s="1">
        <v>1</v>
      </c>
      <c r="E134" s="243">
        <v>2017</v>
      </c>
      <c r="F134" s="243"/>
      <c r="G134" s="219"/>
      <c r="H134" s="219"/>
      <c r="I134" s="219"/>
      <c r="J134" s="147"/>
      <c r="K134" s="221"/>
      <c r="L134" s="222"/>
      <c r="M134" s="227"/>
      <c r="N134" s="227"/>
      <c r="O134" s="227"/>
      <c r="P134" s="227"/>
      <c r="Q134" s="227"/>
      <c r="R134" s="231"/>
      <c r="S134" s="231"/>
      <c r="T134" s="246">
        <v>45689</v>
      </c>
      <c r="U134" s="250"/>
      <c r="V134" s="234"/>
      <c r="W134" s="234"/>
      <c r="X134" s="234"/>
    </row>
    <row r="135" spans="1:24">
      <c r="A135" s="142" t="s">
        <v>46</v>
      </c>
      <c r="B135" s="141" t="s">
        <v>259</v>
      </c>
      <c r="C135" s="141" t="s">
        <v>18</v>
      </c>
      <c r="D135" s="1">
        <v>1</v>
      </c>
      <c r="E135" s="244">
        <v>2015</v>
      </c>
      <c r="F135" s="244"/>
      <c r="G135" s="219"/>
      <c r="H135" s="219"/>
      <c r="I135" s="219"/>
      <c r="J135" s="147"/>
      <c r="K135" s="221"/>
      <c r="L135" s="222"/>
      <c r="M135" s="227"/>
      <c r="N135" s="227"/>
      <c r="O135" s="227"/>
      <c r="P135" s="227"/>
      <c r="Q135" s="227"/>
      <c r="R135" s="231"/>
      <c r="S135" s="231"/>
      <c r="T135" s="245">
        <v>45932</v>
      </c>
      <c r="U135" s="254" t="s">
        <v>296</v>
      </c>
      <c r="V135" s="234"/>
      <c r="W135" s="234"/>
      <c r="X135" s="234"/>
    </row>
    <row r="136" spans="1:24">
      <c r="A136" s="142" t="s">
        <v>46</v>
      </c>
      <c r="B136" s="141" t="s">
        <v>259</v>
      </c>
      <c r="C136" s="141" t="s">
        <v>21</v>
      </c>
      <c r="D136" s="1">
        <v>1</v>
      </c>
      <c r="E136" s="243">
        <v>2015</v>
      </c>
      <c r="F136" s="243"/>
      <c r="G136" s="219"/>
      <c r="H136" s="219"/>
      <c r="I136" s="219"/>
      <c r="J136" s="147"/>
      <c r="K136" s="221"/>
      <c r="L136" s="222"/>
      <c r="M136" s="227"/>
      <c r="N136" s="227"/>
      <c r="O136" s="227"/>
      <c r="P136" s="227"/>
      <c r="Q136" s="227"/>
      <c r="R136" s="231"/>
      <c r="S136" s="231"/>
      <c r="T136" s="245">
        <v>45932</v>
      </c>
      <c r="U136" s="254" t="s">
        <v>296</v>
      </c>
      <c r="V136" s="234"/>
      <c r="W136" s="234"/>
      <c r="X136" s="234"/>
    </row>
    <row r="137" spans="1:24">
      <c r="A137" s="142" t="s">
        <v>46</v>
      </c>
      <c r="B137" s="141" t="s">
        <v>259</v>
      </c>
      <c r="C137" s="141" t="s">
        <v>49</v>
      </c>
      <c r="D137" s="1">
        <v>1</v>
      </c>
      <c r="E137" s="244">
        <v>2015</v>
      </c>
      <c r="F137" s="244"/>
      <c r="G137" s="219"/>
      <c r="H137" s="219"/>
      <c r="I137" s="219"/>
      <c r="J137" s="147"/>
      <c r="K137" s="221"/>
      <c r="L137" s="222"/>
      <c r="M137" s="227"/>
      <c r="N137" s="227"/>
      <c r="O137" s="227"/>
      <c r="P137" s="227"/>
      <c r="Q137" s="227"/>
      <c r="R137" s="231"/>
      <c r="S137" s="231"/>
      <c r="T137" s="245">
        <v>45932</v>
      </c>
      <c r="U137" s="254" t="s">
        <v>296</v>
      </c>
      <c r="V137" s="234"/>
      <c r="W137" s="234"/>
      <c r="X137" s="234"/>
    </row>
    <row r="138" spans="1:24">
      <c r="A138" s="142" t="s">
        <v>63</v>
      </c>
      <c r="B138" s="141" t="s">
        <v>259</v>
      </c>
      <c r="C138" s="141" t="s">
        <v>18</v>
      </c>
      <c r="D138" s="1">
        <v>1</v>
      </c>
      <c r="E138" s="243">
        <v>2009</v>
      </c>
      <c r="F138" s="243"/>
      <c r="G138" s="219"/>
      <c r="H138" s="219"/>
      <c r="I138" s="219"/>
      <c r="J138" s="147"/>
      <c r="K138" s="221"/>
      <c r="L138" s="222"/>
      <c r="M138" s="237" t="s">
        <v>297</v>
      </c>
      <c r="N138" s="236">
        <v>45975</v>
      </c>
      <c r="O138" s="227"/>
      <c r="P138" s="227"/>
      <c r="Q138" s="227"/>
      <c r="R138" s="231"/>
      <c r="S138" s="231"/>
      <c r="T138" s="245">
        <v>45927</v>
      </c>
      <c r="U138" s="254" t="s">
        <v>298</v>
      </c>
      <c r="V138" s="234"/>
      <c r="W138" s="234"/>
      <c r="X138" s="234"/>
    </row>
    <row r="139" spans="1:24">
      <c r="A139" s="142" t="s">
        <v>120</v>
      </c>
      <c r="B139" s="141" t="s">
        <v>259</v>
      </c>
      <c r="C139" s="141" t="s">
        <v>18</v>
      </c>
      <c r="D139" s="1">
        <v>1</v>
      </c>
      <c r="E139" s="244">
        <v>2017</v>
      </c>
      <c r="F139" s="244"/>
      <c r="G139" s="219"/>
      <c r="H139" s="219"/>
      <c r="I139" s="219"/>
      <c r="J139" s="147"/>
      <c r="K139" s="221"/>
      <c r="L139" s="222"/>
      <c r="M139" s="227"/>
      <c r="N139" s="227"/>
      <c r="O139" s="227"/>
      <c r="P139" s="227"/>
      <c r="Q139" s="227"/>
      <c r="R139" s="231"/>
      <c r="S139" s="231"/>
      <c r="T139" s="246">
        <v>45748</v>
      </c>
      <c r="U139" s="250"/>
      <c r="V139" s="234"/>
      <c r="W139" s="234"/>
      <c r="X139" s="234"/>
    </row>
    <row r="140" spans="1:24">
      <c r="A140" s="142" t="s">
        <v>121</v>
      </c>
      <c r="B140" s="141" t="s">
        <v>259</v>
      </c>
      <c r="C140" s="141" t="s">
        <v>18</v>
      </c>
      <c r="D140" s="1">
        <v>1</v>
      </c>
      <c r="E140" s="243">
        <v>2022</v>
      </c>
      <c r="F140" s="243"/>
      <c r="G140" s="219"/>
      <c r="H140" s="219"/>
      <c r="I140" s="219"/>
      <c r="J140" s="147"/>
      <c r="K140" s="221"/>
      <c r="L140" s="222"/>
      <c r="M140" s="227"/>
      <c r="N140" s="227"/>
      <c r="O140" s="227"/>
      <c r="P140" s="227"/>
      <c r="Q140" s="227"/>
      <c r="R140" s="231"/>
      <c r="S140" s="231"/>
      <c r="T140" s="246">
        <v>45778</v>
      </c>
      <c r="U140" s="250"/>
      <c r="V140" s="234"/>
      <c r="W140" s="234"/>
      <c r="X140" s="234"/>
    </row>
    <row r="141" spans="1:24">
      <c r="A141" s="142" t="s">
        <v>121</v>
      </c>
      <c r="B141" s="141" t="s">
        <v>259</v>
      </c>
      <c r="C141" s="141" t="s">
        <v>21</v>
      </c>
      <c r="D141" s="1">
        <v>1</v>
      </c>
      <c r="E141" s="244">
        <v>2022</v>
      </c>
      <c r="F141" s="244"/>
      <c r="G141" s="219"/>
      <c r="H141" s="219"/>
      <c r="I141" s="219"/>
      <c r="J141" s="147"/>
      <c r="K141" s="221"/>
      <c r="L141" s="222"/>
      <c r="M141" s="227"/>
      <c r="N141" s="227"/>
      <c r="O141" s="227"/>
      <c r="P141" s="227"/>
      <c r="Q141" s="227"/>
      <c r="R141" s="231"/>
      <c r="S141" s="231"/>
      <c r="T141" s="246">
        <v>45809</v>
      </c>
      <c r="U141" s="250"/>
      <c r="V141" s="234"/>
      <c r="W141" s="234"/>
      <c r="X141" s="234"/>
    </row>
    <row r="142" spans="1:24">
      <c r="A142" s="142" t="s">
        <v>83</v>
      </c>
      <c r="B142" s="141" t="s">
        <v>259</v>
      </c>
      <c r="C142" s="141" t="s">
        <v>18</v>
      </c>
      <c r="D142" s="1">
        <v>1</v>
      </c>
      <c r="E142" s="243">
        <v>2016</v>
      </c>
      <c r="F142" s="243"/>
      <c r="G142" s="219"/>
      <c r="H142" s="219"/>
      <c r="I142" s="219"/>
      <c r="J142" s="147"/>
      <c r="K142" s="221"/>
      <c r="L142" s="222"/>
      <c r="M142" s="227"/>
      <c r="N142" s="227"/>
      <c r="O142" s="227"/>
      <c r="P142" s="227"/>
      <c r="Q142" s="227"/>
      <c r="R142" s="231"/>
      <c r="S142" s="231"/>
      <c r="T142" s="246">
        <v>45809</v>
      </c>
      <c r="U142" s="250"/>
      <c r="V142" s="234"/>
      <c r="W142" s="234"/>
      <c r="X142" s="234"/>
    </row>
    <row r="143" spans="1:24">
      <c r="A143" s="142" t="s">
        <v>299</v>
      </c>
      <c r="B143" s="141" t="s">
        <v>277</v>
      </c>
      <c r="C143" s="141" t="s">
        <v>47</v>
      </c>
      <c r="D143" s="1">
        <v>1</v>
      </c>
      <c r="E143" s="244">
        <v>2019</v>
      </c>
      <c r="F143" s="244"/>
      <c r="G143" s="219"/>
      <c r="H143" s="219"/>
      <c r="I143" s="219"/>
      <c r="J143" s="147"/>
      <c r="K143" s="221"/>
      <c r="L143" s="222"/>
      <c r="M143" s="227"/>
      <c r="N143" s="227"/>
      <c r="O143" s="227"/>
      <c r="P143" s="227"/>
      <c r="Q143" s="227"/>
      <c r="R143" s="231"/>
      <c r="S143" s="231"/>
      <c r="T143" s="246">
        <v>45748</v>
      </c>
      <c r="U143" s="250"/>
      <c r="V143" s="234"/>
      <c r="W143" s="234"/>
      <c r="X143" s="234"/>
    </row>
    <row r="144" spans="1:24">
      <c r="A144" s="142" t="s">
        <v>299</v>
      </c>
      <c r="B144" s="141" t="s">
        <v>277</v>
      </c>
      <c r="C144" s="141" t="s">
        <v>53</v>
      </c>
      <c r="D144" s="1">
        <v>1</v>
      </c>
      <c r="E144" s="243">
        <v>2020</v>
      </c>
      <c r="F144" s="243"/>
      <c r="G144" s="219"/>
      <c r="H144" s="219"/>
      <c r="I144" s="219"/>
      <c r="J144" s="147"/>
      <c r="K144" s="221"/>
      <c r="L144" s="222"/>
      <c r="M144" s="227"/>
      <c r="N144" s="227"/>
      <c r="O144" s="227"/>
      <c r="P144" s="227"/>
      <c r="Q144" s="227"/>
      <c r="R144" s="231"/>
      <c r="S144" s="231"/>
      <c r="T144" s="246">
        <v>45748</v>
      </c>
      <c r="U144" s="250"/>
      <c r="V144" s="234"/>
      <c r="W144" s="234"/>
      <c r="X144" s="234"/>
    </row>
    <row r="145" spans="1:24">
      <c r="A145" s="142" t="s">
        <v>299</v>
      </c>
      <c r="B145" s="141" t="s">
        <v>277</v>
      </c>
      <c r="C145" s="141" t="s">
        <v>300</v>
      </c>
      <c r="D145" s="1">
        <v>1</v>
      </c>
      <c r="E145" s="243">
        <v>2020</v>
      </c>
      <c r="F145" s="243"/>
      <c r="G145" s="219"/>
      <c r="H145" s="219"/>
      <c r="I145" s="219"/>
      <c r="J145" s="147"/>
      <c r="K145" s="221"/>
      <c r="L145" s="147"/>
      <c r="M145" s="227"/>
      <c r="N145" s="227"/>
      <c r="O145" s="227"/>
      <c r="P145" s="227"/>
      <c r="Q145" s="227"/>
      <c r="R145" s="231"/>
      <c r="S145" s="231"/>
      <c r="T145" s="246">
        <v>45748</v>
      </c>
      <c r="U145" s="250"/>
      <c r="V145" s="234"/>
      <c r="W145" s="234"/>
      <c r="X145" s="234"/>
    </row>
    <row r="146" spans="1:24">
      <c r="A146" s="142" t="s">
        <v>299</v>
      </c>
      <c r="B146" s="141" t="s">
        <v>277</v>
      </c>
      <c r="C146" s="141" t="s">
        <v>301</v>
      </c>
      <c r="D146" s="1">
        <v>1</v>
      </c>
      <c r="E146" s="243">
        <v>2020</v>
      </c>
      <c r="F146" s="243"/>
      <c r="G146" s="219"/>
      <c r="H146" s="219"/>
      <c r="I146" s="219"/>
      <c r="J146" s="147"/>
      <c r="K146" s="221"/>
      <c r="L146" s="147"/>
      <c r="M146" s="227"/>
      <c r="N146" s="227"/>
      <c r="O146" s="227"/>
      <c r="P146" s="227"/>
      <c r="Q146" s="227"/>
      <c r="R146" s="231"/>
      <c r="S146" s="231"/>
      <c r="T146" s="246">
        <v>45748</v>
      </c>
      <c r="U146" s="250"/>
      <c r="V146" s="234"/>
      <c r="W146" s="234"/>
      <c r="X146" s="234"/>
    </row>
    <row r="147" spans="1:24">
      <c r="A147" s="142" t="s">
        <v>299</v>
      </c>
      <c r="B147" s="141" t="s">
        <v>277</v>
      </c>
      <c r="C147" s="141" t="s">
        <v>302</v>
      </c>
      <c r="D147" s="1">
        <v>1</v>
      </c>
      <c r="E147" s="244">
        <v>2020</v>
      </c>
      <c r="F147" s="244"/>
      <c r="G147" s="219"/>
      <c r="H147" s="219"/>
      <c r="I147" s="219"/>
      <c r="J147" s="147"/>
      <c r="K147" s="221"/>
      <c r="L147" s="222"/>
      <c r="M147" s="227"/>
      <c r="N147" s="227"/>
      <c r="O147" s="227"/>
      <c r="P147" s="227"/>
      <c r="Q147" s="227"/>
      <c r="R147" s="231"/>
      <c r="S147" s="231"/>
      <c r="T147" s="246">
        <v>45748</v>
      </c>
      <c r="U147" s="250"/>
      <c r="V147" s="234"/>
      <c r="W147" s="234"/>
      <c r="X147" s="234"/>
    </row>
    <row r="148" spans="1:24">
      <c r="A148" s="142" t="s">
        <v>303</v>
      </c>
      <c r="B148" s="141" t="s">
        <v>259</v>
      </c>
      <c r="C148" s="141" t="s">
        <v>18</v>
      </c>
      <c r="D148" s="1">
        <v>1</v>
      </c>
      <c r="E148" s="243">
        <v>2018</v>
      </c>
      <c r="F148" s="243"/>
      <c r="G148" s="219"/>
      <c r="H148" s="219"/>
      <c r="I148" s="219"/>
      <c r="J148" s="147"/>
      <c r="K148" s="221"/>
      <c r="L148" s="222"/>
      <c r="M148" s="238"/>
      <c r="N148" s="227"/>
      <c r="O148" s="227"/>
      <c r="P148" s="227"/>
      <c r="Q148" s="227"/>
      <c r="R148" s="231"/>
      <c r="S148" s="231"/>
      <c r="T148" s="245">
        <v>45929</v>
      </c>
      <c r="U148" s="254" t="s">
        <v>304</v>
      </c>
      <c r="V148" s="234"/>
      <c r="W148" s="234"/>
      <c r="X148" s="234"/>
    </row>
    <row r="149" spans="1:24">
      <c r="A149" s="142" t="s">
        <v>303</v>
      </c>
      <c r="B149" s="141" t="s">
        <v>259</v>
      </c>
      <c r="C149" s="141" t="s">
        <v>21</v>
      </c>
      <c r="D149" s="1">
        <v>1</v>
      </c>
      <c r="E149" s="244">
        <v>2018</v>
      </c>
      <c r="F149" s="244"/>
      <c r="G149" s="219"/>
      <c r="H149" s="219"/>
      <c r="I149" s="219"/>
      <c r="J149" s="147"/>
      <c r="K149" s="221"/>
      <c r="L149" s="222"/>
      <c r="M149" s="238"/>
      <c r="N149" s="227"/>
      <c r="O149" s="227"/>
      <c r="P149" s="227"/>
      <c r="Q149" s="227"/>
      <c r="R149" s="231"/>
      <c r="S149" s="231"/>
      <c r="T149" s="245">
        <v>45929</v>
      </c>
      <c r="U149" s="254" t="s">
        <v>304</v>
      </c>
      <c r="V149" s="234"/>
      <c r="W149" s="234"/>
      <c r="X149" s="234"/>
    </row>
    <row r="150" spans="1:24">
      <c r="A150" s="142" t="s">
        <v>305</v>
      </c>
      <c r="B150" s="141" t="s">
        <v>259</v>
      </c>
      <c r="C150" s="141" t="s">
        <v>18</v>
      </c>
      <c r="D150" s="1">
        <v>1</v>
      </c>
      <c r="E150" s="243">
        <v>2017</v>
      </c>
      <c r="F150" s="243"/>
      <c r="G150" s="219"/>
      <c r="H150" s="219"/>
      <c r="I150" s="219"/>
      <c r="J150" s="147"/>
      <c r="K150" s="221"/>
      <c r="L150" s="222"/>
      <c r="M150" s="238"/>
      <c r="N150" s="227"/>
      <c r="O150" s="227"/>
      <c r="P150" s="227"/>
      <c r="Q150" s="227"/>
      <c r="R150" s="231"/>
      <c r="S150" s="231"/>
      <c r="T150" s="245">
        <v>45929</v>
      </c>
      <c r="U150" s="254" t="s">
        <v>304</v>
      </c>
      <c r="V150" s="234"/>
      <c r="W150" s="234"/>
      <c r="X150" s="234"/>
    </row>
    <row r="151" spans="1:24">
      <c r="A151" s="142" t="s">
        <v>305</v>
      </c>
      <c r="B151" s="141" t="s">
        <v>259</v>
      </c>
      <c r="C151" s="141" t="s">
        <v>21</v>
      </c>
      <c r="D151" s="1">
        <v>1</v>
      </c>
      <c r="E151" s="244">
        <v>2017</v>
      </c>
      <c r="F151" s="244"/>
      <c r="G151" s="219"/>
      <c r="H151" s="219"/>
      <c r="I151" s="219"/>
      <c r="J151" s="147"/>
      <c r="K151" s="221"/>
      <c r="L151" s="222"/>
      <c r="M151" s="238"/>
      <c r="N151" s="227"/>
      <c r="O151" s="227"/>
      <c r="P151" s="227"/>
      <c r="Q151" s="227"/>
      <c r="R151" s="231"/>
      <c r="S151" s="231"/>
      <c r="T151" s="245">
        <v>45929</v>
      </c>
      <c r="U151" s="254" t="s">
        <v>304</v>
      </c>
      <c r="V151" s="234"/>
      <c r="W151" s="234"/>
      <c r="X151" s="234"/>
    </row>
    <row r="152" spans="1:24">
      <c r="A152" s="142" t="s">
        <v>132</v>
      </c>
      <c r="B152" s="141" t="s">
        <v>259</v>
      </c>
      <c r="C152" s="141" t="s">
        <v>18</v>
      </c>
      <c r="D152" s="1">
        <v>1</v>
      </c>
      <c r="E152" s="243">
        <v>2017</v>
      </c>
      <c r="F152" s="243"/>
      <c r="G152" s="219"/>
      <c r="H152" s="219"/>
      <c r="I152" s="219"/>
      <c r="J152" s="147"/>
      <c r="K152" s="221"/>
      <c r="L152" s="222"/>
      <c r="M152" s="238"/>
      <c r="N152" s="227"/>
      <c r="O152" s="227"/>
      <c r="P152" s="227"/>
      <c r="Q152" s="227"/>
      <c r="R152" s="231"/>
      <c r="S152" s="231"/>
      <c r="T152" s="245">
        <v>45933</v>
      </c>
      <c r="U152" s="254" t="s">
        <v>298</v>
      </c>
      <c r="V152" s="234"/>
      <c r="W152" s="234"/>
      <c r="X152" s="234"/>
    </row>
    <row r="153" spans="1:24">
      <c r="A153" s="142" t="s">
        <v>30</v>
      </c>
      <c r="B153" s="141" t="s">
        <v>259</v>
      </c>
      <c r="C153" s="141" t="s">
        <v>18</v>
      </c>
      <c r="D153" s="1">
        <v>1</v>
      </c>
      <c r="E153" s="244">
        <v>2023</v>
      </c>
      <c r="F153" s="244"/>
      <c r="G153" s="325" t="s">
        <v>260</v>
      </c>
      <c r="H153" s="325">
        <v>76</v>
      </c>
      <c r="I153" s="325">
        <v>79</v>
      </c>
      <c r="J153" s="326" t="s">
        <v>283</v>
      </c>
      <c r="K153" s="327">
        <v>45967</v>
      </c>
      <c r="L153" s="52" t="s">
        <v>284</v>
      </c>
      <c r="M153" s="238"/>
      <c r="N153" s="227"/>
      <c r="O153" s="227"/>
      <c r="P153" s="227"/>
      <c r="Q153" s="227"/>
      <c r="R153" s="231"/>
      <c r="S153" s="231"/>
      <c r="T153" s="245">
        <v>45930</v>
      </c>
      <c r="U153" s="254" t="s">
        <v>306</v>
      </c>
      <c r="V153" s="234"/>
      <c r="W153" s="234"/>
      <c r="X153" s="234"/>
    </row>
    <row r="154" spans="1:24">
      <c r="A154" s="142" t="s">
        <v>30</v>
      </c>
      <c r="B154" s="141" t="s">
        <v>259</v>
      </c>
      <c r="C154" s="141" t="s">
        <v>21</v>
      </c>
      <c r="D154" s="1">
        <v>1</v>
      </c>
      <c r="E154" s="243">
        <v>2023</v>
      </c>
      <c r="F154" s="243"/>
      <c r="G154" s="325" t="s">
        <v>260</v>
      </c>
      <c r="H154" s="325">
        <v>76</v>
      </c>
      <c r="I154" s="325">
        <v>80</v>
      </c>
      <c r="J154" s="326" t="s">
        <v>283</v>
      </c>
      <c r="K154" s="327">
        <v>45967</v>
      </c>
      <c r="L154" s="52" t="s">
        <v>284</v>
      </c>
      <c r="M154" s="227"/>
      <c r="N154" s="227"/>
      <c r="O154" s="227"/>
      <c r="P154" s="227"/>
      <c r="Q154" s="227"/>
      <c r="R154" s="231"/>
      <c r="S154" s="231"/>
      <c r="T154" s="245">
        <v>45930</v>
      </c>
      <c r="U154" s="254" t="s">
        <v>306</v>
      </c>
      <c r="V154" s="234"/>
      <c r="W154" s="234"/>
      <c r="X154" s="234"/>
    </row>
    <row r="155" spans="1:24">
      <c r="A155" s="142" t="s">
        <v>31</v>
      </c>
      <c r="B155" s="141" t="s">
        <v>259</v>
      </c>
      <c r="C155" s="141" t="s">
        <v>18</v>
      </c>
      <c r="D155" s="1">
        <v>1</v>
      </c>
      <c r="E155" s="244">
        <v>2024</v>
      </c>
      <c r="F155" s="244"/>
      <c r="G155" s="325" t="s">
        <v>260</v>
      </c>
      <c r="H155" s="325">
        <v>76</v>
      </c>
      <c r="I155" s="325">
        <v>80</v>
      </c>
      <c r="J155" s="326" t="s">
        <v>283</v>
      </c>
      <c r="K155" s="327">
        <v>45967</v>
      </c>
      <c r="L155" s="52" t="s">
        <v>284</v>
      </c>
      <c r="M155" s="227"/>
      <c r="N155" s="227"/>
      <c r="O155" s="227"/>
      <c r="P155" s="227"/>
      <c r="Q155" s="227"/>
      <c r="R155" s="231"/>
      <c r="S155" s="231"/>
      <c r="T155" s="245">
        <v>45930</v>
      </c>
      <c r="U155" s="254" t="s">
        <v>306</v>
      </c>
      <c r="V155" s="234"/>
      <c r="W155" s="234"/>
      <c r="X155" s="234"/>
    </row>
    <row r="156" spans="1:24">
      <c r="A156" s="142" t="s">
        <v>31</v>
      </c>
      <c r="B156" s="141" t="s">
        <v>259</v>
      </c>
      <c r="C156" s="141" t="s">
        <v>21</v>
      </c>
      <c r="D156" s="1">
        <v>1</v>
      </c>
      <c r="E156" s="243">
        <v>2024</v>
      </c>
      <c r="F156" s="243"/>
      <c r="G156" s="325" t="s">
        <v>260</v>
      </c>
      <c r="H156" s="325">
        <v>76</v>
      </c>
      <c r="I156" s="325">
        <v>79</v>
      </c>
      <c r="J156" s="326" t="s">
        <v>283</v>
      </c>
      <c r="K156" s="327">
        <v>45967</v>
      </c>
      <c r="L156" s="52" t="s">
        <v>284</v>
      </c>
      <c r="M156" s="227"/>
      <c r="N156" s="227"/>
      <c r="O156" s="227"/>
      <c r="P156" s="227"/>
      <c r="Q156" s="227"/>
      <c r="R156" s="231"/>
      <c r="S156" s="231"/>
      <c r="T156" s="245">
        <v>45930</v>
      </c>
      <c r="U156" s="254" t="s">
        <v>306</v>
      </c>
      <c r="V156" s="234"/>
      <c r="W156" s="234"/>
      <c r="X156" s="234"/>
    </row>
    <row r="157" spans="1:24">
      <c r="A157" s="142" t="s">
        <v>39</v>
      </c>
      <c r="B157" s="141" t="s">
        <v>259</v>
      </c>
      <c r="C157" s="141" t="s">
        <v>18</v>
      </c>
      <c r="D157" s="1">
        <v>1</v>
      </c>
      <c r="E157" s="244">
        <v>2024</v>
      </c>
      <c r="F157" s="244"/>
      <c r="G157" s="325" t="s">
        <v>260</v>
      </c>
      <c r="H157" s="325">
        <v>76</v>
      </c>
      <c r="I157" s="325">
        <v>80</v>
      </c>
      <c r="J157" s="326" t="s">
        <v>283</v>
      </c>
      <c r="K157" s="326">
        <v>45968</v>
      </c>
      <c r="L157" s="52" t="s">
        <v>284</v>
      </c>
      <c r="M157" s="227"/>
      <c r="N157" s="227"/>
      <c r="O157" s="227"/>
      <c r="P157" s="227"/>
      <c r="Q157" s="227"/>
      <c r="R157" s="231"/>
      <c r="S157" s="231"/>
      <c r="T157" s="245">
        <v>45933</v>
      </c>
      <c r="U157" s="254" t="s">
        <v>306</v>
      </c>
      <c r="V157" s="234"/>
      <c r="W157" s="234"/>
      <c r="X157" s="234"/>
    </row>
    <row r="158" spans="1:24">
      <c r="A158" s="142" t="s">
        <v>39</v>
      </c>
      <c r="B158" s="141" t="s">
        <v>259</v>
      </c>
      <c r="C158" s="141" t="s">
        <v>21</v>
      </c>
      <c r="D158" s="1">
        <v>1</v>
      </c>
      <c r="E158" s="243">
        <v>2024</v>
      </c>
      <c r="F158" s="243"/>
      <c r="G158" s="325" t="s">
        <v>260</v>
      </c>
      <c r="H158" s="325">
        <v>76</v>
      </c>
      <c r="I158" s="325">
        <v>79</v>
      </c>
      <c r="J158" s="326" t="s">
        <v>283</v>
      </c>
      <c r="K158" s="326">
        <v>45968</v>
      </c>
      <c r="L158" s="52" t="s">
        <v>284</v>
      </c>
      <c r="M158" s="227"/>
      <c r="N158" s="227"/>
      <c r="O158" s="227"/>
      <c r="P158" s="227"/>
      <c r="Q158" s="227"/>
      <c r="R158" s="231"/>
      <c r="S158" s="231"/>
      <c r="T158" s="245">
        <v>45933</v>
      </c>
      <c r="U158" s="254" t="s">
        <v>306</v>
      </c>
      <c r="V158" s="234"/>
      <c r="W158" s="234"/>
      <c r="X158" s="234"/>
    </row>
    <row r="159" spans="1:24">
      <c r="A159" s="142" t="s">
        <v>40</v>
      </c>
      <c r="B159" s="141" t="s">
        <v>259</v>
      </c>
      <c r="C159" s="141" t="s">
        <v>18</v>
      </c>
      <c r="D159" s="1">
        <v>1</v>
      </c>
      <c r="E159" s="244">
        <v>2025</v>
      </c>
      <c r="F159" s="244"/>
      <c r="G159" s="325" t="s">
        <v>260</v>
      </c>
      <c r="H159" s="325">
        <v>76</v>
      </c>
      <c r="I159" s="325">
        <v>79</v>
      </c>
      <c r="J159" s="326" t="s">
        <v>283</v>
      </c>
      <c r="K159" s="326">
        <v>45968</v>
      </c>
      <c r="L159" s="52" t="s">
        <v>284</v>
      </c>
      <c r="M159" s="227"/>
      <c r="N159" s="227"/>
      <c r="O159" s="227"/>
      <c r="P159" s="227"/>
      <c r="Q159" s="227"/>
      <c r="R159" s="231"/>
      <c r="S159" s="231"/>
      <c r="T159" s="245">
        <v>45938</v>
      </c>
      <c r="U159" s="254" t="s">
        <v>306</v>
      </c>
      <c r="V159" s="234"/>
      <c r="W159" s="234"/>
      <c r="X159" s="234"/>
    </row>
    <row r="160" spans="1:24">
      <c r="A160" s="142" t="s">
        <v>40</v>
      </c>
      <c r="B160" s="141" t="s">
        <v>259</v>
      </c>
      <c r="C160" s="141" t="s">
        <v>21</v>
      </c>
      <c r="D160" s="1">
        <v>1</v>
      </c>
      <c r="E160" s="243">
        <v>2025</v>
      </c>
      <c r="F160" s="243"/>
      <c r="G160" s="325" t="s">
        <v>260</v>
      </c>
      <c r="H160" s="325">
        <v>75</v>
      </c>
      <c r="I160" s="325">
        <v>80</v>
      </c>
      <c r="J160" s="326" t="s">
        <v>283</v>
      </c>
      <c r="K160" s="326">
        <v>45968</v>
      </c>
      <c r="L160" s="52" t="s">
        <v>284</v>
      </c>
      <c r="M160" s="227"/>
      <c r="N160" s="227"/>
      <c r="O160" s="227"/>
      <c r="P160" s="227"/>
      <c r="Q160" s="227"/>
      <c r="R160" s="231"/>
      <c r="S160" s="231"/>
      <c r="T160" s="245">
        <v>45938</v>
      </c>
      <c r="U160" s="254" t="s">
        <v>306</v>
      </c>
      <c r="V160" s="234"/>
      <c r="W160" s="234"/>
      <c r="X160" s="234"/>
    </row>
    <row r="161" spans="1:24">
      <c r="A161" s="142" t="s">
        <v>158</v>
      </c>
      <c r="B161" s="141" t="s">
        <v>259</v>
      </c>
      <c r="C161" s="141" t="s">
        <v>18</v>
      </c>
      <c r="D161" s="1">
        <v>1</v>
      </c>
      <c r="E161" s="244">
        <v>2014</v>
      </c>
      <c r="F161" s="244"/>
      <c r="G161" s="325" t="s">
        <v>307</v>
      </c>
      <c r="H161" s="325">
        <v>105</v>
      </c>
      <c r="I161" s="325">
        <v>116</v>
      </c>
      <c r="J161" s="326" t="s">
        <v>283</v>
      </c>
      <c r="K161" s="326">
        <v>45971</v>
      </c>
      <c r="L161" s="52" t="s">
        <v>284</v>
      </c>
      <c r="M161" s="238"/>
      <c r="N161" s="227"/>
      <c r="O161" s="227"/>
      <c r="P161" s="227"/>
      <c r="Q161" s="227"/>
      <c r="R161" s="231"/>
      <c r="S161" s="231"/>
      <c r="T161" s="245">
        <v>45929</v>
      </c>
      <c r="U161" s="254" t="s">
        <v>296</v>
      </c>
      <c r="V161" s="234"/>
      <c r="W161" s="234"/>
      <c r="X161" s="234"/>
    </row>
    <row r="162" spans="1:24">
      <c r="A162" s="142" t="s">
        <v>158</v>
      </c>
      <c r="B162" s="141" t="s">
        <v>259</v>
      </c>
      <c r="C162" s="141" t="s">
        <v>21</v>
      </c>
      <c r="D162" s="1">
        <v>1</v>
      </c>
      <c r="E162" s="243">
        <v>2014</v>
      </c>
      <c r="F162" s="243"/>
      <c r="G162" s="325" t="s">
        <v>307</v>
      </c>
      <c r="H162" s="325">
        <v>105</v>
      </c>
      <c r="I162" s="325"/>
      <c r="J162" s="326" t="s">
        <v>283</v>
      </c>
      <c r="K162" s="326">
        <v>45971</v>
      </c>
      <c r="L162" s="52" t="s">
        <v>284</v>
      </c>
      <c r="M162" s="227"/>
      <c r="N162" s="227"/>
      <c r="O162" s="227"/>
      <c r="P162" s="227"/>
      <c r="Q162" s="227"/>
      <c r="R162" s="231"/>
      <c r="S162" s="231"/>
      <c r="T162" s="245">
        <v>45929</v>
      </c>
      <c r="U162" s="254" t="s">
        <v>296</v>
      </c>
      <c r="V162" s="234"/>
      <c r="W162" s="234"/>
      <c r="X162" s="234"/>
    </row>
    <row r="163" spans="1:24">
      <c r="A163" s="142" t="s">
        <v>158</v>
      </c>
      <c r="B163" s="141" t="s">
        <v>259</v>
      </c>
      <c r="C163" s="141" t="s">
        <v>49</v>
      </c>
      <c r="D163" s="1">
        <v>1</v>
      </c>
      <c r="E163" s="244">
        <v>2014</v>
      </c>
      <c r="F163" s="244"/>
      <c r="G163" s="325" t="s">
        <v>307</v>
      </c>
      <c r="H163" s="325">
        <v>104</v>
      </c>
      <c r="I163" s="325">
        <v>115</v>
      </c>
      <c r="J163" s="326" t="s">
        <v>283</v>
      </c>
      <c r="K163" s="326">
        <v>45971</v>
      </c>
      <c r="L163" s="52" t="s">
        <v>284</v>
      </c>
      <c r="M163" s="227"/>
      <c r="N163" s="227"/>
      <c r="O163" s="227"/>
      <c r="P163" s="227"/>
      <c r="Q163" s="227"/>
      <c r="R163" s="231"/>
      <c r="S163" s="231"/>
      <c r="T163" s="245">
        <v>45929</v>
      </c>
      <c r="U163" s="254" t="s">
        <v>296</v>
      </c>
      <c r="V163" s="234"/>
      <c r="W163" s="234"/>
      <c r="X163" s="234"/>
    </row>
    <row r="164" spans="1:24">
      <c r="A164" s="142" t="s">
        <v>158</v>
      </c>
      <c r="B164" s="141" t="s">
        <v>259</v>
      </c>
      <c r="C164" s="141" t="s">
        <v>41</v>
      </c>
      <c r="D164" s="1">
        <v>1</v>
      </c>
      <c r="E164" s="243">
        <v>2014</v>
      </c>
      <c r="F164" s="243"/>
      <c r="G164" s="325" t="s">
        <v>307</v>
      </c>
      <c r="H164" s="325">
        <v>106</v>
      </c>
      <c r="I164" s="325">
        <v>116</v>
      </c>
      <c r="J164" s="326" t="s">
        <v>283</v>
      </c>
      <c r="K164" s="326">
        <v>45971</v>
      </c>
      <c r="L164" s="52" t="s">
        <v>284</v>
      </c>
      <c r="M164" s="227"/>
      <c r="N164" s="227"/>
      <c r="O164" s="227"/>
      <c r="P164" s="227"/>
      <c r="Q164" s="227"/>
      <c r="R164" s="231"/>
      <c r="S164" s="231"/>
      <c r="T164" s="245">
        <v>45929</v>
      </c>
      <c r="U164" s="254" t="s">
        <v>296</v>
      </c>
      <c r="V164" s="234"/>
      <c r="W164" s="234"/>
      <c r="X164" s="234"/>
    </row>
    <row r="165" spans="1:24">
      <c r="A165" s="142" t="s">
        <v>48</v>
      </c>
      <c r="B165" s="141" t="s">
        <v>259</v>
      </c>
      <c r="C165" s="141" t="s">
        <v>18</v>
      </c>
      <c r="D165" s="1">
        <v>1</v>
      </c>
      <c r="E165" s="244">
        <v>2015</v>
      </c>
      <c r="F165" s="244"/>
      <c r="G165" s="325" t="s">
        <v>307</v>
      </c>
      <c r="H165" s="325">
        <v>108</v>
      </c>
      <c r="I165" s="325">
        <v>120</v>
      </c>
      <c r="J165" s="326" t="s">
        <v>283</v>
      </c>
      <c r="K165" s="326">
        <v>45971</v>
      </c>
      <c r="L165" s="52" t="s">
        <v>284</v>
      </c>
      <c r="M165" s="227"/>
      <c r="N165" s="227"/>
      <c r="O165" s="227"/>
      <c r="P165" s="227"/>
      <c r="Q165" s="227"/>
      <c r="R165" s="231"/>
      <c r="S165" s="231"/>
      <c r="T165" s="245">
        <v>45929</v>
      </c>
      <c r="U165" s="254" t="s">
        <v>296</v>
      </c>
      <c r="V165" s="234"/>
      <c r="W165" s="234"/>
      <c r="X165" s="234"/>
    </row>
    <row r="166" spans="1:24">
      <c r="A166" s="142" t="s">
        <v>48</v>
      </c>
      <c r="B166" s="141" t="s">
        <v>259</v>
      </c>
      <c r="C166" s="141" t="s">
        <v>21</v>
      </c>
      <c r="D166" s="1">
        <v>1</v>
      </c>
      <c r="E166" s="243">
        <v>2015</v>
      </c>
      <c r="F166" s="243"/>
      <c r="G166" s="325" t="s">
        <v>307</v>
      </c>
      <c r="H166" s="325">
        <v>103</v>
      </c>
      <c r="I166" s="325">
        <v>119</v>
      </c>
      <c r="J166" s="326" t="s">
        <v>283</v>
      </c>
      <c r="K166" s="326">
        <v>45971</v>
      </c>
      <c r="L166" s="52" t="s">
        <v>284</v>
      </c>
      <c r="M166" s="238"/>
      <c r="N166" s="227"/>
      <c r="O166" s="227"/>
      <c r="P166" s="227"/>
      <c r="Q166" s="227"/>
      <c r="R166" s="231"/>
      <c r="S166" s="231"/>
      <c r="T166" s="245">
        <v>45929</v>
      </c>
      <c r="U166" s="254" t="s">
        <v>296</v>
      </c>
      <c r="V166" s="234"/>
      <c r="W166" s="234"/>
      <c r="X166" s="234"/>
    </row>
    <row r="167" spans="1:24">
      <c r="A167" s="142" t="s">
        <v>48</v>
      </c>
      <c r="B167" s="141" t="s">
        <v>259</v>
      </c>
      <c r="C167" s="141" t="s">
        <v>49</v>
      </c>
      <c r="D167" s="1">
        <v>1</v>
      </c>
      <c r="E167" s="244">
        <v>2015</v>
      </c>
      <c r="F167" s="244"/>
      <c r="G167" s="325" t="s">
        <v>307</v>
      </c>
      <c r="H167" s="325">
        <v>104</v>
      </c>
      <c r="I167" s="325">
        <v>118</v>
      </c>
      <c r="J167" s="326" t="s">
        <v>283</v>
      </c>
      <c r="K167" s="326">
        <v>45971</v>
      </c>
      <c r="L167" s="52" t="s">
        <v>284</v>
      </c>
      <c r="M167" s="227"/>
      <c r="N167" s="227"/>
      <c r="O167" s="227"/>
      <c r="P167" s="227"/>
      <c r="Q167" s="227"/>
      <c r="R167" s="231"/>
      <c r="S167" s="231"/>
      <c r="T167" s="245">
        <v>45929</v>
      </c>
      <c r="U167" s="254" t="s">
        <v>296</v>
      </c>
      <c r="V167" s="234"/>
      <c r="W167" s="234"/>
      <c r="X167" s="234"/>
    </row>
    <row r="168" spans="1:24">
      <c r="A168" s="142" t="s">
        <v>48</v>
      </c>
      <c r="B168" s="141" t="s">
        <v>259</v>
      </c>
      <c r="C168" s="141" t="s">
        <v>41</v>
      </c>
      <c r="D168" s="1">
        <v>1</v>
      </c>
      <c r="E168" s="243">
        <v>2015</v>
      </c>
      <c r="F168" s="243"/>
      <c r="G168" s="325" t="s">
        <v>307</v>
      </c>
      <c r="H168" s="325">
        <v>109</v>
      </c>
      <c r="I168" s="325">
        <v>116</v>
      </c>
      <c r="J168" s="326" t="s">
        <v>283</v>
      </c>
      <c r="K168" s="326">
        <v>45971</v>
      </c>
      <c r="L168" s="52" t="s">
        <v>284</v>
      </c>
      <c r="M168" s="227"/>
      <c r="N168" s="227"/>
      <c r="O168" s="227"/>
      <c r="P168" s="227"/>
      <c r="Q168" s="227"/>
      <c r="R168" s="231"/>
      <c r="S168" s="231"/>
      <c r="T168" s="245">
        <v>45929</v>
      </c>
      <c r="U168" s="254" t="s">
        <v>296</v>
      </c>
      <c r="V168" s="234"/>
      <c r="W168" s="234"/>
      <c r="X168" s="234"/>
    </row>
    <row r="169" spans="1:24">
      <c r="A169" s="142" t="s">
        <v>157</v>
      </c>
      <c r="B169" s="141" t="s">
        <v>259</v>
      </c>
      <c r="C169" s="141" t="s">
        <v>18</v>
      </c>
      <c r="D169" s="1">
        <v>1</v>
      </c>
      <c r="E169" s="244">
        <v>2012</v>
      </c>
      <c r="F169" s="244"/>
      <c r="G169" s="325" t="s">
        <v>264</v>
      </c>
      <c r="H169" s="325">
        <v>78</v>
      </c>
      <c r="I169" s="325">
        <v>83</v>
      </c>
      <c r="J169" s="326" t="s">
        <v>283</v>
      </c>
      <c r="K169" s="326">
        <v>45972</v>
      </c>
      <c r="L169" s="52" t="s">
        <v>284</v>
      </c>
      <c r="M169" s="227"/>
      <c r="N169" s="227"/>
      <c r="O169" s="227"/>
      <c r="P169" s="227"/>
      <c r="Q169" s="227"/>
      <c r="R169" s="231"/>
      <c r="S169" s="231"/>
      <c r="T169" s="245">
        <v>45931</v>
      </c>
      <c r="U169" s="254" t="s">
        <v>296</v>
      </c>
      <c r="V169" s="234"/>
      <c r="W169" s="234"/>
      <c r="X169" s="234"/>
    </row>
    <row r="170" spans="1:24">
      <c r="A170" s="142" t="s">
        <v>157</v>
      </c>
      <c r="B170" s="141" t="s">
        <v>259</v>
      </c>
      <c r="C170" s="141" t="s">
        <v>21</v>
      </c>
      <c r="D170" s="1">
        <v>1</v>
      </c>
      <c r="E170" s="243">
        <v>2012</v>
      </c>
      <c r="F170" s="243"/>
      <c r="G170" s="325" t="s">
        <v>264</v>
      </c>
      <c r="H170" s="325">
        <v>78</v>
      </c>
      <c r="I170" s="325">
        <v>84</v>
      </c>
      <c r="J170" s="326" t="s">
        <v>283</v>
      </c>
      <c r="K170" s="326">
        <v>45972</v>
      </c>
      <c r="L170" s="52" t="s">
        <v>284</v>
      </c>
      <c r="M170" s="227"/>
      <c r="N170" s="227"/>
      <c r="O170" s="227"/>
      <c r="P170" s="227"/>
      <c r="Q170" s="227"/>
      <c r="R170" s="231"/>
      <c r="S170" s="231"/>
      <c r="T170" s="245">
        <v>45931</v>
      </c>
      <c r="U170" s="254" t="s">
        <v>296</v>
      </c>
      <c r="V170" s="234"/>
      <c r="W170" s="234"/>
      <c r="X170" s="234"/>
    </row>
    <row r="171" spans="1:24">
      <c r="A171" s="142" t="s">
        <v>159</v>
      </c>
      <c r="B171" s="141" t="s">
        <v>259</v>
      </c>
      <c r="C171" s="141" t="s">
        <v>18</v>
      </c>
      <c r="D171" s="1">
        <v>1</v>
      </c>
      <c r="E171" s="244">
        <v>2013</v>
      </c>
      <c r="F171" s="244"/>
      <c r="G171" s="325" t="s">
        <v>264</v>
      </c>
      <c r="H171" s="325">
        <v>77</v>
      </c>
      <c r="I171" s="325">
        <v>81</v>
      </c>
      <c r="J171" s="326" t="s">
        <v>283</v>
      </c>
      <c r="K171" s="326">
        <v>45972</v>
      </c>
      <c r="L171" s="52" t="s">
        <v>284</v>
      </c>
      <c r="M171" s="227"/>
      <c r="N171" s="227"/>
      <c r="O171" s="227"/>
      <c r="P171" s="227"/>
      <c r="Q171" s="227"/>
      <c r="R171" s="231"/>
      <c r="S171" s="231"/>
      <c r="T171" s="245">
        <v>45931</v>
      </c>
      <c r="U171" s="254" t="s">
        <v>296</v>
      </c>
      <c r="V171" s="234"/>
      <c r="W171" s="234"/>
      <c r="X171" s="234"/>
    </row>
    <row r="172" spans="1:24">
      <c r="A172" s="142" t="s">
        <v>159</v>
      </c>
      <c r="B172" s="141" t="s">
        <v>259</v>
      </c>
      <c r="C172" s="141" t="s">
        <v>21</v>
      </c>
      <c r="D172" s="1">
        <v>1</v>
      </c>
      <c r="E172" s="243">
        <v>2013</v>
      </c>
      <c r="F172" s="243"/>
      <c r="G172" s="325" t="s">
        <v>264</v>
      </c>
      <c r="H172" s="325">
        <v>76</v>
      </c>
      <c r="I172" s="325">
        <v>83</v>
      </c>
      <c r="J172" s="326" t="s">
        <v>283</v>
      </c>
      <c r="K172" s="326">
        <v>45972</v>
      </c>
      <c r="L172" s="52" t="s">
        <v>284</v>
      </c>
      <c r="M172" s="227"/>
      <c r="N172" s="227"/>
      <c r="O172" s="227"/>
      <c r="P172" s="227"/>
      <c r="Q172" s="227"/>
      <c r="R172" s="231"/>
      <c r="S172" s="231"/>
      <c r="T172" s="245">
        <v>45931</v>
      </c>
      <c r="U172" s="254" t="s">
        <v>296</v>
      </c>
      <c r="V172" s="234"/>
      <c r="W172" s="234"/>
      <c r="X172" s="234"/>
    </row>
    <row r="173" spans="1:24">
      <c r="A173" s="142" t="s">
        <v>55</v>
      </c>
      <c r="B173" s="141" t="s">
        <v>259</v>
      </c>
      <c r="C173" s="141" t="s">
        <v>18</v>
      </c>
      <c r="D173" s="1">
        <v>1</v>
      </c>
      <c r="E173" s="244">
        <v>2013</v>
      </c>
      <c r="F173" s="244"/>
      <c r="G173" s="325" t="s">
        <v>264</v>
      </c>
      <c r="H173" s="325">
        <v>78</v>
      </c>
      <c r="I173" s="325">
        <v>84</v>
      </c>
      <c r="J173" s="326" t="s">
        <v>283</v>
      </c>
      <c r="K173" s="326">
        <v>45972</v>
      </c>
      <c r="L173" s="52" t="s">
        <v>284</v>
      </c>
      <c r="M173" s="238"/>
      <c r="N173" s="227"/>
      <c r="O173" s="227"/>
      <c r="P173" s="227"/>
      <c r="Q173" s="227"/>
      <c r="R173" s="231"/>
      <c r="S173" s="231"/>
      <c r="T173" s="245">
        <v>45932</v>
      </c>
      <c r="U173" s="254" t="s">
        <v>296</v>
      </c>
      <c r="V173" s="234"/>
      <c r="W173" s="234"/>
      <c r="X173" s="234"/>
    </row>
    <row r="174" spans="1:24">
      <c r="A174" s="142" t="s">
        <v>55</v>
      </c>
      <c r="B174" s="141" t="s">
        <v>259</v>
      </c>
      <c r="C174" s="141" t="s">
        <v>21</v>
      </c>
      <c r="D174" s="1">
        <v>1</v>
      </c>
      <c r="E174" s="243">
        <v>2013</v>
      </c>
      <c r="F174" s="243"/>
      <c r="G174" s="325" t="s">
        <v>264</v>
      </c>
      <c r="H174" s="325">
        <v>78</v>
      </c>
      <c r="I174" s="325">
        <v>84</v>
      </c>
      <c r="J174" s="326" t="s">
        <v>283</v>
      </c>
      <c r="K174" s="326">
        <v>45972</v>
      </c>
      <c r="L174" s="52" t="s">
        <v>284</v>
      </c>
      <c r="M174" s="227"/>
      <c r="N174" s="227"/>
      <c r="O174" s="227"/>
      <c r="P174" s="227"/>
      <c r="Q174" s="227"/>
      <c r="R174" s="231"/>
      <c r="S174" s="231"/>
      <c r="T174" s="245">
        <v>45932</v>
      </c>
      <c r="U174" s="254" t="s">
        <v>296</v>
      </c>
      <c r="V174" s="234"/>
      <c r="W174" s="234"/>
      <c r="X174" s="234"/>
    </row>
    <row r="175" spans="1:24">
      <c r="A175" s="142" t="s">
        <v>165</v>
      </c>
      <c r="B175" s="141" t="s">
        <v>259</v>
      </c>
      <c r="C175" s="141" t="s">
        <v>18</v>
      </c>
      <c r="D175" s="1">
        <v>1</v>
      </c>
      <c r="E175" s="244">
        <v>2015</v>
      </c>
      <c r="F175" s="244"/>
      <c r="G175" s="325" t="s">
        <v>264</v>
      </c>
      <c r="H175" s="325">
        <v>78</v>
      </c>
      <c r="I175" s="325">
        <v>84</v>
      </c>
      <c r="J175" s="326" t="s">
        <v>283</v>
      </c>
      <c r="K175" s="326">
        <v>45973</v>
      </c>
      <c r="L175" s="52" t="s">
        <v>284</v>
      </c>
      <c r="M175" s="227"/>
      <c r="N175" s="227"/>
      <c r="O175" s="227"/>
      <c r="P175" s="227"/>
      <c r="Q175" s="227"/>
      <c r="R175" s="231"/>
      <c r="S175" s="231"/>
      <c r="T175" s="245">
        <v>45933</v>
      </c>
      <c r="U175" s="254" t="s">
        <v>296</v>
      </c>
      <c r="V175" s="234"/>
      <c r="W175" s="234"/>
      <c r="X175" s="234"/>
    </row>
    <row r="176" spans="1:24">
      <c r="A176" s="142" t="s">
        <v>165</v>
      </c>
      <c r="B176" s="141" t="s">
        <v>259</v>
      </c>
      <c r="C176" s="141" t="s">
        <v>21</v>
      </c>
      <c r="D176" s="1">
        <v>1</v>
      </c>
      <c r="E176" s="243">
        <v>2015</v>
      </c>
      <c r="F176" s="243"/>
      <c r="G176" s="325" t="s">
        <v>264</v>
      </c>
      <c r="H176" s="325">
        <v>78</v>
      </c>
      <c r="I176" s="325">
        <v>84</v>
      </c>
      <c r="J176" s="326" t="s">
        <v>283</v>
      </c>
      <c r="K176" s="326">
        <v>45973</v>
      </c>
      <c r="L176" s="52" t="s">
        <v>284</v>
      </c>
      <c r="M176" s="227"/>
      <c r="N176" s="227"/>
      <c r="O176" s="227"/>
      <c r="P176" s="227"/>
      <c r="Q176" s="227"/>
      <c r="R176" s="231"/>
      <c r="S176" s="231"/>
      <c r="T176" s="245">
        <v>45933</v>
      </c>
      <c r="U176" s="254" t="s">
        <v>296</v>
      </c>
      <c r="V176" s="234"/>
      <c r="W176" s="234"/>
      <c r="X176" s="234"/>
    </row>
    <row r="177" spans="1:24">
      <c r="A177" s="142" t="s">
        <v>166</v>
      </c>
      <c r="B177" s="141" t="s">
        <v>259</v>
      </c>
      <c r="C177" s="141" t="s">
        <v>18</v>
      </c>
      <c r="D177" s="1">
        <v>1</v>
      </c>
      <c r="E177" s="244">
        <v>2015</v>
      </c>
      <c r="F177" s="244"/>
      <c r="G177" s="325" t="s">
        <v>264</v>
      </c>
      <c r="H177" s="325">
        <v>77</v>
      </c>
      <c r="I177" s="325">
        <v>83</v>
      </c>
      <c r="J177" s="326" t="s">
        <v>283</v>
      </c>
      <c r="K177" s="326">
        <v>45973</v>
      </c>
      <c r="L177" s="52" t="s">
        <v>284</v>
      </c>
      <c r="M177" s="238"/>
      <c r="N177" s="227"/>
      <c r="O177" s="227"/>
      <c r="P177" s="227"/>
      <c r="Q177" s="227"/>
      <c r="R177" s="231"/>
      <c r="S177" s="231"/>
      <c r="T177" s="245">
        <v>45940</v>
      </c>
      <c r="U177" s="254" t="s">
        <v>296</v>
      </c>
      <c r="V177" s="234"/>
      <c r="W177" s="234"/>
      <c r="X177" s="234"/>
    </row>
    <row r="178" spans="1:24">
      <c r="A178" s="142" t="s">
        <v>166</v>
      </c>
      <c r="B178" s="141" t="s">
        <v>259</v>
      </c>
      <c r="C178" s="141" t="s">
        <v>21</v>
      </c>
      <c r="D178" s="1">
        <v>1</v>
      </c>
      <c r="E178" s="243">
        <v>2015</v>
      </c>
      <c r="F178" s="243"/>
      <c r="G178" s="325" t="s">
        <v>264</v>
      </c>
      <c r="H178" s="325">
        <v>77</v>
      </c>
      <c r="I178" s="325">
        <v>81</v>
      </c>
      <c r="J178" s="326" t="s">
        <v>283</v>
      </c>
      <c r="K178" s="326">
        <v>45973</v>
      </c>
      <c r="L178" s="52" t="s">
        <v>284</v>
      </c>
      <c r="M178" s="227"/>
      <c r="N178" s="227"/>
      <c r="O178" s="227"/>
      <c r="P178" s="227"/>
      <c r="Q178" s="227"/>
      <c r="R178" s="231"/>
      <c r="S178" s="231"/>
      <c r="T178" s="245">
        <v>45940</v>
      </c>
      <c r="U178" s="254" t="s">
        <v>296</v>
      </c>
      <c r="V178" s="234"/>
      <c r="W178" s="234"/>
      <c r="X178" s="234"/>
    </row>
    <row r="179" spans="1:24">
      <c r="A179" s="142" t="s">
        <v>69</v>
      </c>
      <c r="B179" s="141" t="s">
        <v>259</v>
      </c>
      <c r="C179" s="141" t="s">
        <v>18</v>
      </c>
      <c r="D179" s="1">
        <v>1</v>
      </c>
      <c r="E179" s="244">
        <v>2016</v>
      </c>
      <c r="F179" s="244"/>
      <c r="G179" s="325" t="s">
        <v>307</v>
      </c>
      <c r="H179" s="325">
        <v>107</v>
      </c>
      <c r="I179" s="325">
        <v>118</v>
      </c>
      <c r="J179" s="326" t="s">
        <v>283</v>
      </c>
      <c r="K179" s="326">
        <v>45973</v>
      </c>
      <c r="L179" s="52" t="s">
        <v>284</v>
      </c>
      <c r="M179" s="227"/>
      <c r="N179" s="227"/>
      <c r="O179" s="227"/>
      <c r="P179" s="227"/>
      <c r="Q179" s="227"/>
      <c r="R179" s="231"/>
      <c r="S179" s="231"/>
      <c r="T179" s="245">
        <v>45931</v>
      </c>
      <c r="U179" s="254" t="s">
        <v>296</v>
      </c>
      <c r="V179" s="234"/>
      <c r="W179" s="234"/>
      <c r="X179" s="234"/>
    </row>
    <row r="180" spans="1:24">
      <c r="A180" s="142" t="s">
        <v>69</v>
      </c>
      <c r="B180" s="141" t="s">
        <v>259</v>
      </c>
      <c r="C180" s="141" t="s">
        <v>21</v>
      </c>
      <c r="D180" s="1">
        <v>1</v>
      </c>
      <c r="E180" s="243">
        <v>2016</v>
      </c>
      <c r="F180" s="243"/>
      <c r="G180" s="325" t="s">
        <v>307</v>
      </c>
      <c r="H180" s="325">
        <v>106</v>
      </c>
      <c r="I180" s="325">
        <v>117</v>
      </c>
      <c r="J180" s="326" t="s">
        <v>283</v>
      </c>
      <c r="K180" s="326">
        <v>45973</v>
      </c>
      <c r="L180" s="52" t="s">
        <v>284</v>
      </c>
      <c r="M180" s="227"/>
      <c r="N180" s="227"/>
      <c r="O180" s="227"/>
      <c r="P180" s="227"/>
      <c r="Q180" s="227"/>
      <c r="R180" s="231"/>
      <c r="S180" s="231"/>
      <c r="T180" s="245">
        <v>45931</v>
      </c>
      <c r="U180" s="254" t="s">
        <v>296</v>
      </c>
      <c r="V180" s="234"/>
      <c r="W180" s="234"/>
      <c r="X180" s="234"/>
    </row>
    <row r="181" spans="1:24">
      <c r="A181" s="142" t="s">
        <v>69</v>
      </c>
      <c r="B181" s="141" t="s">
        <v>259</v>
      </c>
      <c r="C181" s="141" t="s">
        <v>49</v>
      </c>
      <c r="D181" s="1">
        <v>1</v>
      </c>
      <c r="E181" s="244">
        <v>2016</v>
      </c>
      <c r="F181" s="244"/>
      <c r="G181" s="325" t="s">
        <v>307</v>
      </c>
      <c r="H181" s="325">
        <v>107</v>
      </c>
      <c r="I181" s="325">
        <v>118</v>
      </c>
      <c r="J181" s="326" t="s">
        <v>283</v>
      </c>
      <c r="K181" s="326">
        <v>45973</v>
      </c>
      <c r="L181" s="52" t="s">
        <v>284</v>
      </c>
      <c r="M181" s="227"/>
      <c r="N181" s="227"/>
      <c r="O181" s="227"/>
      <c r="P181" s="227"/>
      <c r="Q181" s="227"/>
      <c r="R181" s="231"/>
      <c r="S181" s="231"/>
      <c r="T181" s="245">
        <v>45931</v>
      </c>
      <c r="U181" s="254" t="s">
        <v>296</v>
      </c>
      <c r="V181" s="234"/>
      <c r="W181" s="234"/>
      <c r="X181" s="234"/>
    </row>
    <row r="182" spans="1:24">
      <c r="A182" s="142" t="s">
        <v>69</v>
      </c>
      <c r="B182" s="141" t="s">
        <v>259</v>
      </c>
      <c r="C182" s="141" t="s">
        <v>41</v>
      </c>
      <c r="D182" s="1">
        <v>1</v>
      </c>
      <c r="E182" s="243">
        <v>2016</v>
      </c>
      <c r="F182" s="243"/>
      <c r="G182" s="325" t="s">
        <v>307</v>
      </c>
      <c r="H182" s="325">
        <v>108</v>
      </c>
      <c r="I182" s="325">
        <v>117</v>
      </c>
      <c r="J182" s="326" t="s">
        <v>283</v>
      </c>
      <c r="K182" s="326">
        <v>45973</v>
      </c>
      <c r="L182" s="52" t="s">
        <v>284</v>
      </c>
      <c r="M182" s="227"/>
      <c r="N182" s="227"/>
      <c r="O182" s="227"/>
      <c r="P182" s="227"/>
      <c r="Q182" s="227"/>
      <c r="R182" s="231"/>
      <c r="S182" s="231"/>
      <c r="T182" s="245">
        <v>45931</v>
      </c>
      <c r="U182" s="254" t="s">
        <v>296</v>
      </c>
      <c r="V182" s="234"/>
      <c r="W182" s="234"/>
      <c r="X182" s="234"/>
    </row>
    <row r="183" spans="1:24">
      <c r="A183" s="142" t="s">
        <v>70</v>
      </c>
      <c r="B183" s="141" t="s">
        <v>259</v>
      </c>
      <c r="C183" s="141" t="s">
        <v>18</v>
      </c>
      <c r="D183" s="1">
        <v>1</v>
      </c>
      <c r="E183" s="244">
        <v>2015</v>
      </c>
      <c r="F183" s="244"/>
      <c r="G183" s="325" t="s">
        <v>307</v>
      </c>
      <c r="H183" s="325">
        <v>107</v>
      </c>
      <c r="I183" s="325">
        <v>118</v>
      </c>
      <c r="J183" s="326" t="s">
        <v>283</v>
      </c>
      <c r="K183" s="326">
        <v>45974</v>
      </c>
      <c r="L183" s="52" t="s">
        <v>284</v>
      </c>
      <c r="M183" s="227"/>
      <c r="N183" s="227"/>
      <c r="O183" s="227"/>
      <c r="P183" s="227"/>
      <c r="Q183" s="227"/>
      <c r="R183" s="231"/>
      <c r="S183" s="231"/>
      <c r="T183" s="245">
        <v>45930</v>
      </c>
      <c r="U183" s="254" t="s">
        <v>296</v>
      </c>
      <c r="V183" s="234"/>
      <c r="W183" s="234"/>
      <c r="X183" s="234"/>
    </row>
    <row r="184" spans="1:24">
      <c r="A184" s="142" t="s">
        <v>70</v>
      </c>
      <c r="B184" s="141" t="s">
        <v>259</v>
      </c>
      <c r="C184" s="141" t="s">
        <v>21</v>
      </c>
      <c r="D184" s="1">
        <v>1</v>
      </c>
      <c r="E184" s="243">
        <v>2015</v>
      </c>
      <c r="F184" s="243"/>
      <c r="G184" s="325" t="s">
        <v>307</v>
      </c>
      <c r="H184" s="325">
        <v>104</v>
      </c>
      <c r="I184" s="325">
        <v>117</v>
      </c>
      <c r="J184" s="326" t="s">
        <v>283</v>
      </c>
      <c r="K184" s="326">
        <v>45974</v>
      </c>
      <c r="L184" s="52" t="s">
        <v>284</v>
      </c>
      <c r="M184" s="227"/>
      <c r="N184" s="227"/>
      <c r="O184" s="227"/>
      <c r="P184" s="227"/>
      <c r="Q184" s="227"/>
      <c r="R184" s="231"/>
      <c r="S184" s="231"/>
      <c r="T184" s="245">
        <v>45930</v>
      </c>
      <c r="U184" s="254" t="s">
        <v>296</v>
      </c>
      <c r="V184" s="234"/>
      <c r="W184" s="234"/>
      <c r="X184" s="234"/>
    </row>
    <row r="185" spans="1:24">
      <c r="A185" s="142" t="s">
        <v>70</v>
      </c>
      <c r="B185" s="141" t="s">
        <v>259</v>
      </c>
      <c r="C185" s="141" t="s">
        <v>49</v>
      </c>
      <c r="D185" s="1">
        <v>1</v>
      </c>
      <c r="E185" s="244">
        <v>2015</v>
      </c>
      <c r="F185" s="244"/>
      <c r="G185" s="325" t="s">
        <v>307</v>
      </c>
      <c r="H185" s="325">
        <v>106</v>
      </c>
      <c r="I185" s="325">
        <v>119</v>
      </c>
      <c r="J185" s="326" t="s">
        <v>283</v>
      </c>
      <c r="K185" s="326">
        <v>45974</v>
      </c>
      <c r="L185" s="52" t="s">
        <v>284</v>
      </c>
      <c r="M185" s="238"/>
      <c r="N185" s="227"/>
      <c r="O185" s="227"/>
      <c r="P185" s="227"/>
      <c r="Q185" s="227"/>
      <c r="R185" s="231"/>
      <c r="S185" s="231"/>
      <c r="T185" s="245">
        <v>45930</v>
      </c>
      <c r="U185" s="254" t="s">
        <v>296</v>
      </c>
      <c r="V185" s="234"/>
      <c r="W185" s="234"/>
      <c r="X185" s="234"/>
    </row>
    <row r="186" spans="1:24">
      <c r="A186" s="142" t="s">
        <v>70</v>
      </c>
      <c r="B186" s="141" t="s">
        <v>259</v>
      </c>
      <c r="C186" s="141" t="s">
        <v>41</v>
      </c>
      <c r="D186" s="1">
        <v>1</v>
      </c>
      <c r="E186" s="243">
        <v>2015</v>
      </c>
      <c r="F186" s="243"/>
      <c r="G186" s="325" t="s">
        <v>307</v>
      </c>
      <c r="H186" s="325">
        <v>107</v>
      </c>
      <c r="I186" s="325">
        <v>118</v>
      </c>
      <c r="J186" s="326" t="s">
        <v>283</v>
      </c>
      <c r="K186" s="326">
        <v>45974</v>
      </c>
      <c r="L186" s="52" t="s">
        <v>284</v>
      </c>
      <c r="M186" s="227"/>
      <c r="N186" s="227"/>
      <c r="O186" s="227"/>
      <c r="P186" s="227"/>
      <c r="Q186" s="227"/>
      <c r="R186" s="231"/>
      <c r="S186" s="231"/>
      <c r="T186" s="245">
        <v>45930</v>
      </c>
      <c r="U186" s="254" t="s">
        <v>296</v>
      </c>
      <c r="V186" s="234"/>
      <c r="W186" s="234"/>
      <c r="X186" s="234"/>
    </row>
    <row r="187" spans="1:24">
      <c r="A187" s="142" t="s">
        <v>78</v>
      </c>
      <c r="B187" s="141" t="s">
        <v>259</v>
      </c>
      <c r="C187" s="141" t="s">
        <v>18</v>
      </c>
      <c r="D187" s="1">
        <v>1</v>
      </c>
      <c r="E187" s="244">
        <v>2017</v>
      </c>
      <c r="F187" s="244"/>
      <c r="G187" s="325" t="s">
        <v>308</v>
      </c>
      <c r="H187" s="325">
        <v>168</v>
      </c>
      <c r="I187" s="325">
        <v>185</v>
      </c>
      <c r="J187" s="326" t="s">
        <v>283</v>
      </c>
      <c r="K187" s="326">
        <v>45975</v>
      </c>
      <c r="L187" s="52" t="s">
        <v>284</v>
      </c>
      <c r="M187" s="238"/>
      <c r="N187" s="227"/>
      <c r="O187" s="227"/>
      <c r="P187" s="227"/>
      <c r="Q187" s="227"/>
      <c r="R187" s="231"/>
      <c r="S187" s="231"/>
      <c r="T187" s="245">
        <v>45927</v>
      </c>
      <c r="U187" s="254" t="s">
        <v>296</v>
      </c>
      <c r="V187" s="234"/>
      <c r="W187" s="234"/>
      <c r="X187" s="234"/>
    </row>
    <row r="188" spans="1:24">
      <c r="A188" s="142" t="s">
        <v>78</v>
      </c>
      <c r="B188" s="141" t="s">
        <v>259</v>
      </c>
      <c r="C188" s="141" t="s">
        <v>21</v>
      </c>
      <c r="D188" s="1">
        <v>1</v>
      </c>
      <c r="E188" s="243">
        <v>2017</v>
      </c>
      <c r="F188" s="243"/>
      <c r="G188" s="325" t="s">
        <v>308</v>
      </c>
      <c r="H188" s="325">
        <v>169</v>
      </c>
      <c r="I188" s="325">
        <v>187</v>
      </c>
      <c r="J188" s="326" t="s">
        <v>283</v>
      </c>
      <c r="K188" s="326">
        <v>45975</v>
      </c>
      <c r="L188" s="52" t="s">
        <v>284</v>
      </c>
      <c r="M188" s="227"/>
      <c r="N188" s="227"/>
      <c r="O188" s="227"/>
      <c r="P188" s="227"/>
      <c r="Q188" s="227"/>
      <c r="R188" s="231"/>
      <c r="S188" s="231"/>
      <c r="T188" s="245">
        <v>45927</v>
      </c>
      <c r="U188" s="254" t="s">
        <v>296</v>
      </c>
      <c r="V188" s="234"/>
      <c r="W188" s="234"/>
      <c r="X188" s="234"/>
    </row>
    <row r="189" spans="1:24">
      <c r="A189" s="142" t="s">
        <v>78</v>
      </c>
      <c r="B189" s="141" t="s">
        <v>259</v>
      </c>
      <c r="C189" s="141" t="s">
        <v>49</v>
      </c>
      <c r="D189" s="1">
        <v>1</v>
      </c>
      <c r="E189" s="244">
        <v>2017</v>
      </c>
      <c r="F189" s="244"/>
      <c r="G189" s="325" t="s">
        <v>308</v>
      </c>
      <c r="H189" s="325">
        <v>168</v>
      </c>
      <c r="I189" s="325">
        <v>188</v>
      </c>
      <c r="J189" s="326" t="s">
        <v>283</v>
      </c>
      <c r="K189" s="326">
        <v>45975</v>
      </c>
      <c r="L189" s="52" t="s">
        <v>284</v>
      </c>
      <c r="M189" s="238"/>
      <c r="N189" s="227"/>
      <c r="O189" s="227"/>
      <c r="P189" s="227"/>
      <c r="Q189" s="227"/>
      <c r="R189" s="231"/>
      <c r="S189" s="231"/>
      <c r="T189" s="245">
        <v>45927</v>
      </c>
      <c r="U189" s="254" t="s">
        <v>296</v>
      </c>
      <c r="V189" s="234"/>
      <c r="W189" s="234"/>
      <c r="X189" s="234"/>
    </row>
    <row r="190" spans="1:24">
      <c r="A190" s="142" t="s">
        <v>151</v>
      </c>
      <c r="B190" s="141" t="s">
        <v>259</v>
      </c>
      <c r="C190" s="141" t="s">
        <v>18</v>
      </c>
      <c r="D190" s="1">
        <v>1</v>
      </c>
      <c r="E190" s="244">
        <v>2020</v>
      </c>
      <c r="F190" s="244"/>
      <c r="G190" s="325" t="s">
        <v>260</v>
      </c>
      <c r="H190" s="325">
        <v>76</v>
      </c>
      <c r="I190" s="325">
        <v>80</v>
      </c>
      <c r="J190" s="326" t="s">
        <v>283</v>
      </c>
      <c r="K190" s="326">
        <v>45975</v>
      </c>
      <c r="L190" s="52" t="s">
        <v>284</v>
      </c>
      <c r="M190" s="238"/>
      <c r="N190" s="227"/>
      <c r="O190" s="227"/>
      <c r="P190" s="227"/>
      <c r="Q190" s="227"/>
      <c r="R190" s="231"/>
      <c r="S190" s="231"/>
      <c r="T190" s="245">
        <v>45931</v>
      </c>
      <c r="U190" s="254" t="s">
        <v>306</v>
      </c>
      <c r="V190" s="234"/>
      <c r="W190" s="234"/>
      <c r="X190" s="234"/>
    </row>
    <row r="191" spans="1:24">
      <c r="A191" s="142" t="s">
        <v>151</v>
      </c>
      <c r="B191" s="141" t="s">
        <v>259</v>
      </c>
      <c r="C191" s="141" t="s">
        <v>21</v>
      </c>
      <c r="D191" s="1">
        <v>1</v>
      </c>
      <c r="E191" s="243">
        <v>2020</v>
      </c>
      <c r="F191" s="243"/>
      <c r="G191" s="325" t="s">
        <v>260</v>
      </c>
      <c r="H191" s="325">
        <v>76</v>
      </c>
      <c r="I191" s="325">
        <v>79</v>
      </c>
      <c r="J191" s="326" t="s">
        <v>283</v>
      </c>
      <c r="K191" s="326">
        <v>45975</v>
      </c>
      <c r="L191" s="52" t="s">
        <v>284</v>
      </c>
      <c r="M191" s="227"/>
      <c r="N191" s="227"/>
      <c r="O191" s="227"/>
      <c r="P191" s="227"/>
      <c r="Q191" s="227"/>
      <c r="R191" s="231"/>
      <c r="S191" s="231"/>
      <c r="T191" s="245">
        <v>45931</v>
      </c>
      <c r="U191" s="254" t="s">
        <v>306</v>
      </c>
      <c r="V191" s="234"/>
      <c r="W191" s="234"/>
      <c r="X191" s="234"/>
    </row>
    <row r="192" spans="1:24">
      <c r="A192" s="142" t="s">
        <v>152</v>
      </c>
      <c r="B192" s="141" t="s">
        <v>259</v>
      </c>
      <c r="C192" s="141" t="s">
        <v>18</v>
      </c>
      <c r="D192" s="1">
        <v>1</v>
      </c>
      <c r="E192" s="244">
        <v>2020</v>
      </c>
      <c r="F192" s="244"/>
      <c r="G192" s="325" t="s">
        <v>260</v>
      </c>
      <c r="H192" s="325">
        <v>76</v>
      </c>
      <c r="I192" s="325">
        <v>79</v>
      </c>
      <c r="J192" s="326" t="s">
        <v>283</v>
      </c>
      <c r="K192" s="326">
        <v>45975</v>
      </c>
      <c r="L192" s="52" t="s">
        <v>284</v>
      </c>
      <c r="M192" s="227"/>
      <c r="N192" s="227"/>
      <c r="O192" s="227"/>
      <c r="P192" s="227"/>
      <c r="Q192" s="227"/>
      <c r="R192" s="231"/>
      <c r="S192" s="231"/>
      <c r="T192" s="245">
        <v>45931</v>
      </c>
      <c r="U192" s="254" t="s">
        <v>306</v>
      </c>
      <c r="V192" s="234"/>
      <c r="W192" s="234"/>
      <c r="X192" s="234"/>
    </row>
    <row r="193" spans="1:24">
      <c r="A193" s="142" t="s">
        <v>152</v>
      </c>
      <c r="B193" s="141" t="s">
        <v>259</v>
      </c>
      <c r="C193" s="141" t="s">
        <v>21</v>
      </c>
      <c r="D193" s="1">
        <v>1</v>
      </c>
      <c r="E193" s="243">
        <v>2020</v>
      </c>
      <c r="F193" s="243"/>
      <c r="G193" s="325" t="s">
        <v>260</v>
      </c>
      <c r="H193" s="325">
        <v>76</v>
      </c>
      <c r="I193" s="325">
        <v>80</v>
      </c>
      <c r="J193" s="326" t="s">
        <v>283</v>
      </c>
      <c r="K193" s="326">
        <v>45975</v>
      </c>
      <c r="L193" s="52" t="s">
        <v>284</v>
      </c>
      <c r="M193" s="227"/>
      <c r="N193" s="227"/>
      <c r="O193" s="227"/>
      <c r="P193" s="227"/>
      <c r="Q193" s="227"/>
      <c r="R193" s="231"/>
      <c r="S193" s="231"/>
      <c r="T193" s="245">
        <v>45931</v>
      </c>
      <c r="U193" s="254" t="s">
        <v>306</v>
      </c>
      <c r="V193" s="234"/>
      <c r="W193" s="234"/>
      <c r="X193" s="234"/>
    </row>
    <row r="194" spans="1:24">
      <c r="A194" s="142" t="s">
        <v>309</v>
      </c>
      <c r="B194" s="141" t="s">
        <v>259</v>
      </c>
      <c r="C194" s="141" t="s">
        <v>18</v>
      </c>
      <c r="D194" s="1">
        <v>1</v>
      </c>
      <c r="E194" s="243">
        <v>2017</v>
      </c>
      <c r="F194" s="243"/>
      <c r="G194" s="325" t="s">
        <v>308</v>
      </c>
      <c r="H194" s="325">
        <v>166</v>
      </c>
      <c r="I194" s="325">
        <v>185</v>
      </c>
      <c r="J194" s="326" t="s">
        <v>283</v>
      </c>
      <c r="K194" s="326">
        <v>45978</v>
      </c>
      <c r="L194" s="52" t="s">
        <v>284</v>
      </c>
      <c r="M194" s="227"/>
      <c r="N194" s="227"/>
      <c r="O194" s="227"/>
      <c r="P194" s="227"/>
      <c r="Q194" s="227"/>
      <c r="R194" s="231"/>
      <c r="S194" s="231"/>
      <c r="T194" s="245">
        <v>45927</v>
      </c>
      <c r="U194" s="254" t="s">
        <v>296</v>
      </c>
      <c r="V194" s="234"/>
      <c r="W194" s="234"/>
      <c r="X194" s="234"/>
    </row>
    <row r="195" spans="1:24">
      <c r="A195" s="142" t="s">
        <v>309</v>
      </c>
      <c r="B195" s="141" t="s">
        <v>259</v>
      </c>
      <c r="C195" s="141" t="s">
        <v>21</v>
      </c>
      <c r="D195" s="1">
        <v>1</v>
      </c>
      <c r="E195" s="244">
        <v>2017</v>
      </c>
      <c r="F195" s="244"/>
      <c r="G195" s="325" t="s">
        <v>308</v>
      </c>
      <c r="H195" s="325">
        <v>167</v>
      </c>
      <c r="I195" s="325">
        <v>187</v>
      </c>
      <c r="J195" s="326" t="s">
        <v>283</v>
      </c>
      <c r="K195" s="326">
        <v>45978</v>
      </c>
      <c r="L195" s="52" t="s">
        <v>284</v>
      </c>
      <c r="M195" s="227"/>
      <c r="N195" s="227"/>
      <c r="O195" s="227"/>
      <c r="P195" s="227"/>
      <c r="Q195" s="227"/>
      <c r="R195" s="231"/>
      <c r="S195" s="231"/>
      <c r="T195" s="245">
        <v>45927</v>
      </c>
      <c r="U195" s="254" t="s">
        <v>296</v>
      </c>
      <c r="V195" s="234"/>
      <c r="W195" s="234"/>
      <c r="X195" s="234"/>
    </row>
    <row r="196" spans="1:24">
      <c r="A196" s="142" t="s">
        <v>309</v>
      </c>
      <c r="B196" s="141" t="s">
        <v>259</v>
      </c>
      <c r="C196" s="141" t="s">
        <v>49</v>
      </c>
      <c r="D196" s="1">
        <v>1</v>
      </c>
      <c r="E196" s="243">
        <v>2017</v>
      </c>
      <c r="F196" s="243"/>
      <c r="G196" s="325" t="s">
        <v>308</v>
      </c>
      <c r="H196" s="325">
        <v>169</v>
      </c>
      <c r="I196" s="325">
        <v>188</v>
      </c>
      <c r="J196" s="326" t="s">
        <v>283</v>
      </c>
      <c r="K196" s="326">
        <v>45978</v>
      </c>
      <c r="L196" s="52" t="s">
        <v>284</v>
      </c>
      <c r="M196" s="227"/>
      <c r="N196" s="227"/>
      <c r="O196" s="227"/>
      <c r="P196" s="227"/>
      <c r="Q196" s="227"/>
      <c r="R196" s="231"/>
      <c r="S196" s="231"/>
      <c r="T196" s="245">
        <v>45927</v>
      </c>
      <c r="U196" s="254" t="s">
        <v>296</v>
      </c>
      <c r="V196" s="234"/>
      <c r="W196" s="234"/>
      <c r="X196" s="234"/>
    </row>
    <row r="197" spans="1:24">
      <c r="A197" s="142" t="s">
        <v>310</v>
      </c>
      <c r="B197" s="141" t="s">
        <v>259</v>
      </c>
      <c r="C197" s="141" t="s">
        <v>18</v>
      </c>
      <c r="D197" s="1">
        <v>1</v>
      </c>
      <c r="E197" s="244">
        <v>2020</v>
      </c>
      <c r="F197" s="244"/>
      <c r="G197" s="325" t="s">
        <v>260</v>
      </c>
      <c r="H197" s="325">
        <v>76</v>
      </c>
      <c r="I197" s="325">
        <v>80</v>
      </c>
      <c r="J197" s="326" t="s">
        <v>283</v>
      </c>
      <c r="K197" s="326">
        <v>45978</v>
      </c>
      <c r="L197" s="52" t="s">
        <v>284</v>
      </c>
      <c r="M197" s="227"/>
      <c r="N197" s="227"/>
      <c r="O197" s="227"/>
      <c r="P197" s="227"/>
      <c r="Q197" s="227"/>
      <c r="R197" s="231"/>
      <c r="S197" s="231"/>
      <c r="T197" s="245">
        <v>45939</v>
      </c>
      <c r="U197" s="254" t="s">
        <v>306</v>
      </c>
      <c r="V197" s="234"/>
      <c r="W197" s="234"/>
      <c r="X197" s="234"/>
    </row>
    <row r="198" spans="1:24">
      <c r="A198" s="142" t="s">
        <v>310</v>
      </c>
      <c r="B198" s="141" t="s">
        <v>259</v>
      </c>
      <c r="C198" s="141" t="s">
        <v>21</v>
      </c>
      <c r="D198" s="1">
        <v>1</v>
      </c>
      <c r="E198" s="243">
        <v>2020</v>
      </c>
      <c r="F198" s="243"/>
      <c r="G198" s="325" t="s">
        <v>260</v>
      </c>
      <c r="H198" s="325">
        <v>76</v>
      </c>
      <c r="I198" s="325">
        <v>77</v>
      </c>
      <c r="J198" s="326" t="s">
        <v>283</v>
      </c>
      <c r="K198" s="326">
        <v>45978</v>
      </c>
      <c r="L198" s="52" t="s">
        <v>284</v>
      </c>
      <c r="M198" s="227"/>
      <c r="N198" s="227"/>
      <c r="O198" s="227"/>
      <c r="P198" s="227"/>
      <c r="Q198" s="227"/>
      <c r="R198" s="231"/>
      <c r="S198" s="231"/>
      <c r="T198" s="245">
        <v>45939</v>
      </c>
      <c r="U198" s="254" t="s">
        <v>306</v>
      </c>
      <c r="V198" s="234"/>
      <c r="W198" s="234"/>
      <c r="X198" s="234"/>
    </row>
    <row r="199" spans="1:24">
      <c r="A199" s="142" t="s">
        <v>311</v>
      </c>
      <c r="B199" s="141" t="s">
        <v>259</v>
      </c>
      <c r="C199" s="141" t="s">
        <v>18</v>
      </c>
      <c r="D199" s="1">
        <v>1</v>
      </c>
      <c r="E199" s="244">
        <v>2020</v>
      </c>
      <c r="F199" s="244"/>
      <c r="G199" s="325" t="s">
        <v>260</v>
      </c>
      <c r="H199" s="325">
        <v>75</v>
      </c>
      <c r="I199" s="325">
        <v>79</v>
      </c>
      <c r="J199" s="326" t="s">
        <v>283</v>
      </c>
      <c r="K199" s="326">
        <v>45978</v>
      </c>
      <c r="L199" s="52" t="s">
        <v>284</v>
      </c>
      <c r="M199" s="238"/>
      <c r="N199" s="227"/>
      <c r="O199" s="227"/>
      <c r="P199" s="227"/>
      <c r="Q199" s="227"/>
      <c r="R199" s="231"/>
      <c r="S199" s="231"/>
      <c r="T199" s="245">
        <v>45932</v>
      </c>
      <c r="U199" s="254" t="s">
        <v>306</v>
      </c>
      <c r="V199" s="234"/>
      <c r="W199" s="234"/>
      <c r="X199" s="234"/>
    </row>
    <row r="200" spans="1:24">
      <c r="A200" s="142" t="s">
        <v>311</v>
      </c>
      <c r="B200" s="141" t="s">
        <v>259</v>
      </c>
      <c r="C200" s="141" t="s">
        <v>21</v>
      </c>
      <c r="D200" s="1">
        <v>1</v>
      </c>
      <c r="E200" s="243">
        <v>2020</v>
      </c>
      <c r="F200" s="243"/>
      <c r="G200" s="325" t="s">
        <v>260</v>
      </c>
      <c r="H200" s="325">
        <v>76</v>
      </c>
      <c r="I200" s="325">
        <v>78</v>
      </c>
      <c r="J200" s="326" t="s">
        <v>283</v>
      </c>
      <c r="K200" s="326">
        <v>45978</v>
      </c>
      <c r="L200" s="52" t="s">
        <v>284</v>
      </c>
      <c r="M200" s="227"/>
      <c r="N200" s="227"/>
      <c r="O200" s="227"/>
      <c r="P200" s="227"/>
      <c r="Q200" s="227"/>
      <c r="R200" s="231"/>
      <c r="S200" s="231"/>
      <c r="T200" s="245">
        <v>45932</v>
      </c>
      <c r="U200" s="254" t="s">
        <v>306</v>
      </c>
      <c r="V200" s="234"/>
      <c r="W200" s="234"/>
      <c r="X200" s="234"/>
    </row>
    <row r="201" spans="1:24">
      <c r="A201" s="142" t="s">
        <v>160</v>
      </c>
      <c r="B201" s="141" t="s">
        <v>259</v>
      </c>
      <c r="C201" s="141" t="s">
        <v>18</v>
      </c>
      <c r="D201" s="1">
        <v>1</v>
      </c>
      <c r="E201" s="244">
        <v>2014</v>
      </c>
      <c r="F201" s="244"/>
      <c r="G201" s="325" t="s">
        <v>264</v>
      </c>
      <c r="H201" s="325">
        <v>75</v>
      </c>
      <c r="I201" s="325">
        <v>186</v>
      </c>
      <c r="J201" s="326" t="s">
        <v>283</v>
      </c>
      <c r="K201" s="326">
        <v>45979</v>
      </c>
      <c r="L201" s="52" t="s">
        <v>284</v>
      </c>
      <c r="M201" s="227"/>
      <c r="N201" s="227"/>
      <c r="O201" s="227"/>
      <c r="P201" s="227"/>
      <c r="Q201" s="227"/>
      <c r="R201" s="231"/>
      <c r="S201" s="231"/>
      <c r="T201" s="245">
        <v>45932</v>
      </c>
      <c r="U201" s="254" t="s">
        <v>296</v>
      </c>
      <c r="V201" s="234"/>
      <c r="W201" s="234"/>
      <c r="X201" s="234"/>
    </row>
    <row r="202" spans="1:24">
      <c r="A202" s="142" t="s">
        <v>160</v>
      </c>
      <c r="B202" s="141" t="s">
        <v>259</v>
      </c>
      <c r="C202" s="141" t="s">
        <v>21</v>
      </c>
      <c r="D202" s="1">
        <v>1</v>
      </c>
      <c r="E202" s="243">
        <v>2014</v>
      </c>
      <c r="F202" s="243"/>
      <c r="G202" s="325" t="s">
        <v>264</v>
      </c>
      <c r="H202" s="325">
        <v>76</v>
      </c>
      <c r="I202" s="325">
        <v>187</v>
      </c>
      <c r="J202" s="326" t="s">
        <v>283</v>
      </c>
      <c r="K202" s="326">
        <v>45979</v>
      </c>
      <c r="L202" s="52" t="s">
        <v>284</v>
      </c>
      <c r="M202" s="227"/>
      <c r="N202" s="227"/>
      <c r="O202" s="227"/>
      <c r="P202" s="227"/>
      <c r="Q202" s="227"/>
      <c r="R202" s="231"/>
      <c r="S202" s="231"/>
      <c r="T202" s="245">
        <v>45932</v>
      </c>
      <c r="U202" s="254" t="s">
        <v>296</v>
      </c>
      <c r="V202" s="234"/>
      <c r="W202" s="234"/>
      <c r="X202" s="234"/>
    </row>
    <row r="203" spans="1:24">
      <c r="A203" s="142" t="s">
        <v>312</v>
      </c>
      <c r="B203" s="141" t="s">
        <v>259</v>
      </c>
      <c r="C203" s="141" t="s">
        <v>18</v>
      </c>
      <c r="D203" s="1">
        <v>1</v>
      </c>
      <c r="E203" s="244">
        <v>2021</v>
      </c>
      <c r="F203" s="244"/>
      <c r="G203" s="325" t="s">
        <v>260</v>
      </c>
      <c r="H203" s="325">
        <v>76</v>
      </c>
      <c r="I203" s="325">
        <v>189</v>
      </c>
      <c r="J203" s="326" t="s">
        <v>283</v>
      </c>
      <c r="K203" s="326">
        <v>45979</v>
      </c>
      <c r="L203" s="52" t="s">
        <v>284</v>
      </c>
      <c r="M203" s="227"/>
      <c r="N203" s="227"/>
      <c r="O203" s="227"/>
      <c r="P203" s="227"/>
      <c r="Q203" s="227"/>
      <c r="R203" s="231"/>
      <c r="S203" s="231"/>
      <c r="T203" s="245">
        <v>45933</v>
      </c>
      <c r="U203" s="254" t="s">
        <v>306</v>
      </c>
      <c r="V203" s="234"/>
      <c r="W203" s="234"/>
      <c r="X203" s="234"/>
    </row>
    <row r="204" spans="1:24">
      <c r="A204" s="142" t="s">
        <v>312</v>
      </c>
      <c r="B204" s="141" t="s">
        <v>259</v>
      </c>
      <c r="C204" s="141" t="s">
        <v>21</v>
      </c>
      <c r="D204" s="1">
        <v>1</v>
      </c>
      <c r="E204" s="243">
        <v>2021</v>
      </c>
      <c r="F204" s="243"/>
      <c r="G204" s="325" t="s">
        <v>260</v>
      </c>
      <c r="H204" s="325">
        <v>76</v>
      </c>
      <c r="I204" s="325">
        <v>80</v>
      </c>
      <c r="J204" s="326" t="s">
        <v>283</v>
      </c>
      <c r="K204" s="326">
        <v>45979</v>
      </c>
      <c r="L204" s="52" t="s">
        <v>284</v>
      </c>
      <c r="M204" s="227"/>
      <c r="N204" s="227"/>
      <c r="O204" s="227"/>
      <c r="P204" s="227"/>
      <c r="Q204" s="227"/>
      <c r="R204" s="231"/>
      <c r="S204" s="231"/>
      <c r="T204" s="245">
        <v>45933</v>
      </c>
      <c r="U204" s="254" t="s">
        <v>306</v>
      </c>
      <c r="V204" s="234"/>
      <c r="W204" s="234"/>
      <c r="X204" s="234"/>
    </row>
    <row r="205" spans="1:24">
      <c r="A205" s="142" t="s">
        <v>27</v>
      </c>
      <c r="B205" s="141" t="s">
        <v>259</v>
      </c>
      <c r="C205" s="141" t="s">
        <v>18</v>
      </c>
      <c r="D205" s="1">
        <v>1</v>
      </c>
      <c r="E205" s="244">
        <v>2021</v>
      </c>
      <c r="F205" s="244"/>
      <c r="G205" s="325" t="s">
        <v>260</v>
      </c>
      <c r="H205" s="325">
        <v>76</v>
      </c>
      <c r="I205" s="325">
        <v>78</v>
      </c>
      <c r="J205" s="326" t="s">
        <v>283</v>
      </c>
      <c r="K205" s="326">
        <v>45979</v>
      </c>
      <c r="L205" s="52" t="s">
        <v>284</v>
      </c>
      <c r="M205" s="227"/>
      <c r="N205" s="227"/>
      <c r="O205" s="227"/>
      <c r="P205" s="227"/>
      <c r="Q205" s="227"/>
      <c r="R205" s="231"/>
      <c r="S205" s="231"/>
      <c r="T205" s="245">
        <v>45930</v>
      </c>
      <c r="U205" s="254" t="s">
        <v>306</v>
      </c>
      <c r="V205" s="234"/>
      <c r="W205" s="234"/>
      <c r="X205" s="234"/>
    </row>
    <row r="206" spans="1:24">
      <c r="A206" s="142" t="s">
        <v>27</v>
      </c>
      <c r="B206" s="141" t="s">
        <v>259</v>
      </c>
      <c r="C206" s="141" t="s">
        <v>21</v>
      </c>
      <c r="D206" s="1">
        <v>1</v>
      </c>
      <c r="E206" s="243">
        <v>2021</v>
      </c>
      <c r="F206" s="243"/>
      <c r="G206" s="325" t="s">
        <v>260</v>
      </c>
      <c r="H206" s="325">
        <v>76</v>
      </c>
      <c r="I206" s="325">
        <v>78</v>
      </c>
      <c r="J206" s="326" t="s">
        <v>283</v>
      </c>
      <c r="K206" s="326">
        <v>45979</v>
      </c>
      <c r="L206" s="52" t="s">
        <v>284</v>
      </c>
      <c r="M206" s="238"/>
      <c r="N206" s="227"/>
      <c r="O206" s="227"/>
      <c r="P206" s="227"/>
      <c r="Q206" s="227"/>
      <c r="R206" s="231"/>
      <c r="S206" s="231"/>
      <c r="T206" s="245">
        <v>45930</v>
      </c>
      <c r="U206" s="254" t="s">
        <v>306</v>
      </c>
      <c r="V206" s="234"/>
      <c r="W206" s="234"/>
      <c r="X206" s="234"/>
    </row>
    <row r="207" spans="1:24">
      <c r="A207" s="142" t="s">
        <v>29</v>
      </c>
      <c r="B207" s="141" t="s">
        <v>259</v>
      </c>
      <c r="C207" s="141" t="s">
        <v>18</v>
      </c>
      <c r="D207" s="1">
        <v>1</v>
      </c>
      <c r="E207" s="244">
        <v>2021</v>
      </c>
      <c r="F207" s="244"/>
      <c r="G207" s="325" t="s">
        <v>260</v>
      </c>
      <c r="H207" s="325">
        <v>76</v>
      </c>
      <c r="I207" s="325">
        <v>80</v>
      </c>
      <c r="J207" s="326" t="s">
        <v>283</v>
      </c>
      <c r="K207" s="326">
        <v>45979</v>
      </c>
      <c r="L207" s="52" t="s">
        <v>284</v>
      </c>
      <c r="M207" s="227"/>
      <c r="N207" s="227"/>
      <c r="O207" s="227"/>
      <c r="P207" s="227"/>
      <c r="Q207" s="227"/>
      <c r="R207" s="231"/>
      <c r="S207" s="231"/>
      <c r="T207" s="245">
        <v>45930</v>
      </c>
      <c r="U207" s="254" t="s">
        <v>306</v>
      </c>
      <c r="V207" s="234"/>
      <c r="W207" s="234"/>
      <c r="X207" s="234"/>
    </row>
    <row r="208" spans="1:24">
      <c r="A208" s="142" t="s">
        <v>29</v>
      </c>
      <c r="B208" s="141" t="s">
        <v>259</v>
      </c>
      <c r="C208" s="141" t="s">
        <v>21</v>
      </c>
      <c r="D208" s="1">
        <v>1</v>
      </c>
      <c r="E208" s="243">
        <v>2021</v>
      </c>
      <c r="F208" s="243"/>
      <c r="G208" s="325" t="s">
        <v>260</v>
      </c>
      <c r="H208" s="325">
        <v>75</v>
      </c>
      <c r="I208" s="325">
        <v>79</v>
      </c>
      <c r="J208" s="326" t="s">
        <v>283</v>
      </c>
      <c r="K208" s="326">
        <v>45979</v>
      </c>
      <c r="L208" s="52" t="s">
        <v>284</v>
      </c>
      <c r="M208" s="227"/>
      <c r="N208" s="227"/>
      <c r="O208" s="227"/>
      <c r="P208" s="227"/>
      <c r="Q208" s="227"/>
      <c r="R208" s="231"/>
      <c r="S208" s="231"/>
      <c r="T208" s="245">
        <v>45930</v>
      </c>
      <c r="U208" s="254" t="s">
        <v>306</v>
      </c>
      <c r="V208" s="234"/>
      <c r="W208" s="234"/>
      <c r="X208" s="234"/>
    </row>
    <row r="209" spans="1:24">
      <c r="A209" s="142" t="s">
        <v>58</v>
      </c>
      <c r="B209" s="141" t="s">
        <v>259</v>
      </c>
      <c r="C209" s="141" t="s">
        <v>28</v>
      </c>
      <c r="D209" s="1">
        <v>1</v>
      </c>
      <c r="E209" s="244">
        <v>2015</v>
      </c>
      <c r="F209" s="244"/>
      <c r="G209" s="219"/>
      <c r="H209" s="219"/>
      <c r="I209" s="219"/>
      <c r="J209" s="147"/>
      <c r="K209" s="221"/>
      <c r="L209" s="222"/>
      <c r="M209" s="227"/>
      <c r="N209" s="227"/>
      <c r="O209" s="227"/>
      <c r="P209" s="227"/>
      <c r="Q209" s="227"/>
      <c r="R209" s="231"/>
      <c r="S209" s="231"/>
      <c r="T209" s="247">
        <v>45932</v>
      </c>
      <c r="U209" s="251" t="s">
        <v>313</v>
      </c>
      <c r="V209" s="234"/>
      <c r="W209" s="234"/>
      <c r="X209" s="234"/>
    </row>
    <row r="210" spans="1:24">
      <c r="A210" s="142" t="s">
        <v>58</v>
      </c>
      <c r="B210" s="141" t="s">
        <v>259</v>
      </c>
      <c r="C210" s="141" t="s">
        <v>107</v>
      </c>
      <c r="D210" s="1">
        <v>1</v>
      </c>
      <c r="E210" s="243">
        <v>2015</v>
      </c>
      <c r="F210" s="243"/>
      <c r="G210" s="219"/>
      <c r="H210" s="219"/>
      <c r="I210" s="219"/>
      <c r="J210" s="147"/>
      <c r="K210" s="221"/>
      <c r="L210" s="222"/>
      <c r="M210" s="227"/>
      <c r="N210" s="227"/>
      <c r="O210" s="227"/>
      <c r="P210" s="227"/>
      <c r="Q210" s="227"/>
      <c r="R210" s="231"/>
      <c r="S210" s="231"/>
      <c r="T210" s="247">
        <v>45932</v>
      </c>
      <c r="U210" s="251" t="s">
        <v>313</v>
      </c>
      <c r="V210" s="234"/>
      <c r="W210" s="234"/>
      <c r="X210" s="234"/>
    </row>
    <row r="211" spans="1:24">
      <c r="A211" s="142" t="s">
        <v>58</v>
      </c>
      <c r="B211" s="141" t="s">
        <v>259</v>
      </c>
      <c r="C211" s="141" t="s">
        <v>314</v>
      </c>
      <c r="D211" s="1">
        <v>1</v>
      </c>
      <c r="E211" s="244">
        <v>2015</v>
      </c>
      <c r="F211" s="244"/>
      <c r="G211" s="219"/>
      <c r="H211" s="219"/>
      <c r="I211" s="219"/>
      <c r="J211" s="147"/>
      <c r="K211" s="221"/>
      <c r="L211" s="222"/>
      <c r="M211" s="227"/>
      <c r="N211" s="227"/>
      <c r="O211" s="227"/>
      <c r="P211" s="227"/>
      <c r="Q211" s="227"/>
      <c r="R211" s="231"/>
      <c r="S211" s="231"/>
      <c r="T211" s="247">
        <v>45932</v>
      </c>
      <c r="U211" s="251" t="s">
        <v>315</v>
      </c>
      <c r="V211" s="234"/>
      <c r="W211" s="234"/>
      <c r="X211" s="234"/>
    </row>
    <row r="212" spans="1:24">
      <c r="A212" s="142" t="s">
        <v>58</v>
      </c>
      <c r="B212" s="141" t="s">
        <v>259</v>
      </c>
      <c r="C212" s="141" t="s">
        <v>316</v>
      </c>
      <c r="D212" s="1">
        <v>1</v>
      </c>
      <c r="E212" s="243">
        <v>2015</v>
      </c>
      <c r="F212" s="243"/>
      <c r="G212" s="219"/>
      <c r="H212" s="219"/>
      <c r="I212" s="219"/>
      <c r="J212" s="147"/>
      <c r="K212" s="221"/>
      <c r="L212" s="222"/>
      <c r="M212" s="227"/>
      <c r="N212" s="227"/>
      <c r="O212" s="227"/>
      <c r="P212" s="227"/>
      <c r="Q212" s="227"/>
      <c r="R212" s="231"/>
      <c r="S212" s="231"/>
      <c r="T212" s="247">
        <v>45932</v>
      </c>
      <c r="U212" s="251" t="s">
        <v>315</v>
      </c>
      <c r="V212" s="234"/>
      <c r="W212" s="234"/>
      <c r="X212" s="234"/>
    </row>
    <row r="213" spans="1:24">
      <c r="A213" s="142" t="s">
        <v>58</v>
      </c>
      <c r="B213" s="141" t="s">
        <v>259</v>
      </c>
      <c r="C213" s="141" t="s">
        <v>317</v>
      </c>
      <c r="D213" s="1">
        <v>1</v>
      </c>
      <c r="E213" s="244">
        <v>2015</v>
      </c>
      <c r="F213" s="244"/>
      <c r="G213" s="219"/>
      <c r="H213" s="219"/>
      <c r="I213" s="219"/>
      <c r="J213" s="147"/>
      <c r="K213" s="221"/>
      <c r="L213" s="222"/>
      <c r="M213" s="227"/>
      <c r="N213" s="227"/>
      <c r="O213" s="227"/>
      <c r="P213" s="227"/>
      <c r="Q213" s="227"/>
      <c r="R213" s="231"/>
      <c r="S213" s="231"/>
      <c r="T213" s="247">
        <v>45932</v>
      </c>
      <c r="U213" s="251" t="s">
        <v>315</v>
      </c>
      <c r="V213" s="234"/>
      <c r="W213" s="234"/>
      <c r="X213" s="234"/>
    </row>
    <row r="214" spans="1:24">
      <c r="A214" s="142" t="s">
        <v>58</v>
      </c>
      <c r="B214" s="141" t="s">
        <v>259</v>
      </c>
      <c r="C214" s="141" t="s">
        <v>318</v>
      </c>
      <c r="D214" s="1">
        <v>1</v>
      </c>
      <c r="E214" s="243">
        <v>2015</v>
      </c>
      <c r="F214" s="243"/>
      <c r="G214" s="219"/>
      <c r="H214" s="219"/>
      <c r="I214" s="219"/>
      <c r="J214" s="147"/>
      <c r="K214" s="221"/>
      <c r="L214" s="222"/>
      <c r="M214" s="238"/>
      <c r="N214" s="227"/>
      <c r="O214" s="227"/>
      <c r="P214" s="227"/>
      <c r="Q214" s="227"/>
      <c r="R214" s="231"/>
      <c r="S214" s="231"/>
      <c r="T214" s="247">
        <v>45932</v>
      </c>
      <c r="U214" s="251" t="s">
        <v>315</v>
      </c>
      <c r="V214" s="234"/>
      <c r="W214" s="234"/>
      <c r="X214" s="234"/>
    </row>
    <row r="215" spans="1:24">
      <c r="A215" s="142" t="s">
        <v>58</v>
      </c>
      <c r="B215" s="141" t="s">
        <v>259</v>
      </c>
      <c r="C215" s="141" t="s">
        <v>18</v>
      </c>
      <c r="D215" s="1">
        <v>1</v>
      </c>
      <c r="E215" s="244">
        <v>2015</v>
      </c>
      <c r="F215" s="244"/>
      <c r="G215" s="219"/>
      <c r="H215" s="219"/>
      <c r="I215" s="219"/>
      <c r="J215" s="147"/>
      <c r="K215" s="221"/>
      <c r="L215" s="222"/>
      <c r="M215" s="227"/>
      <c r="N215" s="227"/>
      <c r="O215" s="227"/>
      <c r="P215" s="227"/>
      <c r="Q215" s="227"/>
      <c r="R215" s="231"/>
      <c r="S215" s="231"/>
      <c r="T215" s="247">
        <v>45933</v>
      </c>
      <c r="U215" s="251" t="s">
        <v>315</v>
      </c>
      <c r="V215" s="234"/>
      <c r="W215" s="234"/>
      <c r="X215" s="234"/>
    </row>
    <row r="216" spans="1:24">
      <c r="A216" s="142" t="s">
        <v>58</v>
      </c>
      <c r="B216" s="141" t="s">
        <v>259</v>
      </c>
      <c r="C216" s="141" t="s">
        <v>21</v>
      </c>
      <c r="D216" s="1">
        <v>1</v>
      </c>
      <c r="E216" s="243">
        <v>2015</v>
      </c>
      <c r="F216" s="243"/>
      <c r="G216" s="219"/>
      <c r="H216" s="219"/>
      <c r="I216" s="219"/>
      <c r="J216" s="147"/>
      <c r="K216" s="221"/>
      <c r="L216" s="222"/>
      <c r="M216" s="227"/>
      <c r="N216" s="227"/>
      <c r="O216" s="227"/>
      <c r="P216" s="227"/>
      <c r="Q216" s="227"/>
      <c r="R216" s="231"/>
      <c r="S216" s="231"/>
      <c r="T216" s="247">
        <v>45933</v>
      </c>
      <c r="U216" s="251" t="s">
        <v>315</v>
      </c>
      <c r="V216" s="234"/>
      <c r="W216" s="234"/>
      <c r="X216" s="234"/>
    </row>
    <row r="217" spans="1:24">
      <c r="A217" s="142" t="s">
        <v>58</v>
      </c>
      <c r="B217" s="141" t="s">
        <v>259</v>
      </c>
      <c r="C217" s="141" t="s">
        <v>49</v>
      </c>
      <c r="D217" s="1">
        <v>1</v>
      </c>
      <c r="E217" s="244">
        <v>2015</v>
      </c>
      <c r="F217" s="244"/>
      <c r="G217" s="219"/>
      <c r="H217" s="219"/>
      <c r="I217" s="219"/>
      <c r="J217" s="147"/>
      <c r="K217" s="221"/>
      <c r="L217" s="222"/>
      <c r="M217" s="227"/>
      <c r="N217" s="227"/>
      <c r="O217" s="227"/>
      <c r="P217" s="227"/>
      <c r="Q217" s="227"/>
      <c r="R217" s="231"/>
      <c r="S217" s="231"/>
      <c r="T217" s="247">
        <v>45933</v>
      </c>
      <c r="U217" s="251" t="s">
        <v>315</v>
      </c>
      <c r="V217" s="234"/>
      <c r="W217" s="234"/>
      <c r="X217" s="234"/>
    </row>
    <row r="218" spans="1:24">
      <c r="A218" s="142" t="s">
        <v>58</v>
      </c>
      <c r="B218" s="141" t="s">
        <v>259</v>
      </c>
      <c r="C218" s="141" t="s">
        <v>41</v>
      </c>
      <c r="D218" s="1">
        <v>1</v>
      </c>
      <c r="E218" s="243">
        <v>2015</v>
      </c>
      <c r="F218" s="243"/>
      <c r="G218" s="219"/>
      <c r="H218" s="219"/>
      <c r="I218" s="219"/>
      <c r="J218" s="147"/>
      <c r="K218" s="221"/>
      <c r="L218" s="222"/>
      <c r="M218" s="227"/>
      <c r="N218" s="227"/>
      <c r="O218" s="227"/>
      <c r="P218" s="227"/>
      <c r="Q218" s="227"/>
      <c r="R218" s="231"/>
      <c r="S218" s="231"/>
      <c r="T218" s="247">
        <v>45933</v>
      </c>
      <c r="U218" s="251" t="s">
        <v>315</v>
      </c>
      <c r="V218" s="234"/>
      <c r="W218" s="234"/>
      <c r="X218" s="234"/>
    </row>
    <row r="219" spans="1:24">
      <c r="A219" s="142" t="s">
        <v>58</v>
      </c>
      <c r="B219" s="141" t="s">
        <v>259</v>
      </c>
      <c r="C219" s="141" t="s">
        <v>42</v>
      </c>
      <c r="D219" s="1">
        <v>1</v>
      </c>
      <c r="E219" s="244">
        <v>2015</v>
      </c>
      <c r="F219" s="244"/>
      <c r="G219" s="219"/>
      <c r="H219" s="219"/>
      <c r="I219" s="219"/>
      <c r="J219" s="147"/>
      <c r="K219" s="221"/>
      <c r="L219" s="222"/>
      <c r="M219" s="227"/>
      <c r="N219" s="227"/>
      <c r="O219" s="227"/>
      <c r="P219" s="227"/>
      <c r="Q219" s="227"/>
      <c r="R219" s="231"/>
      <c r="S219" s="231"/>
      <c r="T219" s="247">
        <v>45934</v>
      </c>
      <c r="U219" s="251" t="s">
        <v>313</v>
      </c>
      <c r="V219" s="234"/>
      <c r="W219" s="234"/>
      <c r="X219" s="234"/>
    </row>
    <row r="220" spans="1:24">
      <c r="A220" s="142" t="s">
        <v>58</v>
      </c>
      <c r="B220" s="141" t="s">
        <v>259</v>
      </c>
      <c r="C220" s="141" t="s">
        <v>64</v>
      </c>
      <c r="D220" s="1">
        <v>1</v>
      </c>
      <c r="E220" s="243">
        <v>2015</v>
      </c>
      <c r="F220" s="243"/>
      <c r="G220" s="219"/>
      <c r="H220" s="219"/>
      <c r="I220" s="219"/>
      <c r="J220" s="147"/>
      <c r="K220" s="221"/>
      <c r="L220" s="222"/>
      <c r="M220" s="227"/>
      <c r="N220" s="227"/>
      <c r="O220" s="227"/>
      <c r="P220" s="227"/>
      <c r="Q220" s="227"/>
      <c r="R220" s="231"/>
      <c r="S220" s="231"/>
      <c r="T220" s="247">
        <v>45934</v>
      </c>
      <c r="U220" s="251" t="s">
        <v>313</v>
      </c>
      <c r="V220" s="234"/>
      <c r="W220" s="234"/>
      <c r="X220" s="234"/>
    </row>
    <row r="221" spans="1:24">
      <c r="A221" s="142" t="s">
        <v>58</v>
      </c>
      <c r="B221" s="141" t="s">
        <v>259</v>
      </c>
      <c r="C221" s="141" t="s">
        <v>34</v>
      </c>
      <c r="D221" s="1">
        <v>1</v>
      </c>
      <c r="E221" s="244">
        <v>2015</v>
      </c>
      <c r="F221" s="244"/>
      <c r="G221" s="219"/>
      <c r="H221" s="219"/>
      <c r="I221" s="219"/>
      <c r="J221" s="147"/>
      <c r="K221" s="221"/>
      <c r="L221" s="222"/>
      <c r="M221" s="227"/>
      <c r="N221" s="227"/>
      <c r="O221" s="227"/>
      <c r="P221" s="227"/>
      <c r="Q221" s="227"/>
      <c r="R221" s="231"/>
      <c r="S221" s="231"/>
      <c r="T221" s="247">
        <v>45934</v>
      </c>
      <c r="U221" s="251" t="s">
        <v>313</v>
      </c>
      <c r="V221" s="234"/>
      <c r="W221" s="234"/>
      <c r="X221" s="234"/>
    </row>
    <row r="222" spans="1:24">
      <c r="A222" s="142" t="s">
        <v>58</v>
      </c>
      <c r="B222" s="141" t="s">
        <v>259</v>
      </c>
      <c r="C222" s="141" t="s">
        <v>43</v>
      </c>
      <c r="D222" s="1">
        <v>1</v>
      </c>
      <c r="E222" s="243">
        <v>2015</v>
      </c>
      <c r="F222" s="243"/>
      <c r="G222" s="219"/>
      <c r="H222" s="219"/>
      <c r="I222" s="219"/>
      <c r="J222" s="147"/>
      <c r="K222" s="221"/>
      <c r="L222" s="222"/>
      <c r="M222" s="227"/>
      <c r="N222" s="227"/>
      <c r="O222" s="227"/>
      <c r="P222" s="227"/>
      <c r="Q222" s="227"/>
      <c r="R222" s="231"/>
      <c r="S222" s="231"/>
      <c r="T222" s="247">
        <v>45934</v>
      </c>
      <c r="U222" s="251" t="s">
        <v>313</v>
      </c>
      <c r="V222" s="234"/>
      <c r="W222" s="234"/>
      <c r="X222" s="234"/>
    </row>
    <row r="223" spans="1:24">
      <c r="A223" s="142" t="s">
        <v>103</v>
      </c>
      <c r="B223" s="141" t="s">
        <v>259</v>
      </c>
      <c r="C223" s="141" t="s">
        <v>18</v>
      </c>
      <c r="D223" s="1">
        <v>1</v>
      </c>
      <c r="E223" s="244">
        <v>2018</v>
      </c>
      <c r="F223" s="244"/>
      <c r="G223" s="219"/>
      <c r="H223" s="219"/>
      <c r="I223" s="219"/>
      <c r="J223" s="220"/>
      <c r="K223" s="221"/>
      <c r="L223" s="222"/>
      <c r="M223" s="227"/>
      <c r="N223" s="227"/>
      <c r="O223" s="227"/>
      <c r="P223" s="227"/>
      <c r="Q223" s="227"/>
      <c r="R223" s="231"/>
      <c r="S223" s="231"/>
      <c r="T223" s="246">
        <v>45689</v>
      </c>
      <c r="U223" s="250"/>
      <c r="V223" s="234"/>
      <c r="W223" s="234"/>
      <c r="X223" s="234"/>
    </row>
    <row r="224" spans="1:24">
      <c r="A224" s="142" t="s">
        <v>103</v>
      </c>
      <c r="B224" s="141" t="s">
        <v>259</v>
      </c>
      <c r="C224" s="141" t="s">
        <v>21</v>
      </c>
      <c r="D224" s="1">
        <v>1</v>
      </c>
      <c r="E224" s="243">
        <v>2018</v>
      </c>
      <c r="F224" s="243"/>
      <c r="G224" s="219"/>
      <c r="H224" s="219"/>
      <c r="I224" s="219"/>
      <c r="J224" s="220"/>
      <c r="K224" s="221"/>
      <c r="L224" s="222"/>
      <c r="M224" s="227"/>
      <c r="N224" s="227"/>
      <c r="O224" s="227"/>
      <c r="P224" s="227"/>
      <c r="Q224" s="227"/>
      <c r="R224" s="231"/>
      <c r="S224" s="231"/>
      <c r="T224" s="246">
        <v>45689</v>
      </c>
      <c r="U224" s="250"/>
      <c r="V224" s="234"/>
      <c r="W224" s="234"/>
      <c r="X224" s="234"/>
    </row>
    <row r="225" spans="1:24">
      <c r="A225" s="142" t="s">
        <v>54</v>
      </c>
      <c r="B225" s="141" t="s">
        <v>259</v>
      </c>
      <c r="C225" s="141" t="s">
        <v>18</v>
      </c>
      <c r="D225" s="1">
        <v>1</v>
      </c>
      <c r="E225" s="244">
        <v>2017</v>
      </c>
      <c r="F225" s="244"/>
      <c r="G225" s="219"/>
      <c r="H225" s="219"/>
      <c r="I225" s="219"/>
      <c r="J225" s="147"/>
      <c r="K225" s="221"/>
      <c r="L225" s="222"/>
      <c r="M225" s="227"/>
      <c r="N225" s="227"/>
      <c r="O225" s="227"/>
      <c r="P225" s="227"/>
      <c r="Q225" s="227"/>
      <c r="R225" s="231"/>
      <c r="S225" s="231"/>
      <c r="T225" s="245">
        <v>45933</v>
      </c>
      <c r="U225" s="251" t="s">
        <v>298</v>
      </c>
      <c r="V225" s="234"/>
      <c r="W225" s="234"/>
      <c r="X225" s="234"/>
    </row>
    <row r="226" spans="1:24">
      <c r="A226" s="142" t="s">
        <v>54</v>
      </c>
      <c r="B226" s="141" t="s">
        <v>259</v>
      </c>
      <c r="C226" s="141" t="s">
        <v>21</v>
      </c>
      <c r="D226" s="1">
        <v>1</v>
      </c>
      <c r="E226" s="243">
        <v>2017</v>
      </c>
      <c r="F226" s="243"/>
      <c r="G226" s="219"/>
      <c r="H226" s="219"/>
      <c r="I226" s="219"/>
      <c r="J226" s="147"/>
      <c r="K226" s="221"/>
      <c r="L226" s="222"/>
      <c r="M226" s="227"/>
      <c r="N226" s="227"/>
      <c r="O226" s="227"/>
      <c r="P226" s="227"/>
      <c r="Q226" s="227"/>
      <c r="R226" s="231"/>
      <c r="S226" s="231"/>
      <c r="T226" s="245">
        <v>45933</v>
      </c>
      <c r="U226" s="251" t="s">
        <v>298</v>
      </c>
      <c r="V226" s="234"/>
      <c r="W226" s="234"/>
      <c r="X226" s="234"/>
    </row>
    <row r="227" spans="1:24">
      <c r="A227" s="142" t="s">
        <v>182</v>
      </c>
      <c r="B227" s="141" t="s">
        <v>259</v>
      </c>
      <c r="C227" s="141" t="s">
        <v>18</v>
      </c>
      <c r="D227" s="1">
        <v>1</v>
      </c>
      <c r="E227" s="244">
        <v>2018</v>
      </c>
      <c r="F227" s="244"/>
      <c r="G227" s="219"/>
      <c r="H227" s="219"/>
      <c r="I227" s="219"/>
      <c r="J227" s="147"/>
      <c r="K227" s="221"/>
      <c r="L227" s="222"/>
      <c r="M227" s="227"/>
      <c r="N227" s="227"/>
      <c r="O227" s="227"/>
      <c r="P227" s="227"/>
      <c r="Q227" s="227"/>
      <c r="R227" s="231"/>
      <c r="S227" s="231"/>
      <c r="T227" s="246">
        <v>45658</v>
      </c>
      <c r="U227" s="250"/>
      <c r="V227" s="234"/>
      <c r="W227" s="234"/>
      <c r="X227" s="234"/>
    </row>
    <row r="228" spans="1:24">
      <c r="A228" s="142" t="s">
        <v>112</v>
      </c>
      <c r="B228" s="141" t="s">
        <v>259</v>
      </c>
      <c r="C228" s="141" t="s">
        <v>261</v>
      </c>
      <c r="D228" s="1">
        <v>1</v>
      </c>
      <c r="E228" s="243">
        <v>2021</v>
      </c>
      <c r="F228" s="243"/>
      <c r="G228" s="219"/>
      <c r="H228" s="219"/>
      <c r="I228" s="219"/>
      <c r="J228" s="147"/>
      <c r="K228" s="221"/>
      <c r="L228" s="222"/>
      <c r="M228" s="227"/>
      <c r="N228" s="227"/>
      <c r="O228" s="227"/>
      <c r="P228" s="227"/>
      <c r="Q228" s="227"/>
      <c r="R228" s="231"/>
      <c r="S228" s="231"/>
      <c r="T228" s="246">
        <v>45658</v>
      </c>
      <c r="U228" s="250"/>
      <c r="V228" s="234"/>
      <c r="W228" s="234"/>
      <c r="X228" s="234"/>
    </row>
    <row r="229" spans="1:24">
      <c r="A229" s="142" t="s">
        <v>38</v>
      </c>
      <c r="B229" s="141" t="s">
        <v>259</v>
      </c>
      <c r="C229" s="141" t="s">
        <v>18</v>
      </c>
      <c r="D229" s="1">
        <v>1</v>
      </c>
      <c r="E229" s="244">
        <v>2002</v>
      </c>
      <c r="F229" s="244"/>
      <c r="G229" s="219"/>
      <c r="H229" s="219"/>
      <c r="I229" s="219"/>
      <c r="J229" s="147"/>
      <c r="K229" s="221"/>
      <c r="L229" s="222"/>
      <c r="M229" s="237" t="s">
        <v>272</v>
      </c>
      <c r="N229" s="236">
        <v>45975</v>
      </c>
      <c r="O229" s="227"/>
      <c r="P229" s="227"/>
      <c r="Q229" s="227"/>
      <c r="R229" s="231"/>
      <c r="S229" s="231"/>
      <c r="T229" s="236">
        <v>45975</v>
      </c>
      <c r="U229" s="250"/>
      <c r="V229" s="234"/>
      <c r="W229" s="234"/>
      <c r="X229" s="234"/>
    </row>
    <row r="230" spans="1:24">
      <c r="A230" s="142" t="s">
        <v>84</v>
      </c>
      <c r="B230" s="141" t="s">
        <v>259</v>
      </c>
      <c r="C230" s="141" t="s">
        <v>18</v>
      </c>
      <c r="D230" s="1">
        <v>1</v>
      </c>
      <c r="E230" s="243">
        <v>2016</v>
      </c>
      <c r="F230" s="243"/>
      <c r="G230" s="219"/>
      <c r="H230" s="219"/>
      <c r="I230" s="219"/>
      <c r="J230" s="220"/>
      <c r="K230" s="221"/>
      <c r="L230" s="222"/>
      <c r="M230" s="227"/>
      <c r="N230" s="227"/>
      <c r="O230" s="227"/>
      <c r="P230" s="227"/>
      <c r="Q230" s="227"/>
      <c r="R230" s="231"/>
      <c r="S230" s="231"/>
      <c r="T230" s="246">
        <v>45870</v>
      </c>
      <c r="U230" s="250"/>
      <c r="V230" s="234"/>
      <c r="W230" s="234"/>
      <c r="X230" s="234"/>
    </row>
    <row r="231" spans="1:24">
      <c r="A231" s="142" t="s">
        <v>319</v>
      </c>
      <c r="B231" s="141" t="s">
        <v>259</v>
      </c>
      <c r="C231" s="141" t="s">
        <v>261</v>
      </c>
      <c r="D231" s="1">
        <v>1</v>
      </c>
      <c r="E231" s="244">
        <v>2021</v>
      </c>
      <c r="F231" s="244"/>
      <c r="G231" s="219"/>
      <c r="H231" s="219"/>
      <c r="I231" s="219"/>
      <c r="J231" s="147"/>
      <c r="K231" s="221"/>
      <c r="L231" s="222"/>
      <c r="M231" s="227"/>
      <c r="N231" s="227"/>
      <c r="O231" s="227"/>
      <c r="P231" s="227"/>
      <c r="Q231" s="227"/>
      <c r="R231" s="231"/>
      <c r="S231" s="231"/>
      <c r="T231" s="246">
        <v>45658</v>
      </c>
      <c r="U231" s="250"/>
      <c r="V231" s="234"/>
      <c r="W231" s="234"/>
      <c r="X231" s="234"/>
    </row>
    <row r="232" spans="1:24">
      <c r="A232" s="142" t="s">
        <v>116</v>
      </c>
      <c r="B232" s="141" t="s">
        <v>259</v>
      </c>
      <c r="C232" s="141" t="s">
        <v>261</v>
      </c>
      <c r="D232" s="1">
        <v>1</v>
      </c>
      <c r="E232" s="243">
        <v>2020</v>
      </c>
      <c r="F232" s="243"/>
      <c r="G232" s="219"/>
      <c r="H232" s="219"/>
      <c r="I232" s="219"/>
      <c r="J232" s="147"/>
      <c r="K232" s="221"/>
      <c r="L232" s="222"/>
      <c r="M232" s="227"/>
      <c r="N232" s="227"/>
      <c r="O232" s="227"/>
      <c r="P232" s="227"/>
      <c r="Q232" s="227"/>
      <c r="R232" s="231"/>
      <c r="S232" s="231"/>
      <c r="T232" s="246">
        <v>45658</v>
      </c>
      <c r="U232" s="250"/>
      <c r="V232" s="234"/>
      <c r="W232" s="234"/>
      <c r="X232" s="234"/>
    </row>
    <row r="233" spans="1:24">
      <c r="A233" s="142" t="s">
        <v>22</v>
      </c>
      <c r="B233" s="141" t="s">
        <v>259</v>
      </c>
      <c r="C233" s="141" t="s">
        <v>18</v>
      </c>
      <c r="D233" s="1">
        <v>1</v>
      </c>
      <c r="E233" s="244">
        <v>2016</v>
      </c>
      <c r="F233" s="244"/>
      <c r="G233" s="219"/>
      <c r="H233" s="219"/>
      <c r="I233" s="219"/>
      <c r="J233" s="147"/>
      <c r="K233" s="221"/>
      <c r="L233" s="222"/>
      <c r="M233" s="227"/>
      <c r="N233" s="227"/>
      <c r="O233" s="227"/>
      <c r="P233" s="227"/>
      <c r="Q233" s="227"/>
      <c r="R233" s="231"/>
      <c r="S233" s="231"/>
      <c r="T233" s="246">
        <v>45839</v>
      </c>
      <c r="U233" s="250"/>
      <c r="V233" s="234"/>
      <c r="W233" s="234"/>
      <c r="X233" s="234"/>
    </row>
    <row r="234" spans="1:24">
      <c r="A234" s="142" t="s">
        <v>127</v>
      </c>
      <c r="B234" s="141" t="s">
        <v>259</v>
      </c>
      <c r="C234" s="141" t="s">
        <v>18</v>
      </c>
      <c r="D234" s="1">
        <v>1</v>
      </c>
      <c r="E234" s="243">
        <v>2022</v>
      </c>
      <c r="F234" s="243"/>
      <c r="G234" s="219"/>
      <c r="H234" s="219"/>
      <c r="I234" s="219"/>
      <c r="J234" s="147"/>
      <c r="K234" s="221"/>
      <c r="L234" s="222"/>
      <c r="M234" s="227"/>
      <c r="N234" s="227"/>
      <c r="O234" s="227"/>
      <c r="P234" s="227"/>
      <c r="Q234" s="227"/>
      <c r="R234" s="231"/>
      <c r="S234" s="231"/>
      <c r="T234" s="246">
        <v>45658</v>
      </c>
      <c r="U234" s="250"/>
      <c r="V234" s="234"/>
      <c r="W234" s="234"/>
      <c r="X234" s="234"/>
    </row>
    <row r="235" spans="1:24">
      <c r="A235" s="142" t="s">
        <v>320</v>
      </c>
      <c r="B235" s="141" t="s">
        <v>277</v>
      </c>
      <c r="C235" s="141" t="s">
        <v>18</v>
      </c>
      <c r="D235" s="1">
        <v>1</v>
      </c>
      <c r="E235" s="244">
        <v>2019</v>
      </c>
      <c r="F235" s="244"/>
      <c r="G235" s="219"/>
      <c r="H235" s="219"/>
      <c r="I235" s="219"/>
      <c r="J235" s="147"/>
      <c r="K235" s="221"/>
      <c r="L235" s="222"/>
      <c r="M235" s="227"/>
      <c r="N235" s="227"/>
      <c r="O235" s="227"/>
      <c r="P235" s="227"/>
      <c r="Q235" s="227"/>
      <c r="R235" s="231"/>
      <c r="S235" s="231"/>
      <c r="T235" s="246">
        <v>45748</v>
      </c>
      <c r="U235" s="250"/>
      <c r="V235" s="234"/>
      <c r="W235" s="234"/>
      <c r="X235" s="234"/>
    </row>
    <row r="236" spans="1:24">
      <c r="A236" s="142" t="s">
        <v>113</v>
      </c>
      <c r="B236" s="141" t="s">
        <v>259</v>
      </c>
      <c r="C236" s="141" t="s">
        <v>18</v>
      </c>
      <c r="D236" s="1">
        <v>1</v>
      </c>
      <c r="E236" s="243">
        <v>2015</v>
      </c>
      <c r="F236" s="243"/>
      <c r="G236" s="219"/>
      <c r="H236" s="219"/>
      <c r="I236" s="219"/>
      <c r="J236" s="147"/>
      <c r="K236" s="221"/>
      <c r="L236" s="222"/>
      <c r="M236" s="227"/>
      <c r="N236" s="227"/>
      <c r="O236" s="227"/>
      <c r="P236" s="227"/>
      <c r="Q236" s="227"/>
      <c r="R236" s="231"/>
      <c r="S236" s="231"/>
      <c r="T236" s="246">
        <v>45658</v>
      </c>
      <c r="U236" s="250"/>
      <c r="V236" s="234"/>
      <c r="W236" s="234"/>
      <c r="X236" s="234"/>
    </row>
    <row r="237" spans="1:24">
      <c r="A237" s="142" t="s">
        <v>181</v>
      </c>
      <c r="B237" s="141" t="s">
        <v>259</v>
      </c>
      <c r="C237" s="141" t="s">
        <v>18</v>
      </c>
      <c r="D237" s="1">
        <v>1</v>
      </c>
      <c r="E237" s="244">
        <v>2021</v>
      </c>
      <c r="F237" s="244"/>
      <c r="G237" s="219"/>
      <c r="H237" s="219"/>
      <c r="I237" s="219"/>
      <c r="J237" s="147"/>
      <c r="K237" s="221"/>
      <c r="L237" s="222"/>
      <c r="M237" s="227"/>
      <c r="N237" s="227"/>
      <c r="O237" s="227"/>
      <c r="P237" s="227"/>
      <c r="Q237" s="227"/>
      <c r="R237" s="231"/>
      <c r="S237" s="231"/>
      <c r="T237" s="246">
        <v>45658</v>
      </c>
      <c r="U237" s="250"/>
      <c r="V237" s="234"/>
      <c r="W237" s="234"/>
      <c r="X237" s="234"/>
    </row>
    <row r="238" spans="1:24">
      <c r="A238" s="142" t="s">
        <v>57</v>
      </c>
      <c r="B238" s="141" t="s">
        <v>259</v>
      </c>
      <c r="C238" s="141" t="s">
        <v>18</v>
      </c>
      <c r="D238" s="1">
        <v>1</v>
      </c>
      <c r="E238" s="243">
        <v>2004</v>
      </c>
      <c r="F238" s="243"/>
      <c r="G238" s="219"/>
      <c r="H238" s="219"/>
      <c r="I238" s="219"/>
      <c r="J238" s="147"/>
      <c r="K238" s="221"/>
      <c r="L238" s="222"/>
      <c r="M238" s="237" t="s">
        <v>272</v>
      </c>
      <c r="N238" s="236">
        <v>45962</v>
      </c>
      <c r="O238" s="227"/>
      <c r="P238" s="227"/>
      <c r="Q238" s="227"/>
      <c r="R238" s="231"/>
      <c r="S238" s="231"/>
      <c r="T238" s="236">
        <v>45962</v>
      </c>
      <c r="U238" s="250"/>
      <c r="V238" s="234"/>
      <c r="W238" s="234"/>
      <c r="X238" s="234"/>
    </row>
    <row r="239" spans="1:24">
      <c r="A239" s="142" t="s">
        <v>180</v>
      </c>
      <c r="B239" s="141" t="s">
        <v>259</v>
      </c>
      <c r="C239" s="141" t="s">
        <v>18</v>
      </c>
      <c r="D239" s="1">
        <v>1</v>
      </c>
      <c r="E239" s="244">
        <v>2019</v>
      </c>
      <c r="F239" s="244"/>
      <c r="G239" s="219"/>
      <c r="H239" s="219"/>
      <c r="I239" s="219"/>
      <c r="J239" s="147"/>
      <c r="K239" s="221"/>
      <c r="L239" s="222"/>
      <c r="M239" s="227"/>
      <c r="N239" s="227"/>
      <c r="O239" s="227"/>
      <c r="P239" s="227"/>
      <c r="Q239" s="227"/>
      <c r="R239" s="231"/>
      <c r="S239" s="231"/>
      <c r="T239" s="246">
        <v>45658</v>
      </c>
      <c r="U239" s="250"/>
      <c r="V239" s="234"/>
      <c r="W239" s="234"/>
      <c r="X239" s="234"/>
    </row>
    <row r="240" spans="1:24">
      <c r="A240" s="142" t="s">
        <v>86</v>
      </c>
      <c r="B240" s="141" t="s">
        <v>259</v>
      </c>
      <c r="C240" s="141" t="s">
        <v>18</v>
      </c>
      <c r="D240" s="1">
        <v>1</v>
      </c>
      <c r="E240" s="243">
        <v>2016</v>
      </c>
      <c r="F240" s="243"/>
      <c r="G240" s="325" t="s">
        <v>307</v>
      </c>
      <c r="H240" s="325">
        <v>104</v>
      </c>
      <c r="I240" s="325">
        <v>116</v>
      </c>
      <c r="J240" s="326" t="s">
        <v>283</v>
      </c>
      <c r="K240" s="327">
        <v>45990</v>
      </c>
      <c r="L240" s="52" t="s">
        <v>284</v>
      </c>
      <c r="M240" s="227"/>
      <c r="N240" s="227"/>
      <c r="O240" s="227"/>
      <c r="P240" s="227"/>
      <c r="Q240" s="227"/>
      <c r="R240" s="231"/>
      <c r="S240" s="231"/>
      <c r="T240" s="245">
        <v>45927</v>
      </c>
      <c r="U240" s="251" t="s">
        <v>296</v>
      </c>
      <c r="V240" s="234"/>
      <c r="W240" s="234"/>
      <c r="X240" s="234"/>
    </row>
    <row r="241" spans="1:24">
      <c r="A241" s="142" t="s">
        <v>86</v>
      </c>
      <c r="B241" s="141" t="s">
        <v>259</v>
      </c>
      <c r="C241" s="141" t="s">
        <v>21</v>
      </c>
      <c r="D241" s="1">
        <v>1</v>
      </c>
      <c r="E241" s="244">
        <v>2016</v>
      </c>
      <c r="F241" s="244"/>
      <c r="G241" s="325" t="s">
        <v>307</v>
      </c>
      <c r="H241" s="325">
        <v>104</v>
      </c>
      <c r="I241" s="325">
        <v>116</v>
      </c>
      <c r="J241" s="326" t="s">
        <v>283</v>
      </c>
      <c r="K241" s="327">
        <v>45990</v>
      </c>
      <c r="L241" s="52" t="s">
        <v>284</v>
      </c>
      <c r="M241" s="227"/>
      <c r="N241" s="227"/>
      <c r="O241" s="227"/>
      <c r="P241" s="227"/>
      <c r="Q241" s="227"/>
      <c r="R241" s="231"/>
      <c r="S241" s="231"/>
      <c r="T241" s="245">
        <v>45927</v>
      </c>
      <c r="U241" s="251" t="s">
        <v>296</v>
      </c>
      <c r="V241" s="234"/>
      <c r="W241" s="234"/>
      <c r="X241" s="234"/>
    </row>
    <row r="242" spans="1:24">
      <c r="A242" s="142" t="s">
        <v>86</v>
      </c>
      <c r="B242" s="141" t="s">
        <v>259</v>
      </c>
      <c r="C242" s="141" t="s">
        <v>49</v>
      </c>
      <c r="D242" s="1">
        <v>1</v>
      </c>
      <c r="E242" s="243">
        <v>2016</v>
      </c>
      <c r="F242" s="243"/>
      <c r="G242" s="325" t="s">
        <v>307</v>
      </c>
      <c r="H242" s="325">
        <v>107</v>
      </c>
      <c r="I242" s="325">
        <v>119</v>
      </c>
      <c r="J242" s="326" t="s">
        <v>283</v>
      </c>
      <c r="K242" s="327">
        <v>45990</v>
      </c>
      <c r="L242" s="52" t="s">
        <v>284</v>
      </c>
      <c r="M242" s="227"/>
      <c r="N242" s="227"/>
      <c r="O242" s="227"/>
      <c r="P242" s="227"/>
      <c r="Q242" s="227"/>
      <c r="R242" s="231"/>
      <c r="S242" s="231"/>
      <c r="T242" s="245">
        <v>45927</v>
      </c>
      <c r="U242" s="251" t="s">
        <v>296</v>
      </c>
      <c r="V242" s="234"/>
      <c r="W242" s="234"/>
      <c r="X242" s="234"/>
    </row>
    <row r="243" spans="1:24">
      <c r="A243" s="142" t="s">
        <v>86</v>
      </c>
      <c r="B243" s="141" t="s">
        <v>259</v>
      </c>
      <c r="C243" s="141" t="s">
        <v>41</v>
      </c>
      <c r="D243" s="1">
        <v>1</v>
      </c>
      <c r="E243" s="244">
        <v>2016</v>
      </c>
      <c r="F243" s="244"/>
      <c r="G243" s="325" t="s">
        <v>307</v>
      </c>
      <c r="H243" s="325">
        <v>105</v>
      </c>
      <c r="I243" s="325">
        <v>117</v>
      </c>
      <c r="J243" s="326" t="s">
        <v>283</v>
      </c>
      <c r="K243" s="327">
        <v>45990</v>
      </c>
      <c r="L243" s="52" t="s">
        <v>284</v>
      </c>
      <c r="M243" s="227"/>
      <c r="N243" s="227"/>
      <c r="O243" s="227"/>
      <c r="P243" s="227"/>
      <c r="Q243" s="227"/>
      <c r="R243" s="231"/>
      <c r="S243" s="231"/>
      <c r="T243" s="245">
        <v>45927</v>
      </c>
      <c r="U243" s="251" t="s">
        <v>296</v>
      </c>
      <c r="V243" s="234"/>
      <c r="W243" s="234"/>
      <c r="X243" s="234"/>
    </row>
    <row r="244" spans="1:24">
      <c r="A244" s="142" t="s">
        <v>86</v>
      </c>
      <c r="B244" s="141" t="s">
        <v>259</v>
      </c>
      <c r="C244" s="141" t="s">
        <v>42</v>
      </c>
      <c r="D244" s="1">
        <v>1</v>
      </c>
      <c r="E244" s="243">
        <v>2016</v>
      </c>
      <c r="F244" s="243"/>
      <c r="G244" s="325" t="s">
        <v>307</v>
      </c>
      <c r="H244" s="325">
        <v>104</v>
      </c>
      <c r="I244" s="325">
        <v>118</v>
      </c>
      <c r="J244" s="326" t="s">
        <v>283</v>
      </c>
      <c r="K244" s="327">
        <v>45990</v>
      </c>
      <c r="L244" s="52" t="s">
        <v>284</v>
      </c>
      <c r="M244" s="227"/>
      <c r="N244" s="227"/>
      <c r="O244" s="227"/>
      <c r="P244" s="227"/>
      <c r="Q244" s="227"/>
      <c r="R244" s="231"/>
      <c r="S244" s="231"/>
      <c r="T244" s="245">
        <v>45927</v>
      </c>
      <c r="U244" s="251" t="s">
        <v>296</v>
      </c>
      <c r="V244" s="234"/>
      <c r="W244" s="234"/>
      <c r="X244" s="234"/>
    </row>
    <row r="245" spans="1:24">
      <c r="A245" s="142" t="s">
        <v>122</v>
      </c>
      <c r="B245" s="141" t="s">
        <v>259</v>
      </c>
      <c r="C245" s="141" t="s">
        <v>18</v>
      </c>
      <c r="D245" s="1">
        <v>1</v>
      </c>
      <c r="E245" s="244">
        <v>2009</v>
      </c>
      <c r="F245" s="244"/>
      <c r="G245" s="219"/>
      <c r="H245" s="219"/>
      <c r="I245" s="219"/>
      <c r="J245" s="147"/>
      <c r="K245" s="221"/>
      <c r="L245" s="222"/>
      <c r="M245" s="227"/>
      <c r="N245" s="227"/>
      <c r="O245" s="227"/>
      <c r="P245" s="227"/>
      <c r="Q245" s="227"/>
      <c r="R245" s="231"/>
      <c r="S245" s="231"/>
      <c r="T245" s="246">
        <v>45658</v>
      </c>
      <c r="U245" s="250"/>
      <c r="V245" s="234"/>
      <c r="W245" s="234"/>
      <c r="X245" s="234"/>
    </row>
    <row r="246" spans="1:24">
      <c r="A246" s="142" t="s">
        <v>33</v>
      </c>
      <c r="B246" s="141" t="s">
        <v>259</v>
      </c>
      <c r="C246" s="141" t="s">
        <v>35</v>
      </c>
      <c r="D246" s="1">
        <v>1</v>
      </c>
      <c r="E246" s="243">
        <v>2018</v>
      </c>
      <c r="F246" s="243"/>
      <c r="G246" s="219"/>
      <c r="H246" s="219"/>
      <c r="I246" s="219"/>
      <c r="J246" s="147"/>
      <c r="K246" s="221"/>
      <c r="L246" s="222"/>
      <c r="M246" s="237" t="s">
        <v>321</v>
      </c>
      <c r="N246" s="227"/>
      <c r="O246" s="227"/>
      <c r="P246" s="227"/>
      <c r="Q246" s="227"/>
      <c r="R246" s="231"/>
      <c r="S246" s="231"/>
      <c r="T246" s="245">
        <v>45931</v>
      </c>
      <c r="U246" s="251" t="s">
        <v>298</v>
      </c>
      <c r="V246" s="234"/>
      <c r="W246" s="234"/>
      <c r="X246" s="234"/>
    </row>
    <row r="247" spans="1:24">
      <c r="A247" s="142" t="s">
        <v>33</v>
      </c>
      <c r="B247" s="141" t="s">
        <v>259</v>
      </c>
      <c r="C247" s="141" t="s">
        <v>44</v>
      </c>
      <c r="D247" s="1">
        <v>1</v>
      </c>
      <c r="E247" s="244">
        <v>2018</v>
      </c>
      <c r="F247" s="244"/>
      <c r="G247" s="219"/>
      <c r="H247" s="219"/>
      <c r="I247" s="219"/>
      <c r="J247" s="147"/>
      <c r="K247" s="221"/>
      <c r="L247" s="222"/>
      <c r="M247" s="237" t="s">
        <v>321</v>
      </c>
      <c r="N247" s="227"/>
      <c r="O247" s="227"/>
      <c r="P247" s="227"/>
      <c r="Q247" s="227"/>
      <c r="R247" s="231"/>
      <c r="S247" s="231"/>
      <c r="T247" s="245">
        <v>45931</v>
      </c>
      <c r="U247" s="251" t="s">
        <v>298</v>
      </c>
      <c r="V247" s="234"/>
      <c r="W247" s="234"/>
      <c r="X247" s="234"/>
    </row>
    <row r="248" spans="1:24">
      <c r="A248" s="142" t="s">
        <v>33</v>
      </c>
      <c r="B248" s="141" t="s">
        <v>259</v>
      </c>
      <c r="C248" s="141" t="s">
        <v>18</v>
      </c>
      <c r="D248" s="1">
        <v>1</v>
      </c>
      <c r="E248" s="243">
        <v>2018</v>
      </c>
      <c r="F248" s="243"/>
      <c r="G248" s="219"/>
      <c r="H248" s="219"/>
      <c r="I248" s="219"/>
      <c r="J248" s="147"/>
      <c r="K248" s="221"/>
      <c r="L248" s="222"/>
      <c r="M248" s="237" t="s">
        <v>321</v>
      </c>
      <c r="N248" s="227"/>
      <c r="O248" s="227"/>
      <c r="P248" s="227"/>
      <c r="Q248" s="227"/>
      <c r="R248" s="231"/>
      <c r="S248" s="231"/>
      <c r="T248" s="245">
        <v>45931</v>
      </c>
      <c r="U248" s="251" t="s">
        <v>298</v>
      </c>
      <c r="V248" s="234"/>
      <c r="W248" s="234"/>
      <c r="X248" s="234"/>
    </row>
    <row r="249" spans="1:24">
      <c r="A249" s="142" t="s">
        <v>33</v>
      </c>
      <c r="B249" s="141" t="s">
        <v>259</v>
      </c>
      <c r="C249" s="141" t="s">
        <v>21</v>
      </c>
      <c r="D249" s="1">
        <v>1</v>
      </c>
      <c r="E249" s="244">
        <v>2018</v>
      </c>
      <c r="F249" s="244"/>
      <c r="G249" s="219"/>
      <c r="H249" s="219"/>
      <c r="I249" s="219"/>
      <c r="J249" s="147"/>
      <c r="K249" s="221"/>
      <c r="L249" s="222"/>
      <c r="M249" s="237" t="s">
        <v>321</v>
      </c>
      <c r="N249" s="227"/>
      <c r="O249" s="227"/>
      <c r="P249" s="227"/>
      <c r="Q249" s="227"/>
      <c r="R249" s="231"/>
      <c r="S249" s="231"/>
      <c r="T249" s="245">
        <v>45931</v>
      </c>
      <c r="U249" s="251" t="s">
        <v>298</v>
      </c>
      <c r="V249" s="234"/>
      <c r="W249" s="234"/>
      <c r="X249" s="234"/>
    </row>
    <row r="250" spans="1:24">
      <c r="A250" s="142" t="s">
        <v>33</v>
      </c>
      <c r="B250" s="141" t="s">
        <v>259</v>
      </c>
      <c r="C250" s="141" t="s">
        <v>41</v>
      </c>
      <c r="D250" s="1">
        <v>1</v>
      </c>
      <c r="E250" s="243">
        <v>2018</v>
      </c>
      <c r="F250" s="243"/>
      <c r="G250" s="219"/>
      <c r="H250" s="219"/>
      <c r="I250" s="219"/>
      <c r="J250" s="147"/>
      <c r="K250" s="221"/>
      <c r="L250" s="222"/>
      <c r="M250" s="237" t="s">
        <v>321</v>
      </c>
      <c r="N250" s="227"/>
      <c r="O250" s="227"/>
      <c r="P250" s="227"/>
      <c r="Q250" s="227"/>
      <c r="R250" s="231"/>
      <c r="S250" s="231"/>
      <c r="T250" s="245">
        <v>45932</v>
      </c>
      <c r="U250" s="251" t="s">
        <v>298</v>
      </c>
      <c r="V250" s="234"/>
      <c r="W250" s="234"/>
      <c r="X250" s="234"/>
    </row>
    <row r="251" spans="1:24">
      <c r="A251" s="142" t="s">
        <v>33</v>
      </c>
      <c r="B251" s="141" t="s">
        <v>259</v>
      </c>
      <c r="C251" s="141" t="s">
        <v>42</v>
      </c>
      <c r="D251" s="1">
        <v>1</v>
      </c>
      <c r="E251" s="244">
        <v>2018</v>
      </c>
      <c r="F251" s="244"/>
      <c r="G251" s="219"/>
      <c r="H251" s="219"/>
      <c r="I251" s="219"/>
      <c r="J251" s="147"/>
      <c r="K251" s="221"/>
      <c r="L251" s="222"/>
      <c r="M251" s="237" t="s">
        <v>321</v>
      </c>
      <c r="N251" s="227"/>
      <c r="O251" s="227"/>
      <c r="P251" s="227"/>
      <c r="Q251" s="227"/>
      <c r="R251" s="231"/>
      <c r="S251" s="231"/>
      <c r="T251" s="245">
        <v>45932</v>
      </c>
      <c r="U251" s="251" t="s">
        <v>298</v>
      </c>
      <c r="V251" s="234"/>
      <c r="W251" s="234"/>
      <c r="X251" s="234"/>
    </row>
    <row r="252" spans="1:24">
      <c r="A252" s="142" t="s">
        <v>33</v>
      </c>
      <c r="B252" s="141" t="s">
        <v>259</v>
      </c>
      <c r="C252" s="141" t="s">
        <v>34</v>
      </c>
      <c r="D252" s="1">
        <v>1</v>
      </c>
      <c r="E252" s="243">
        <v>2015</v>
      </c>
      <c r="F252" s="243"/>
      <c r="G252" s="219"/>
      <c r="H252" s="219"/>
      <c r="I252" s="219"/>
      <c r="J252" s="147"/>
      <c r="K252" s="221"/>
      <c r="L252" s="222"/>
      <c r="M252" s="239" t="s">
        <v>322</v>
      </c>
      <c r="N252" s="227"/>
      <c r="O252" s="227"/>
      <c r="P252" s="227"/>
      <c r="Q252" s="227"/>
      <c r="R252" s="231"/>
      <c r="S252" s="231"/>
      <c r="T252" s="245">
        <v>45932</v>
      </c>
      <c r="U252" s="251" t="s">
        <v>296</v>
      </c>
      <c r="V252" s="234"/>
      <c r="W252" s="234"/>
      <c r="X252" s="234"/>
    </row>
    <row r="253" spans="1:24">
      <c r="A253" s="142" t="s">
        <v>33</v>
      </c>
      <c r="B253" s="141" t="s">
        <v>259</v>
      </c>
      <c r="C253" s="141" t="s">
        <v>43</v>
      </c>
      <c r="D253" s="1">
        <v>1</v>
      </c>
      <c r="E253" s="244">
        <v>2015</v>
      </c>
      <c r="F253" s="244"/>
      <c r="G253" s="219"/>
      <c r="H253" s="219"/>
      <c r="I253" s="219"/>
      <c r="J253" s="147"/>
      <c r="K253" s="221"/>
      <c r="L253" s="222"/>
      <c r="M253" s="239" t="s">
        <v>322</v>
      </c>
      <c r="N253" s="227"/>
      <c r="O253" s="227"/>
      <c r="P253" s="227"/>
      <c r="Q253" s="227"/>
      <c r="R253" s="231"/>
      <c r="S253" s="231"/>
      <c r="T253" s="245">
        <v>45932</v>
      </c>
      <c r="U253" s="251" t="s">
        <v>296</v>
      </c>
      <c r="V253" s="234"/>
      <c r="W253" s="234"/>
      <c r="X253" s="234"/>
    </row>
    <row r="254" spans="1:24">
      <c r="A254" s="142" t="s">
        <v>85</v>
      </c>
      <c r="B254" s="141" t="s">
        <v>259</v>
      </c>
      <c r="C254" s="141" t="s">
        <v>18</v>
      </c>
      <c r="D254" s="1">
        <v>1</v>
      </c>
      <c r="E254" s="243">
        <v>2021</v>
      </c>
      <c r="F254" s="243"/>
      <c r="G254" s="325" t="s">
        <v>260</v>
      </c>
      <c r="H254" s="325">
        <v>76</v>
      </c>
      <c r="I254" s="325">
        <v>80</v>
      </c>
      <c r="J254" s="326" t="s">
        <v>283</v>
      </c>
      <c r="K254" s="326">
        <v>45979</v>
      </c>
      <c r="L254" s="52" t="s">
        <v>284</v>
      </c>
      <c r="M254" s="227"/>
      <c r="N254" s="227"/>
      <c r="O254" s="227"/>
      <c r="P254" s="227"/>
      <c r="Q254" s="227"/>
      <c r="R254" s="231"/>
      <c r="S254" s="231"/>
      <c r="T254" s="246">
        <v>45778</v>
      </c>
      <c r="U254" s="250"/>
      <c r="V254" s="234"/>
      <c r="W254" s="234"/>
      <c r="X254" s="234"/>
    </row>
    <row r="255" spans="1:24">
      <c r="A255" s="142" t="s">
        <v>85</v>
      </c>
      <c r="B255" s="141" t="s">
        <v>259</v>
      </c>
      <c r="C255" s="141" t="s">
        <v>21</v>
      </c>
      <c r="D255" s="1">
        <v>1</v>
      </c>
      <c r="E255" s="244">
        <v>2021</v>
      </c>
      <c r="F255" s="244"/>
      <c r="G255" s="325" t="s">
        <v>260</v>
      </c>
      <c r="H255" s="325">
        <v>75</v>
      </c>
      <c r="I255" s="325">
        <v>79</v>
      </c>
      <c r="J255" s="326" t="s">
        <v>283</v>
      </c>
      <c r="K255" s="326">
        <v>45979</v>
      </c>
      <c r="L255" s="52" t="s">
        <v>284</v>
      </c>
      <c r="M255" s="227"/>
      <c r="N255" s="227"/>
      <c r="O255" s="227"/>
      <c r="P255" s="227"/>
      <c r="Q255" s="227"/>
      <c r="R255" s="231"/>
      <c r="S255" s="231"/>
      <c r="T255" s="246">
        <v>45778</v>
      </c>
      <c r="U255" s="250"/>
      <c r="V255" s="234"/>
      <c r="W255" s="234"/>
      <c r="X255" s="234"/>
    </row>
    <row r="256" spans="1:24">
      <c r="A256" s="142" t="s">
        <v>323</v>
      </c>
      <c r="B256" s="141" t="s">
        <v>259</v>
      </c>
      <c r="C256" s="141" t="s">
        <v>18</v>
      </c>
      <c r="D256" s="1">
        <v>1</v>
      </c>
      <c r="E256" s="243">
        <v>2016</v>
      </c>
      <c r="F256" s="243"/>
      <c r="G256" s="219"/>
      <c r="H256" s="219"/>
      <c r="I256" s="219"/>
      <c r="J256" s="147"/>
      <c r="K256" s="221"/>
      <c r="L256" s="222"/>
      <c r="M256" s="227"/>
      <c r="N256" s="227"/>
      <c r="O256" s="227"/>
      <c r="P256" s="227"/>
      <c r="Q256" s="227"/>
      <c r="R256" s="231"/>
      <c r="S256" s="231"/>
      <c r="T256" s="245">
        <v>45928</v>
      </c>
      <c r="U256" s="251" t="s">
        <v>298</v>
      </c>
      <c r="V256" s="234"/>
      <c r="W256" s="234"/>
      <c r="X256" s="234"/>
    </row>
    <row r="257" spans="1:24">
      <c r="A257" s="142" t="s">
        <v>323</v>
      </c>
      <c r="B257" s="141" t="s">
        <v>259</v>
      </c>
      <c r="C257" s="141" t="s">
        <v>21</v>
      </c>
      <c r="D257" s="1">
        <v>1</v>
      </c>
      <c r="E257" s="244">
        <v>2016</v>
      </c>
      <c r="F257" s="244"/>
      <c r="G257" s="219"/>
      <c r="H257" s="219"/>
      <c r="I257" s="219"/>
      <c r="J257" s="147"/>
      <c r="K257" s="221"/>
      <c r="L257" s="222"/>
      <c r="M257" s="238"/>
      <c r="N257" s="227"/>
      <c r="O257" s="227"/>
      <c r="P257" s="227"/>
      <c r="Q257" s="227"/>
      <c r="R257" s="231"/>
      <c r="S257" s="231"/>
      <c r="T257" s="245">
        <v>45928</v>
      </c>
      <c r="U257" s="251" t="s">
        <v>298</v>
      </c>
      <c r="V257" s="234"/>
      <c r="W257" s="234"/>
      <c r="X257" s="234"/>
    </row>
    <row r="258" spans="1:24">
      <c r="A258" s="142" t="s">
        <v>324</v>
      </c>
      <c r="B258" s="141" t="s">
        <v>259</v>
      </c>
      <c r="C258" s="141" t="s">
        <v>18</v>
      </c>
      <c r="D258" s="1">
        <v>1</v>
      </c>
      <c r="E258" s="243">
        <v>2018</v>
      </c>
      <c r="F258" s="243"/>
      <c r="G258" s="219"/>
      <c r="H258" s="219"/>
      <c r="I258" s="219"/>
      <c r="J258" s="147"/>
      <c r="K258" s="221"/>
      <c r="L258" s="222"/>
      <c r="M258" s="227"/>
      <c r="N258" s="227"/>
      <c r="O258" s="227"/>
      <c r="P258" s="227"/>
      <c r="Q258" s="227"/>
      <c r="R258" s="231"/>
      <c r="S258" s="231"/>
      <c r="T258" s="246">
        <v>45689</v>
      </c>
      <c r="U258" s="250"/>
      <c r="V258" s="234"/>
      <c r="W258" s="234"/>
      <c r="X258" s="234"/>
    </row>
    <row r="259" spans="1:24">
      <c r="A259" s="142" t="s">
        <v>324</v>
      </c>
      <c r="B259" s="141" t="s">
        <v>259</v>
      </c>
      <c r="C259" s="141" t="s">
        <v>21</v>
      </c>
      <c r="D259" s="1">
        <v>1</v>
      </c>
      <c r="E259" s="244">
        <v>2018</v>
      </c>
      <c r="F259" s="244"/>
      <c r="G259" s="219"/>
      <c r="H259" s="219"/>
      <c r="I259" s="219"/>
      <c r="J259" s="147"/>
      <c r="K259" s="221"/>
      <c r="L259" s="222"/>
      <c r="M259" s="227"/>
      <c r="N259" s="227"/>
      <c r="O259" s="227"/>
      <c r="P259" s="227"/>
      <c r="Q259" s="227"/>
      <c r="R259" s="231"/>
      <c r="S259" s="231"/>
      <c r="T259" s="246">
        <v>45689</v>
      </c>
      <c r="U259" s="250"/>
      <c r="V259" s="234"/>
      <c r="W259" s="234"/>
      <c r="X259" s="234"/>
    </row>
    <row r="260" spans="1:24">
      <c r="A260" s="142" t="s">
        <v>324</v>
      </c>
      <c r="B260" s="141" t="s">
        <v>259</v>
      </c>
      <c r="C260" s="141" t="s">
        <v>49</v>
      </c>
      <c r="D260" s="1">
        <v>1</v>
      </c>
      <c r="E260" s="243">
        <v>2018</v>
      </c>
      <c r="F260" s="243"/>
      <c r="G260" s="219"/>
      <c r="H260" s="219"/>
      <c r="I260" s="219"/>
      <c r="J260" s="147"/>
      <c r="K260" s="221"/>
      <c r="L260" s="222"/>
      <c r="M260" s="227"/>
      <c r="N260" s="227"/>
      <c r="O260" s="227"/>
      <c r="P260" s="227"/>
      <c r="Q260" s="227"/>
      <c r="R260" s="231"/>
      <c r="S260" s="231"/>
      <c r="T260" s="246">
        <v>45689</v>
      </c>
      <c r="U260" s="250"/>
      <c r="V260" s="234"/>
      <c r="W260" s="234"/>
      <c r="X260" s="234"/>
    </row>
    <row r="261" spans="1:24">
      <c r="A261" s="142" t="s">
        <v>324</v>
      </c>
      <c r="B261" s="141" t="s">
        <v>259</v>
      </c>
      <c r="C261" s="141" t="s">
        <v>41</v>
      </c>
      <c r="D261" s="1">
        <v>1</v>
      </c>
      <c r="E261" s="244">
        <v>2019</v>
      </c>
      <c r="F261" s="244"/>
      <c r="G261" s="219"/>
      <c r="H261" s="219"/>
      <c r="I261" s="219"/>
      <c r="J261" s="147"/>
      <c r="K261" s="221"/>
      <c r="L261" s="222"/>
      <c r="M261" s="227"/>
      <c r="N261" s="227"/>
      <c r="O261" s="227"/>
      <c r="P261" s="227"/>
      <c r="Q261" s="227"/>
      <c r="R261" s="231"/>
      <c r="S261" s="231"/>
      <c r="T261" s="246">
        <v>45689</v>
      </c>
      <c r="U261" s="250"/>
      <c r="V261" s="234"/>
      <c r="W261" s="234"/>
      <c r="X261" s="234"/>
    </row>
    <row r="262" spans="1:24">
      <c r="A262" s="143" t="s">
        <v>324</v>
      </c>
      <c r="B262" s="144" t="s">
        <v>259</v>
      </c>
      <c r="C262" s="144" t="s">
        <v>47</v>
      </c>
      <c r="D262" s="150">
        <v>1</v>
      </c>
      <c r="E262" s="243">
        <v>2019</v>
      </c>
      <c r="F262" s="328"/>
      <c r="G262" s="223"/>
      <c r="H262" s="223"/>
      <c r="I262" s="223"/>
      <c r="J262" s="224"/>
      <c r="K262" s="225"/>
      <c r="L262" s="226"/>
      <c r="M262" s="227"/>
      <c r="N262" s="227"/>
      <c r="O262" s="227"/>
      <c r="P262" s="229"/>
      <c r="Q262" s="229"/>
      <c r="R262" s="232"/>
      <c r="S262" s="232"/>
      <c r="T262" s="246">
        <v>45689</v>
      </c>
      <c r="U262" s="252"/>
      <c r="V262" s="235"/>
      <c r="W262" s="235"/>
      <c r="X262" s="235"/>
    </row>
  </sheetData>
  <mergeCells count="9">
    <mergeCell ref="V1:X1"/>
    <mergeCell ref="K2:L2"/>
    <mergeCell ref="K3:L3"/>
    <mergeCell ref="K4:L4"/>
    <mergeCell ref="I2:J2"/>
    <mergeCell ref="I3:J3"/>
    <mergeCell ref="I4:J4"/>
    <mergeCell ref="M1:U1"/>
    <mergeCell ref="A1:L1"/>
  </mergeCells>
  <phoneticPr fontId="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D854E-C595-460A-9575-617E0A5C0A7A}">
  <sheetPr>
    <pageSetUpPr fitToPage="1"/>
  </sheetPr>
  <dimension ref="A1:L1560"/>
  <sheetViews>
    <sheetView zoomScale="80" zoomScaleNormal="80" workbookViewId="0">
      <pane ySplit="3" topLeftCell="A807" activePane="bottomLeft" state="frozen"/>
      <selection pane="bottomLeft" activeCell="A708" sqref="A708"/>
    </sheetView>
  </sheetViews>
  <sheetFormatPr defaultColWidth="6.7109375" defaultRowHeight="14.45"/>
  <cols>
    <col min="1" max="1" width="13.42578125" customWidth="1"/>
    <col min="2" max="2" width="10.85546875" customWidth="1"/>
    <col min="3" max="3" width="19.5703125" customWidth="1"/>
    <col min="4" max="4" width="14.85546875" customWidth="1"/>
    <col min="5" max="5" width="36.28515625" customWidth="1"/>
    <col min="6" max="7" width="7.85546875" style="5" customWidth="1"/>
    <col min="8" max="8" width="6.85546875" style="4" customWidth="1"/>
    <col min="9" max="9" width="53.5703125" style="4" customWidth="1"/>
  </cols>
  <sheetData>
    <row r="1" spans="1:12" ht="28.9">
      <c r="A1" s="332" t="s">
        <v>0</v>
      </c>
      <c r="B1" s="332"/>
      <c r="C1" s="332"/>
      <c r="D1" s="332"/>
      <c r="E1" s="332"/>
      <c r="F1" s="332"/>
      <c r="G1" s="332"/>
      <c r="H1" s="332"/>
      <c r="I1" s="332"/>
      <c r="J1" t="s">
        <v>325</v>
      </c>
      <c r="K1" t="s">
        <v>326</v>
      </c>
      <c r="L1" t="s">
        <v>327</v>
      </c>
    </row>
    <row r="2" spans="1:12">
      <c r="A2" s="34"/>
      <c r="B2" s="34"/>
      <c r="C2" s="34"/>
      <c r="D2" s="34"/>
      <c r="E2" s="34"/>
      <c r="F2" s="34" t="s">
        <v>1</v>
      </c>
      <c r="G2" s="34">
        <f>SUBTOTAL(109,Table134[Units])</f>
        <v>1474</v>
      </c>
      <c r="H2" s="34"/>
      <c r="I2" s="34"/>
      <c r="J2" t="s">
        <v>328</v>
      </c>
      <c r="K2" t="s">
        <v>329</v>
      </c>
      <c r="L2" t="s">
        <v>330</v>
      </c>
    </row>
    <row r="3" spans="1:12">
      <c r="A3" s="30" t="s">
        <v>2</v>
      </c>
      <c r="B3" s="30" t="s">
        <v>3</v>
      </c>
      <c r="C3" s="31" t="s">
        <v>4</v>
      </c>
      <c r="D3" s="31" t="s">
        <v>331</v>
      </c>
      <c r="E3" s="31" t="s">
        <v>5</v>
      </c>
      <c r="F3" s="31" t="s">
        <v>6</v>
      </c>
      <c r="G3" s="31" t="s">
        <v>7</v>
      </c>
      <c r="H3" s="31" t="s">
        <v>8</v>
      </c>
      <c r="I3" s="32" t="s">
        <v>12</v>
      </c>
    </row>
    <row r="4" spans="1:12" s="173" customFormat="1">
      <c r="A4" s="166">
        <v>45901</v>
      </c>
      <c r="B4" s="167">
        <f>Table134[[#This Row],[Date]]</f>
        <v>45901</v>
      </c>
      <c r="C4" s="168" t="s">
        <v>14</v>
      </c>
      <c r="D4" s="172"/>
      <c r="E4" s="169" t="s">
        <v>15</v>
      </c>
      <c r="F4" s="170"/>
      <c r="G4" s="168"/>
      <c r="H4" s="168"/>
      <c r="I4" s="171"/>
    </row>
    <row r="5" spans="1:12" s="173" customFormat="1">
      <c r="A5" s="166">
        <v>45901</v>
      </c>
      <c r="B5" s="167">
        <f>Table134[[#This Row],[Date]]</f>
        <v>45901</v>
      </c>
      <c r="C5" s="168" t="s">
        <v>16</v>
      </c>
      <c r="D5" s="172"/>
      <c r="E5" s="169" t="s">
        <v>17</v>
      </c>
      <c r="F5" s="168" t="s">
        <v>18</v>
      </c>
      <c r="G5" s="168" t="s">
        <v>19</v>
      </c>
      <c r="H5" s="168">
        <v>1</v>
      </c>
      <c r="I5" s="171"/>
    </row>
    <row r="6" spans="1:12" s="173" customFormat="1">
      <c r="A6" s="166">
        <v>45901</v>
      </c>
      <c r="B6" s="167">
        <f>Table134[[#This Row],[Date]]</f>
        <v>45901</v>
      </c>
      <c r="C6" s="168" t="s">
        <v>16</v>
      </c>
      <c r="D6" s="172"/>
      <c r="E6" s="174" t="s">
        <v>20</v>
      </c>
      <c r="F6" s="168" t="s">
        <v>21</v>
      </c>
      <c r="G6" s="168" t="s">
        <v>19</v>
      </c>
      <c r="H6" s="168">
        <v>1</v>
      </c>
      <c r="I6" s="171"/>
    </row>
    <row r="7" spans="1:12" s="173" customFormat="1">
      <c r="A7" s="166">
        <v>45901</v>
      </c>
      <c r="B7" s="167">
        <f>Table134[[#This Row],[Date]]</f>
        <v>45901</v>
      </c>
      <c r="C7" s="168" t="s">
        <v>16</v>
      </c>
      <c r="D7" s="172"/>
      <c r="E7" s="175" t="s">
        <v>22</v>
      </c>
      <c r="F7" s="170" t="s">
        <v>18</v>
      </c>
      <c r="G7" s="168" t="s">
        <v>19</v>
      </c>
      <c r="H7" s="168">
        <v>1</v>
      </c>
      <c r="I7" s="171"/>
    </row>
    <row r="8" spans="1:12" s="173" customFormat="1">
      <c r="A8" s="166">
        <v>45901</v>
      </c>
      <c r="B8" s="167">
        <f>Table134[[#This Row],[Date]]</f>
        <v>45901</v>
      </c>
      <c r="C8" s="168" t="s">
        <v>23</v>
      </c>
      <c r="D8" s="172"/>
      <c r="E8" s="175" t="s">
        <v>24</v>
      </c>
      <c r="F8" s="170" t="s">
        <v>18</v>
      </c>
      <c r="G8" s="168" t="s">
        <v>19</v>
      </c>
      <c r="H8" s="168">
        <v>1</v>
      </c>
      <c r="I8" s="171"/>
    </row>
    <row r="9" spans="1:12" s="173" customFormat="1">
      <c r="A9" s="166">
        <v>45901</v>
      </c>
      <c r="B9" s="167">
        <f>Table134[[#This Row],[Date]]</f>
        <v>45901</v>
      </c>
      <c r="C9" s="168" t="s">
        <v>23</v>
      </c>
      <c r="D9" s="172"/>
      <c r="E9" s="175" t="s">
        <v>25</v>
      </c>
      <c r="F9" s="170" t="s">
        <v>18</v>
      </c>
      <c r="G9" s="168" t="s">
        <v>19</v>
      </c>
      <c r="H9" s="168">
        <v>1</v>
      </c>
      <c r="I9" s="171"/>
    </row>
    <row r="10" spans="1:12" s="173" customFormat="1">
      <c r="A10" s="166">
        <v>45901</v>
      </c>
      <c r="B10" s="167">
        <f>Table134[[#This Row],[Date]]</f>
        <v>45901</v>
      </c>
      <c r="C10" s="168" t="s">
        <v>23</v>
      </c>
      <c r="D10" s="172"/>
      <c r="E10" s="175" t="s">
        <v>25</v>
      </c>
      <c r="F10" s="170" t="s">
        <v>21</v>
      </c>
      <c r="G10" s="168" t="s">
        <v>19</v>
      </c>
      <c r="H10" s="168">
        <v>1</v>
      </c>
      <c r="I10" s="171"/>
    </row>
    <row r="11" spans="1:12" s="173" customFormat="1">
      <c r="A11" s="166">
        <v>45901</v>
      </c>
      <c r="B11" s="167">
        <f>Table134[[#This Row],[Date]]</f>
        <v>45901</v>
      </c>
      <c r="C11" s="168" t="s">
        <v>26</v>
      </c>
      <c r="D11" s="168"/>
      <c r="E11" s="176" t="s">
        <v>27</v>
      </c>
      <c r="F11" s="168" t="s">
        <v>18</v>
      </c>
      <c r="G11" s="168" t="s">
        <v>19</v>
      </c>
      <c r="H11" s="168">
        <v>1</v>
      </c>
      <c r="I11" s="171"/>
    </row>
    <row r="12" spans="1:12" s="173" customFormat="1">
      <c r="A12" s="166">
        <v>45901</v>
      </c>
      <c r="B12" s="167">
        <f>Table134[[#This Row],[Date]]</f>
        <v>45901</v>
      </c>
      <c r="C12" s="168" t="s">
        <v>26</v>
      </c>
      <c r="D12" s="168"/>
      <c r="E12" s="176" t="s">
        <v>27</v>
      </c>
      <c r="F12" s="168" t="s">
        <v>28</v>
      </c>
      <c r="G12" s="168" t="s">
        <v>19</v>
      </c>
      <c r="H12" s="168">
        <v>1</v>
      </c>
      <c r="I12" s="171"/>
    </row>
    <row r="13" spans="1:12" s="173" customFormat="1">
      <c r="A13" s="166">
        <v>45901</v>
      </c>
      <c r="B13" s="167">
        <f>Table134[[#This Row],[Date]]</f>
        <v>45901</v>
      </c>
      <c r="C13" s="168" t="s">
        <v>26</v>
      </c>
      <c r="D13" s="168"/>
      <c r="E13" s="176" t="s">
        <v>29</v>
      </c>
      <c r="F13" s="168" t="s">
        <v>18</v>
      </c>
      <c r="G13" s="168" t="s">
        <v>19</v>
      </c>
      <c r="H13" s="168">
        <v>1</v>
      </c>
      <c r="I13" s="171"/>
    </row>
    <row r="14" spans="1:12" s="173" customFormat="1">
      <c r="A14" s="166">
        <v>45901</v>
      </c>
      <c r="B14" s="167">
        <f>Table134[[#This Row],[Date]]</f>
        <v>45901</v>
      </c>
      <c r="C14" s="168" t="s">
        <v>26</v>
      </c>
      <c r="D14" s="168"/>
      <c r="E14" s="176" t="s">
        <v>29</v>
      </c>
      <c r="F14" s="168" t="s">
        <v>28</v>
      </c>
      <c r="G14" s="168" t="s">
        <v>19</v>
      </c>
      <c r="H14" s="168">
        <v>1</v>
      </c>
      <c r="I14" s="171"/>
    </row>
    <row r="15" spans="1:12" s="173" customFormat="1">
      <c r="A15" s="166">
        <v>45902</v>
      </c>
      <c r="B15" s="167">
        <f>Table134[[#This Row],[Date]]</f>
        <v>45902</v>
      </c>
      <c r="C15" s="168" t="s">
        <v>26</v>
      </c>
      <c r="D15" s="168"/>
      <c r="E15" s="176" t="s">
        <v>30</v>
      </c>
      <c r="F15" s="168" t="s">
        <v>18</v>
      </c>
      <c r="G15" s="168" t="s">
        <v>19</v>
      </c>
      <c r="H15" s="168">
        <v>1</v>
      </c>
      <c r="I15" s="171"/>
    </row>
    <row r="16" spans="1:12" s="173" customFormat="1">
      <c r="A16" s="166">
        <v>45902</v>
      </c>
      <c r="B16" s="167">
        <f>Table134[[#This Row],[Date]]</f>
        <v>45902</v>
      </c>
      <c r="C16" s="168" t="s">
        <v>26</v>
      </c>
      <c r="D16" s="168"/>
      <c r="E16" s="176" t="s">
        <v>30</v>
      </c>
      <c r="F16" s="168" t="s">
        <v>28</v>
      </c>
      <c r="G16" s="168" t="s">
        <v>19</v>
      </c>
      <c r="H16" s="168">
        <v>1</v>
      </c>
      <c r="I16" s="171"/>
    </row>
    <row r="17" spans="1:9" s="173" customFormat="1">
      <c r="A17" s="166">
        <v>45902</v>
      </c>
      <c r="B17" s="167">
        <f>Table134[[#This Row],[Date]]</f>
        <v>45902</v>
      </c>
      <c r="C17" s="168" t="s">
        <v>26</v>
      </c>
      <c r="D17" s="168"/>
      <c r="E17" s="176" t="s">
        <v>31</v>
      </c>
      <c r="F17" s="168" t="s">
        <v>18</v>
      </c>
      <c r="G17" s="168" t="s">
        <v>19</v>
      </c>
      <c r="H17" s="168">
        <v>1</v>
      </c>
      <c r="I17" s="171"/>
    </row>
    <row r="18" spans="1:9" s="173" customFormat="1">
      <c r="A18" s="166">
        <v>45902</v>
      </c>
      <c r="B18" s="167">
        <f>Table134[[#This Row],[Date]]</f>
        <v>45902</v>
      </c>
      <c r="C18" s="168" t="s">
        <v>26</v>
      </c>
      <c r="D18" s="168"/>
      <c r="E18" s="176" t="s">
        <v>31</v>
      </c>
      <c r="F18" s="168" t="s">
        <v>28</v>
      </c>
      <c r="G18" s="168" t="s">
        <v>19</v>
      </c>
      <c r="H18" s="168">
        <v>1</v>
      </c>
      <c r="I18" s="171"/>
    </row>
    <row r="19" spans="1:9" s="173" customFormat="1">
      <c r="A19" s="166">
        <v>45902</v>
      </c>
      <c r="B19" s="167">
        <f>Table134[[#This Row],[Date]]</f>
        <v>45902</v>
      </c>
      <c r="C19" s="168" t="s">
        <v>4</v>
      </c>
      <c r="D19" s="168"/>
      <c r="E19" s="177" t="s">
        <v>32</v>
      </c>
      <c r="F19" s="168"/>
      <c r="G19" s="168"/>
      <c r="H19" s="168"/>
      <c r="I19" s="171"/>
    </row>
    <row r="20" spans="1:9" s="173" customFormat="1">
      <c r="A20" s="166">
        <v>45903</v>
      </c>
      <c r="B20" s="167">
        <f>Table134[[#This Row],[Date]]</f>
        <v>45903</v>
      </c>
      <c r="C20" s="168" t="s">
        <v>14</v>
      </c>
      <c r="D20" s="168"/>
      <c r="E20" s="178" t="s">
        <v>33</v>
      </c>
      <c r="F20" s="179" t="s">
        <v>18</v>
      </c>
      <c r="G20" s="168" t="s">
        <v>19</v>
      </c>
      <c r="H20" s="168">
        <v>1</v>
      </c>
      <c r="I20" s="171"/>
    </row>
    <row r="21" spans="1:9" s="173" customFormat="1">
      <c r="A21" s="166">
        <v>45903</v>
      </c>
      <c r="B21" s="167">
        <f>Table134[[#This Row],[Date]]</f>
        <v>45903</v>
      </c>
      <c r="C21" s="168" t="s">
        <v>14</v>
      </c>
      <c r="D21" s="168"/>
      <c r="E21" s="178" t="s">
        <v>33</v>
      </c>
      <c r="F21" s="168" t="s">
        <v>21</v>
      </c>
      <c r="G21" s="168" t="s">
        <v>19</v>
      </c>
      <c r="H21" s="168">
        <v>1</v>
      </c>
      <c r="I21" s="171"/>
    </row>
    <row r="22" spans="1:9" s="173" customFormat="1">
      <c r="A22" s="166">
        <v>45903</v>
      </c>
      <c r="B22" s="167">
        <f>Table134[[#This Row],[Date]]</f>
        <v>45903</v>
      </c>
      <c r="C22" s="168" t="s">
        <v>14</v>
      </c>
      <c r="D22" s="168"/>
      <c r="E22" s="178" t="s">
        <v>33</v>
      </c>
      <c r="F22" s="179" t="s">
        <v>34</v>
      </c>
      <c r="G22" s="168" t="s">
        <v>19</v>
      </c>
      <c r="H22" s="168">
        <v>1</v>
      </c>
      <c r="I22" s="171"/>
    </row>
    <row r="23" spans="1:9" s="173" customFormat="1">
      <c r="A23" s="166">
        <v>45903</v>
      </c>
      <c r="B23" s="167">
        <f>Table134[[#This Row],[Date]]</f>
        <v>45903</v>
      </c>
      <c r="C23" s="168" t="s">
        <v>14</v>
      </c>
      <c r="D23" s="168"/>
      <c r="E23" s="178" t="s">
        <v>33</v>
      </c>
      <c r="F23" s="179" t="s">
        <v>35</v>
      </c>
      <c r="G23" s="168" t="s">
        <v>19</v>
      </c>
      <c r="H23" s="168">
        <v>1</v>
      </c>
      <c r="I23" s="171"/>
    </row>
    <row r="24" spans="1:9" s="173" customFormat="1">
      <c r="A24" s="166">
        <v>45903</v>
      </c>
      <c r="B24" s="167">
        <f>Table134[[#This Row],[Date]]</f>
        <v>45903</v>
      </c>
      <c r="C24" s="168" t="s">
        <v>16</v>
      </c>
      <c r="D24" s="168"/>
      <c r="E24" s="177" t="s">
        <v>15</v>
      </c>
      <c r="F24" s="168"/>
      <c r="G24" s="168"/>
      <c r="H24" s="168"/>
      <c r="I24" s="171"/>
    </row>
    <row r="25" spans="1:9" s="173" customFormat="1">
      <c r="A25" s="166">
        <v>45903</v>
      </c>
      <c r="B25" s="167">
        <f>Table134[[#This Row],[Date]]</f>
        <v>45903</v>
      </c>
      <c r="C25" s="168" t="s">
        <v>23</v>
      </c>
      <c r="D25" s="168"/>
      <c r="E25" s="180" t="s">
        <v>36</v>
      </c>
      <c r="F25" s="168" t="s">
        <v>18</v>
      </c>
      <c r="G25" s="168" t="s">
        <v>19</v>
      </c>
      <c r="H25" s="168">
        <v>1</v>
      </c>
      <c r="I25" s="171"/>
    </row>
    <row r="26" spans="1:9" s="173" customFormat="1">
      <c r="A26" s="166">
        <v>45903</v>
      </c>
      <c r="B26" s="167">
        <f>Table134[[#This Row],[Date]]</f>
        <v>45903</v>
      </c>
      <c r="C26" s="168" t="s">
        <v>23</v>
      </c>
      <c r="D26" s="168"/>
      <c r="E26" s="180" t="s">
        <v>37</v>
      </c>
      <c r="F26" s="168" t="s">
        <v>18</v>
      </c>
      <c r="G26" s="168" t="s">
        <v>19</v>
      </c>
      <c r="H26" s="168">
        <v>1</v>
      </c>
      <c r="I26" s="171"/>
    </row>
    <row r="27" spans="1:9" s="173" customFormat="1">
      <c r="A27" s="166">
        <v>45903</v>
      </c>
      <c r="B27" s="167">
        <f>Table134[[#This Row],[Date]]</f>
        <v>45903</v>
      </c>
      <c r="C27" s="168" t="s">
        <v>23</v>
      </c>
      <c r="D27" s="168"/>
      <c r="E27" s="180" t="s">
        <v>38</v>
      </c>
      <c r="F27" s="168" t="s">
        <v>18</v>
      </c>
      <c r="G27" s="168" t="s">
        <v>19</v>
      </c>
      <c r="H27" s="168">
        <v>1</v>
      </c>
      <c r="I27" s="171"/>
    </row>
    <row r="28" spans="1:9" s="173" customFormat="1">
      <c r="A28" s="166">
        <v>45903</v>
      </c>
      <c r="B28" s="167">
        <f>Table134[[#This Row],[Date]]</f>
        <v>45903</v>
      </c>
      <c r="C28" s="168" t="s">
        <v>26</v>
      </c>
      <c r="D28" s="168"/>
      <c r="E28" s="176" t="s">
        <v>39</v>
      </c>
      <c r="F28" s="168" t="s">
        <v>18</v>
      </c>
      <c r="G28" s="168" t="s">
        <v>19</v>
      </c>
      <c r="H28" s="168">
        <v>1</v>
      </c>
      <c r="I28" s="171"/>
    </row>
    <row r="29" spans="1:9" s="173" customFormat="1">
      <c r="A29" s="166">
        <v>45903</v>
      </c>
      <c r="B29" s="167">
        <f>Table134[[#This Row],[Date]]</f>
        <v>45903</v>
      </c>
      <c r="C29" s="168" t="s">
        <v>26</v>
      </c>
      <c r="D29" s="168"/>
      <c r="E29" s="176" t="s">
        <v>39</v>
      </c>
      <c r="F29" s="168" t="s">
        <v>28</v>
      </c>
      <c r="G29" s="168" t="s">
        <v>19</v>
      </c>
      <c r="H29" s="168">
        <v>1</v>
      </c>
      <c r="I29" s="171"/>
    </row>
    <row r="30" spans="1:9" s="173" customFormat="1">
      <c r="A30" s="166">
        <v>45903</v>
      </c>
      <c r="B30" s="167">
        <f>Table134[[#This Row],[Date]]</f>
        <v>45903</v>
      </c>
      <c r="C30" s="168" t="s">
        <v>26</v>
      </c>
      <c r="D30" s="168"/>
      <c r="E30" s="176" t="s">
        <v>40</v>
      </c>
      <c r="F30" s="168" t="s">
        <v>18</v>
      </c>
      <c r="G30" s="168" t="s">
        <v>19</v>
      </c>
      <c r="H30" s="168">
        <v>1</v>
      </c>
      <c r="I30" s="171"/>
    </row>
    <row r="31" spans="1:9" s="173" customFormat="1">
      <c r="A31" s="166">
        <v>45903</v>
      </c>
      <c r="B31" s="167">
        <f>Table134[[#This Row],[Date]]</f>
        <v>45903</v>
      </c>
      <c r="C31" s="168" t="s">
        <v>26</v>
      </c>
      <c r="D31" s="168"/>
      <c r="E31" s="176" t="s">
        <v>40</v>
      </c>
      <c r="F31" s="168" t="s">
        <v>28</v>
      </c>
      <c r="G31" s="168" t="s">
        <v>19</v>
      </c>
      <c r="H31" s="168">
        <v>1</v>
      </c>
      <c r="I31" s="171"/>
    </row>
    <row r="32" spans="1:9" s="173" customFormat="1">
      <c r="A32" s="166">
        <v>45904</v>
      </c>
      <c r="B32" s="167">
        <f>Table134[[#This Row],[Date]]</f>
        <v>45904</v>
      </c>
      <c r="C32" s="168" t="s">
        <v>14</v>
      </c>
      <c r="D32" s="168"/>
      <c r="E32" s="178" t="s">
        <v>33</v>
      </c>
      <c r="F32" s="170" t="s">
        <v>41</v>
      </c>
      <c r="G32" s="168" t="s">
        <v>19</v>
      </c>
      <c r="H32" s="168">
        <v>1</v>
      </c>
      <c r="I32" s="171"/>
    </row>
    <row r="33" spans="1:9" s="173" customFormat="1">
      <c r="A33" s="166">
        <v>45904</v>
      </c>
      <c r="B33" s="167">
        <f>Table134[[#This Row],[Date]]</f>
        <v>45904</v>
      </c>
      <c r="C33" s="168" t="s">
        <v>14</v>
      </c>
      <c r="D33" s="168"/>
      <c r="E33" s="178" t="s">
        <v>33</v>
      </c>
      <c r="F33" s="168" t="s">
        <v>42</v>
      </c>
      <c r="G33" s="168" t="s">
        <v>19</v>
      </c>
      <c r="H33" s="168">
        <v>1</v>
      </c>
      <c r="I33" s="171"/>
    </row>
    <row r="34" spans="1:9" s="173" customFormat="1">
      <c r="A34" s="166">
        <v>45904</v>
      </c>
      <c r="B34" s="167">
        <f>Table134[[#This Row],[Date]]</f>
        <v>45904</v>
      </c>
      <c r="C34" s="168" t="s">
        <v>14</v>
      </c>
      <c r="D34" s="168"/>
      <c r="E34" s="178" t="s">
        <v>33</v>
      </c>
      <c r="F34" s="168" t="s">
        <v>43</v>
      </c>
      <c r="G34" s="168" t="s">
        <v>19</v>
      </c>
      <c r="H34" s="168">
        <v>1</v>
      </c>
      <c r="I34" s="171"/>
    </row>
    <row r="35" spans="1:9" s="173" customFormat="1">
      <c r="A35" s="166">
        <v>45904</v>
      </c>
      <c r="B35" s="167">
        <f>Table134[[#This Row],[Date]]</f>
        <v>45904</v>
      </c>
      <c r="C35" s="168" t="s">
        <v>14</v>
      </c>
      <c r="D35" s="168"/>
      <c r="E35" s="178" t="s">
        <v>33</v>
      </c>
      <c r="F35" s="170" t="s">
        <v>44</v>
      </c>
      <c r="G35" s="168" t="s">
        <v>19</v>
      </c>
      <c r="H35" s="168">
        <v>1</v>
      </c>
      <c r="I35" s="171"/>
    </row>
    <row r="36" spans="1:9" s="173" customFormat="1">
      <c r="A36" s="166">
        <v>45904</v>
      </c>
      <c r="B36" s="167">
        <f>Table134[[#This Row],[Date]]</f>
        <v>45904</v>
      </c>
      <c r="C36" s="168" t="s">
        <v>14</v>
      </c>
      <c r="D36" s="168"/>
      <c r="E36" s="178" t="s">
        <v>33</v>
      </c>
      <c r="F36" s="170" t="s">
        <v>45</v>
      </c>
      <c r="G36" s="168" t="s">
        <v>19</v>
      </c>
      <c r="H36" s="168">
        <v>1</v>
      </c>
      <c r="I36" s="171"/>
    </row>
    <row r="37" spans="1:9" s="173" customFormat="1">
      <c r="A37" s="166">
        <v>45904</v>
      </c>
      <c r="B37" s="167">
        <f>Table134[[#This Row],[Date]]</f>
        <v>45904</v>
      </c>
      <c r="C37" s="168" t="s">
        <v>16</v>
      </c>
      <c r="D37" s="168"/>
      <c r="E37" s="180" t="s">
        <v>46</v>
      </c>
      <c r="F37" s="170" t="s">
        <v>18</v>
      </c>
      <c r="G37" s="168" t="s">
        <v>19</v>
      </c>
      <c r="H37" s="168">
        <v>1</v>
      </c>
      <c r="I37" s="171"/>
    </row>
    <row r="38" spans="1:9" s="173" customFormat="1">
      <c r="A38" s="166">
        <v>45904</v>
      </c>
      <c r="B38" s="167">
        <f>Table134[[#This Row],[Date]]</f>
        <v>45904</v>
      </c>
      <c r="C38" s="168" t="s">
        <v>16</v>
      </c>
      <c r="D38" s="168"/>
      <c r="E38" s="180" t="s">
        <v>46</v>
      </c>
      <c r="F38" s="170" t="s">
        <v>21</v>
      </c>
      <c r="G38" s="168" t="s">
        <v>19</v>
      </c>
      <c r="H38" s="168">
        <v>1</v>
      </c>
      <c r="I38" s="171"/>
    </row>
    <row r="39" spans="1:9" s="173" customFormat="1">
      <c r="A39" s="166">
        <v>45904</v>
      </c>
      <c r="B39" s="167">
        <f>Table134[[#This Row],[Date]]</f>
        <v>45904</v>
      </c>
      <c r="C39" s="168" t="s">
        <v>16</v>
      </c>
      <c r="D39" s="168"/>
      <c r="E39" s="180" t="s">
        <v>46</v>
      </c>
      <c r="F39" s="170" t="s">
        <v>47</v>
      </c>
      <c r="G39" s="168" t="s">
        <v>19</v>
      </c>
      <c r="H39" s="168">
        <v>1</v>
      </c>
      <c r="I39" s="171"/>
    </row>
    <row r="40" spans="1:9" s="173" customFormat="1">
      <c r="A40" s="166">
        <v>45904</v>
      </c>
      <c r="B40" s="167">
        <f>Table134[[#This Row],[Date]]</f>
        <v>45904</v>
      </c>
      <c r="C40" s="168" t="s">
        <v>23</v>
      </c>
      <c r="D40" s="168"/>
      <c r="E40" s="177" t="s">
        <v>15</v>
      </c>
      <c r="F40" s="168"/>
      <c r="G40" s="168"/>
      <c r="H40" s="168"/>
      <c r="I40" s="171"/>
    </row>
    <row r="41" spans="1:9" s="173" customFormat="1">
      <c r="A41" s="166">
        <v>45904</v>
      </c>
      <c r="B41" s="167">
        <f>Table134[[#This Row],[Date]]</f>
        <v>45904</v>
      </c>
      <c r="C41" s="168" t="s">
        <v>26</v>
      </c>
      <c r="D41" s="168"/>
      <c r="E41" s="177" t="s">
        <v>48</v>
      </c>
      <c r="F41" s="170" t="s">
        <v>18</v>
      </c>
      <c r="G41" s="168" t="s">
        <v>19</v>
      </c>
      <c r="H41" s="168">
        <v>1</v>
      </c>
      <c r="I41" s="171"/>
    </row>
    <row r="42" spans="1:9" s="173" customFormat="1">
      <c r="A42" s="166">
        <v>45904</v>
      </c>
      <c r="B42" s="167">
        <f>Table134[[#This Row],[Date]]</f>
        <v>45904</v>
      </c>
      <c r="C42" s="168" t="s">
        <v>26</v>
      </c>
      <c r="D42" s="168"/>
      <c r="E42" s="177" t="s">
        <v>48</v>
      </c>
      <c r="F42" s="170" t="s">
        <v>21</v>
      </c>
      <c r="G42" s="168" t="s">
        <v>19</v>
      </c>
      <c r="H42" s="168">
        <v>1</v>
      </c>
      <c r="I42" s="171"/>
    </row>
    <row r="43" spans="1:9" s="173" customFormat="1">
      <c r="A43" s="166">
        <v>45904</v>
      </c>
      <c r="B43" s="167">
        <f>Table134[[#This Row],[Date]]</f>
        <v>45904</v>
      </c>
      <c r="C43" s="168" t="s">
        <v>26</v>
      </c>
      <c r="D43" s="168"/>
      <c r="E43" s="177" t="s">
        <v>48</v>
      </c>
      <c r="F43" s="170" t="s">
        <v>49</v>
      </c>
      <c r="G43" s="168" t="s">
        <v>19</v>
      </c>
      <c r="H43" s="168">
        <v>1</v>
      </c>
      <c r="I43" s="171"/>
    </row>
    <row r="44" spans="1:9" s="173" customFormat="1">
      <c r="A44" s="166">
        <v>45904</v>
      </c>
      <c r="B44" s="167">
        <f>Table134[[#This Row],[Date]]</f>
        <v>45904</v>
      </c>
      <c r="C44" s="168" t="s">
        <v>26</v>
      </c>
      <c r="D44" s="168"/>
      <c r="E44" s="177" t="s">
        <v>48</v>
      </c>
      <c r="F44" s="170" t="s">
        <v>41</v>
      </c>
      <c r="G44" s="168" t="s">
        <v>19</v>
      </c>
      <c r="H44" s="168">
        <v>1</v>
      </c>
      <c r="I44" s="171"/>
    </row>
    <row r="45" spans="1:9" s="173" customFormat="1">
      <c r="A45" s="166">
        <v>45905</v>
      </c>
      <c r="B45" s="167">
        <f>Table134[[#This Row],[Date]]</f>
        <v>45905</v>
      </c>
      <c r="C45" s="168" t="s">
        <v>14</v>
      </c>
      <c r="D45" s="168"/>
      <c r="E45" s="177" t="s">
        <v>15</v>
      </c>
      <c r="F45" s="168"/>
      <c r="G45" s="168"/>
      <c r="H45" s="168"/>
      <c r="I45" s="171"/>
    </row>
    <row r="46" spans="1:9" s="173" customFormat="1">
      <c r="A46" s="166">
        <v>45905</v>
      </c>
      <c r="B46" s="167">
        <f>Table134[[#This Row],[Date]]</f>
        <v>45905</v>
      </c>
      <c r="C46" s="168" t="s">
        <v>16</v>
      </c>
      <c r="D46" s="168"/>
      <c r="E46" s="181" t="s">
        <v>50</v>
      </c>
      <c r="F46" s="170" t="s">
        <v>47</v>
      </c>
      <c r="G46" s="168" t="s">
        <v>19</v>
      </c>
      <c r="H46" s="168">
        <v>1</v>
      </c>
      <c r="I46" s="171"/>
    </row>
    <row r="47" spans="1:9" s="173" customFormat="1">
      <c r="A47" s="166">
        <v>45905</v>
      </c>
      <c r="B47" s="167">
        <f>Table134[[#This Row],[Date]]</f>
        <v>45905</v>
      </c>
      <c r="C47" s="168" t="s">
        <v>16</v>
      </c>
      <c r="D47" s="168"/>
      <c r="E47" s="181" t="s">
        <v>50</v>
      </c>
      <c r="F47" s="170" t="s">
        <v>18</v>
      </c>
      <c r="G47" s="168" t="s">
        <v>19</v>
      </c>
      <c r="H47" s="168">
        <v>1</v>
      </c>
      <c r="I47" s="171"/>
    </row>
    <row r="48" spans="1:9" s="173" customFormat="1">
      <c r="A48" s="166">
        <v>45905</v>
      </c>
      <c r="B48" s="167">
        <f>Table134[[#This Row],[Date]]</f>
        <v>45905</v>
      </c>
      <c r="C48" s="168" t="s">
        <v>16</v>
      </c>
      <c r="D48" s="168"/>
      <c r="E48" s="181" t="s">
        <v>50</v>
      </c>
      <c r="F48" s="170" t="s">
        <v>21</v>
      </c>
      <c r="G48" s="168" t="s">
        <v>19</v>
      </c>
      <c r="H48" s="168">
        <v>1</v>
      </c>
      <c r="I48" s="171"/>
    </row>
    <row r="49" spans="1:9" s="173" customFormat="1">
      <c r="A49" s="166">
        <v>45905</v>
      </c>
      <c r="B49" s="167">
        <f>Table134[[#This Row],[Date]]</f>
        <v>45905</v>
      </c>
      <c r="C49" s="168" t="s">
        <v>16</v>
      </c>
      <c r="D49" s="168"/>
      <c r="E49" s="180" t="s">
        <v>51</v>
      </c>
      <c r="F49" s="168" t="s">
        <v>18</v>
      </c>
      <c r="G49" s="168" t="s">
        <v>19</v>
      </c>
      <c r="H49" s="168">
        <v>1</v>
      </c>
      <c r="I49" s="171"/>
    </row>
    <row r="50" spans="1:9" s="173" customFormat="1">
      <c r="A50" s="166">
        <v>45905</v>
      </c>
      <c r="B50" s="167">
        <f>Table134[[#This Row],[Date]]</f>
        <v>45905</v>
      </c>
      <c r="C50" s="168" t="s">
        <v>23</v>
      </c>
      <c r="D50" s="168"/>
      <c r="E50" s="182" t="s">
        <v>52</v>
      </c>
      <c r="F50" s="170" t="s">
        <v>47</v>
      </c>
      <c r="G50" s="168" t="s">
        <v>19</v>
      </c>
      <c r="H50" s="168">
        <v>1</v>
      </c>
      <c r="I50" s="171"/>
    </row>
    <row r="51" spans="1:9" s="173" customFormat="1">
      <c r="A51" s="166">
        <v>45905</v>
      </c>
      <c r="B51" s="167">
        <f>Table134[[#This Row],[Date]]</f>
        <v>45905</v>
      </c>
      <c r="C51" s="168" t="s">
        <v>23</v>
      </c>
      <c r="D51" s="168"/>
      <c r="E51" s="182" t="s">
        <v>52</v>
      </c>
      <c r="F51" s="170" t="s">
        <v>53</v>
      </c>
      <c r="G51" s="168" t="s">
        <v>19</v>
      </c>
      <c r="H51" s="168">
        <v>1</v>
      </c>
      <c r="I51" s="171"/>
    </row>
    <row r="52" spans="1:9" s="173" customFormat="1">
      <c r="A52" s="166">
        <v>45905</v>
      </c>
      <c r="B52" s="167">
        <f>Table134[[#This Row],[Date]]</f>
        <v>45905</v>
      </c>
      <c r="C52" s="168" t="s">
        <v>23</v>
      </c>
      <c r="D52" s="168"/>
      <c r="E52" s="178" t="s">
        <v>54</v>
      </c>
      <c r="F52" s="170" t="s">
        <v>18</v>
      </c>
      <c r="G52" s="168" t="s">
        <v>19</v>
      </c>
      <c r="H52" s="168">
        <v>1</v>
      </c>
      <c r="I52" s="171"/>
    </row>
    <row r="53" spans="1:9" s="173" customFormat="1">
      <c r="A53" s="166">
        <v>45905</v>
      </c>
      <c r="B53" s="167">
        <f>Table134[[#This Row],[Date]]</f>
        <v>45905</v>
      </c>
      <c r="C53" s="168" t="s">
        <v>23</v>
      </c>
      <c r="D53" s="168"/>
      <c r="E53" s="178" t="s">
        <v>54</v>
      </c>
      <c r="F53" s="170" t="s">
        <v>21</v>
      </c>
      <c r="G53" s="168" t="s">
        <v>19</v>
      </c>
      <c r="H53" s="168">
        <v>1</v>
      </c>
      <c r="I53" s="171"/>
    </row>
    <row r="54" spans="1:9" s="173" customFormat="1">
      <c r="A54" s="166">
        <v>45905</v>
      </c>
      <c r="B54" s="167">
        <f>Table134[[#This Row],[Date]]</f>
        <v>45905</v>
      </c>
      <c r="C54" s="168" t="s">
        <v>26</v>
      </c>
      <c r="D54" s="168"/>
      <c r="E54" s="177" t="s">
        <v>55</v>
      </c>
      <c r="F54" s="170" t="s">
        <v>18</v>
      </c>
      <c r="G54" s="168" t="s">
        <v>19</v>
      </c>
      <c r="H54" s="168">
        <v>1</v>
      </c>
      <c r="I54" s="171"/>
    </row>
    <row r="55" spans="1:9" s="173" customFormat="1">
      <c r="A55" s="166">
        <v>45905</v>
      </c>
      <c r="B55" s="167">
        <f>Table134[[#This Row],[Date]]</f>
        <v>45905</v>
      </c>
      <c r="C55" s="168" t="s">
        <v>26</v>
      </c>
      <c r="D55" s="168"/>
      <c r="E55" s="177" t="s">
        <v>55</v>
      </c>
      <c r="F55" s="170" t="s">
        <v>21</v>
      </c>
      <c r="G55" s="168" t="s">
        <v>19</v>
      </c>
      <c r="H55" s="168">
        <v>1</v>
      </c>
      <c r="I55" s="171"/>
    </row>
    <row r="56" spans="1:9" s="173" customFormat="1">
      <c r="A56" s="166">
        <v>45906</v>
      </c>
      <c r="B56" s="167">
        <f>Table134[[#This Row],[Date]]</f>
        <v>45906</v>
      </c>
      <c r="C56" s="168" t="s">
        <v>14</v>
      </c>
      <c r="D56" s="168"/>
      <c r="E56" s="180" t="s">
        <v>56</v>
      </c>
      <c r="F56" s="168" t="s">
        <v>18</v>
      </c>
      <c r="G56" s="168" t="s">
        <v>19</v>
      </c>
      <c r="H56" s="168">
        <v>1</v>
      </c>
      <c r="I56" s="171"/>
    </row>
    <row r="57" spans="1:9" s="173" customFormat="1">
      <c r="A57" s="166">
        <v>45906</v>
      </c>
      <c r="B57" s="167">
        <f>Table134[[#This Row],[Date]]</f>
        <v>45906</v>
      </c>
      <c r="C57" s="168" t="s">
        <v>14</v>
      </c>
      <c r="D57" s="168"/>
      <c r="E57" s="180" t="s">
        <v>57</v>
      </c>
      <c r="F57" s="168" t="s">
        <v>18</v>
      </c>
      <c r="G57" s="168" t="s">
        <v>19</v>
      </c>
      <c r="H57" s="168">
        <v>1</v>
      </c>
      <c r="I57" s="171"/>
    </row>
    <row r="58" spans="1:9" s="173" customFormat="1">
      <c r="A58" s="166">
        <v>45906</v>
      </c>
      <c r="B58" s="167">
        <f>Table134[[#This Row],[Date]]</f>
        <v>45906</v>
      </c>
      <c r="C58" s="168" t="s">
        <v>4</v>
      </c>
      <c r="D58" s="168"/>
      <c r="E58" s="180" t="s">
        <v>58</v>
      </c>
      <c r="F58" s="168" t="s">
        <v>59</v>
      </c>
      <c r="G58" s="168" t="s">
        <v>60</v>
      </c>
      <c r="H58" s="168">
        <v>1</v>
      </c>
      <c r="I58" s="171"/>
    </row>
    <row r="59" spans="1:9" s="173" customFormat="1">
      <c r="A59" s="166">
        <v>45906</v>
      </c>
      <c r="B59" s="167">
        <f>Table134[[#This Row],[Date]]</f>
        <v>45906</v>
      </c>
      <c r="C59" s="168" t="s">
        <v>4</v>
      </c>
      <c r="D59" s="168"/>
      <c r="E59" s="180" t="s">
        <v>58</v>
      </c>
      <c r="F59" s="168" t="s">
        <v>61</v>
      </c>
      <c r="G59" s="168" t="s">
        <v>60</v>
      </c>
      <c r="H59" s="168">
        <v>1</v>
      </c>
      <c r="I59" s="171"/>
    </row>
    <row r="60" spans="1:9" s="173" customFormat="1">
      <c r="A60" s="166">
        <v>45906</v>
      </c>
      <c r="B60" s="167">
        <f>Table134[[#This Row],[Date]]</f>
        <v>45906</v>
      </c>
      <c r="C60" s="168" t="s">
        <v>4</v>
      </c>
      <c r="D60" s="168"/>
      <c r="E60" s="180" t="s">
        <v>58</v>
      </c>
      <c r="F60" s="170" t="s">
        <v>18</v>
      </c>
      <c r="G60" s="168" t="s">
        <v>19</v>
      </c>
      <c r="H60" s="168">
        <v>1</v>
      </c>
      <c r="I60" s="171"/>
    </row>
    <row r="61" spans="1:9" s="173" customFormat="1">
      <c r="A61" s="166">
        <v>45906</v>
      </c>
      <c r="B61" s="167">
        <f>Table134[[#This Row],[Date]]</f>
        <v>45906</v>
      </c>
      <c r="C61" s="168" t="s">
        <v>4</v>
      </c>
      <c r="D61" s="168"/>
      <c r="E61" s="180" t="s">
        <v>58</v>
      </c>
      <c r="F61" s="170" t="s">
        <v>21</v>
      </c>
      <c r="G61" s="168" t="s">
        <v>19</v>
      </c>
      <c r="H61" s="168">
        <v>1</v>
      </c>
      <c r="I61" s="171"/>
    </row>
    <row r="62" spans="1:9" s="173" customFormat="1">
      <c r="A62" s="166">
        <v>45906</v>
      </c>
      <c r="B62" s="167">
        <f>Table134[[#This Row],[Date]]</f>
        <v>45906</v>
      </c>
      <c r="C62" s="168" t="s">
        <v>4</v>
      </c>
      <c r="D62" s="168"/>
      <c r="E62" s="180" t="s">
        <v>58</v>
      </c>
      <c r="F62" s="170" t="s">
        <v>49</v>
      </c>
      <c r="G62" s="168" t="s">
        <v>19</v>
      </c>
      <c r="H62" s="168">
        <v>1</v>
      </c>
      <c r="I62" s="171"/>
    </row>
    <row r="63" spans="1:9" s="173" customFormat="1">
      <c r="A63" s="166">
        <v>45906</v>
      </c>
      <c r="B63" s="167">
        <f>Table134[[#This Row],[Date]]</f>
        <v>45906</v>
      </c>
      <c r="C63" s="168" t="s">
        <v>4</v>
      </c>
      <c r="D63" s="168"/>
      <c r="E63" s="180" t="s">
        <v>58</v>
      </c>
      <c r="F63" s="170" t="s">
        <v>41</v>
      </c>
      <c r="G63" s="168" t="s">
        <v>19</v>
      </c>
      <c r="H63" s="168">
        <v>1</v>
      </c>
      <c r="I63" s="171"/>
    </row>
    <row r="64" spans="1:9" s="173" customFormat="1" ht="28.9">
      <c r="A64" s="166">
        <v>45907</v>
      </c>
      <c r="B64" s="167">
        <f>Table134[[#This Row],[Date]]</f>
        <v>45907</v>
      </c>
      <c r="C64" s="168" t="s">
        <v>16</v>
      </c>
      <c r="D64" s="168"/>
      <c r="E64" s="180" t="s">
        <v>62</v>
      </c>
      <c r="F64" s="168" t="s">
        <v>18</v>
      </c>
      <c r="G64" s="168" t="s">
        <v>19</v>
      </c>
      <c r="H64" s="168">
        <v>1</v>
      </c>
      <c r="I64" s="171"/>
    </row>
    <row r="65" spans="1:9" s="173" customFormat="1">
      <c r="A65" s="166">
        <v>45907</v>
      </c>
      <c r="B65" s="167">
        <f>Table134[[#This Row],[Date]]</f>
        <v>45907</v>
      </c>
      <c r="C65" s="168" t="s">
        <v>16</v>
      </c>
      <c r="D65" s="168"/>
      <c r="E65" s="180" t="s">
        <v>63</v>
      </c>
      <c r="F65" s="168" t="s">
        <v>18</v>
      </c>
      <c r="G65" s="168" t="s">
        <v>19</v>
      </c>
      <c r="H65" s="168">
        <v>1</v>
      </c>
      <c r="I65" s="171"/>
    </row>
    <row r="66" spans="1:9" s="173" customFormat="1">
      <c r="A66" s="166">
        <v>45907</v>
      </c>
      <c r="B66" s="167">
        <f>Table134[[#This Row],[Date]]</f>
        <v>45907</v>
      </c>
      <c r="C66" s="168" t="s">
        <v>4</v>
      </c>
      <c r="D66" s="168"/>
      <c r="E66" s="183" t="s">
        <v>58</v>
      </c>
      <c r="F66" s="170" t="s">
        <v>42</v>
      </c>
      <c r="G66" s="168" t="s">
        <v>19</v>
      </c>
      <c r="H66" s="168">
        <v>1</v>
      </c>
      <c r="I66" s="171"/>
    </row>
    <row r="67" spans="1:9" s="173" customFormat="1">
      <c r="A67" s="166">
        <v>45907</v>
      </c>
      <c r="B67" s="167">
        <f>Table134[[#This Row],[Date]]</f>
        <v>45907</v>
      </c>
      <c r="C67" s="168" t="s">
        <v>4</v>
      </c>
      <c r="D67" s="168"/>
      <c r="E67" s="180" t="s">
        <v>58</v>
      </c>
      <c r="F67" s="168" t="s">
        <v>64</v>
      </c>
      <c r="G67" s="168" t="s">
        <v>19</v>
      </c>
      <c r="H67" s="168">
        <v>1</v>
      </c>
      <c r="I67" s="171"/>
    </row>
    <row r="68" spans="1:9" s="173" customFormat="1">
      <c r="A68" s="166">
        <v>45907</v>
      </c>
      <c r="B68" s="167">
        <f>Table134[[#This Row],[Date]]</f>
        <v>45907</v>
      </c>
      <c r="C68" s="168" t="s">
        <v>4</v>
      </c>
      <c r="D68" s="168"/>
      <c r="E68" s="177" t="s">
        <v>58</v>
      </c>
      <c r="F68" s="168" t="s">
        <v>34</v>
      </c>
      <c r="G68" s="168" t="s">
        <v>19</v>
      </c>
      <c r="H68" s="168">
        <v>1</v>
      </c>
      <c r="I68" s="171"/>
    </row>
    <row r="69" spans="1:9" s="173" customFormat="1">
      <c r="A69" s="166">
        <v>45907</v>
      </c>
      <c r="B69" s="167">
        <f>Table134[[#This Row],[Date]]</f>
        <v>45907</v>
      </c>
      <c r="C69" s="168" t="s">
        <v>4</v>
      </c>
      <c r="D69" s="168"/>
      <c r="E69" s="177" t="s">
        <v>58</v>
      </c>
      <c r="F69" s="168" t="s">
        <v>43</v>
      </c>
      <c r="G69" s="168" t="s">
        <v>19</v>
      </c>
      <c r="H69" s="168">
        <v>1</v>
      </c>
      <c r="I69" s="171"/>
    </row>
    <row r="70" spans="1:9" s="173" customFormat="1">
      <c r="A70" s="166">
        <v>45908</v>
      </c>
      <c r="B70" s="167">
        <f>Table134[[#This Row],[Date]]</f>
        <v>45908</v>
      </c>
      <c r="C70" s="168" t="s">
        <v>14</v>
      </c>
      <c r="D70" s="168"/>
      <c r="E70" s="180" t="s">
        <v>65</v>
      </c>
      <c r="F70" s="168" t="s">
        <v>18</v>
      </c>
      <c r="G70" s="168" t="s">
        <v>19</v>
      </c>
      <c r="H70" s="168">
        <v>1</v>
      </c>
      <c r="I70" s="171"/>
    </row>
    <row r="71" spans="1:9" s="173" customFormat="1">
      <c r="A71" s="166">
        <v>45908</v>
      </c>
      <c r="B71" s="167">
        <f>Table134[[#This Row],[Date]]</f>
        <v>45908</v>
      </c>
      <c r="C71" s="168" t="s">
        <v>14</v>
      </c>
      <c r="D71" s="168"/>
      <c r="E71" s="178" t="s">
        <v>66</v>
      </c>
      <c r="F71" s="168" t="s">
        <v>18</v>
      </c>
      <c r="G71" s="168" t="s">
        <v>19</v>
      </c>
      <c r="H71" s="168">
        <v>1</v>
      </c>
      <c r="I71" s="171"/>
    </row>
    <row r="72" spans="1:9" s="173" customFormat="1">
      <c r="A72" s="166">
        <v>45908</v>
      </c>
      <c r="B72" s="167">
        <f>Table134[[#This Row],[Date]]</f>
        <v>45908</v>
      </c>
      <c r="C72" s="168" t="s">
        <v>14</v>
      </c>
      <c r="D72" s="168"/>
      <c r="E72" s="180" t="s">
        <v>67</v>
      </c>
      <c r="F72" s="168" t="s">
        <v>18</v>
      </c>
      <c r="G72" s="168" t="s">
        <v>19</v>
      </c>
      <c r="H72" s="168">
        <v>1</v>
      </c>
      <c r="I72" s="171"/>
    </row>
    <row r="73" spans="1:9" s="173" customFormat="1">
      <c r="A73" s="166">
        <v>45908</v>
      </c>
      <c r="B73" s="167">
        <f>Table134[[#This Row],[Date]]</f>
        <v>45908</v>
      </c>
      <c r="C73" s="168" t="s">
        <v>16</v>
      </c>
      <c r="D73" s="168"/>
      <c r="E73" s="177" t="s">
        <v>15</v>
      </c>
      <c r="F73" s="168"/>
      <c r="G73" s="168"/>
      <c r="H73" s="168"/>
      <c r="I73" s="171"/>
    </row>
    <row r="74" spans="1:9" s="173" customFormat="1">
      <c r="A74" s="166">
        <v>45908</v>
      </c>
      <c r="B74" s="167">
        <f>Table134[[#This Row],[Date]]</f>
        <v>45908</v>
      </c>
      <c r="C74" s="168" t="s">
        <v>23</v>
      </c>
      <c r="D74" s="171"/>
      <c r="E74" s="184" t="s">
        <v>68</v>
      </c>
      <c r="F74" s="170" t="s">
        <v>18</v>
      </c>
      <c r="G74" s="168" t="s">
        <v>19</v>
      </c>
      <c r="H74" s="168">
        <v>1</v>
      </c>
      <c r="I74" s="171"/>
    </row>
    <row r="75" spans="1:9" s="173" customFormat="1">
      <c r="A75" s="166">
        <v>45908</v>
      </c>
      <c r="B75" s="167">
        <f>Table134[[#This Row],[Date]]</f>
        <v>45908</v>
      </c>
      <c r="C75" s="168" t="s">
        <v>23</v>
      </c>
      <c r="D75" s="171"/>
      <c r="E75" s="184" t="s">
        <v>68</v>
      </c>
      <c r="F75" s="170" t="s">
        <v>21</v>
      </c>
      <c r="G75" s="168" t="s">
        <v>19</v>
      </c>
      <c r="H75" s="168">
        <v>1</v>
      </c>
      <c r="I75" s="171"/>
    </row>
    <row r="76" spans="1:9" s="173" customFormat="1">
      <c r="A76" s="166">
        <v>45908</v>
      </c>
      <c r="B76" s="167">
        <f>Table134[[#This Row],[Date]]</f>
        <v>45908</v>
      </c>
      <c r="C76" s="168" t="s">
        <v>23</v>
      </c>
      <c r="D76" s="171"/>
      <c r="E76" s="184" t="s">
        <v>68</v>
      </c>
      <c r="F76" s="170" t="s">
        <v>49</v>
      </c>
      <c r="G76" s="168" t="s">
        <v>19</v>
      </c>
      <c r="H76" s="168">
        <v>1</v>
      </c>
      <c r="I76" s="171"/>
    </row>
    <row r="77" spans="1:9" s="173" customFormat="1">
      <c r="A77" s="166">
        <v>45908</v>
      </c>
      <c r="B77" s="167">
        <f>Table134[[#This Row],[Date]]</f>
        <v>45908</v>
      </c>
      <c r="C77" s="168" t="s">
        <v>23</v>
      </c>
      <c r="D77" s="171"/>
      <c r="E77" s="184" t="s">
        <v>68</v>
      </c>
      <c r="F77" s="170" t="s">
        <v>41</v>
      </c>
      <c r="G77" s="168" t="s">
        <v>19</v>
      </c>
      <c r="H77" s="168">
        <v>1</v>
      </c>
      <c r="I77" s="171"/>
    </row>
    <row r="78" spans="1:9" s="173" customFormat="1">
      <c r="A78" s="166">
        <v>45908</v>
      </c>
      <c r="B78" s="167">
        <f>Table134[[#This Row],[Date]]</f>
        <v>45908</v>
      </c>
      <c r="C78" s="168" t="s">
        <v>26</v>
      </c>
      <c r="D78" s="171"/>
      <c r="E78" s="185" t="s">
        <v>69</v>
      </c>
      <c r="F78" s="170" t="s">
        <v>18</v>
      </c>
      <c r="G78" s="168" t="s">
        <v>19</v>
      </c>
      <c r="H78" s="168">
        <v>1</v>
      </c>
      <c r="I78" s="171"/>
    </row>
    <row r="79" spans="1:9" s="173" customFormat="1">
      <c r="A79" s="166">
        <v>45908</v>
      </c>
      <c r="B79" s="167">
        <f>Table134[[#This Row],[Date]]</f>
        <v>45908</v>
      </c>
      <c r="C79" s="168" t="s">
        <v>26</v>
      </c>
      <c r="D79" s="171"/>
      <c r="E79" s="185" t="s">
        <v>69</v>
      </c>
      <c r="F79" s="170" t="s">
        <v>21</v>
      </c>
      <c r="G79" s="168" t="s">
        <v>19</v>
      </c>
      <c r="H79" s="168">
        <v>1</v>
      </c>
      <c r="I79" s="171"/>
    </row>
    <row r="80" spans="1:9" s="173" customFormat="1">
      <c r="A80" s="166">
        <v>45908</v>
      </c>
      <c r="B80" s="167">
        <f>Table134[[#This Row],[Date]]</f>
        <v>45908</v>
      </c>
      <c r="C80" s="168" t="s">
        <v>26</v>
      </c>
      <c r="D80" s="171"/>
      <c r="E80" s="185" t="s">
        <v>69</v>
      </c>
      <c r="F80" s="170" t="s">
        <v>49</v>
      </c>
      <c r="G80" s="168" t="s">
        <v>19</v>
      </c>
      <c r="H80" s="168">
        <v>1</v>
      </c>
      <c r="I80" s="171"/>
    </row>
    <row r="81" spans="1:9" s="173" customFormat="1">
      <c r="A81" s="166">
        <v>45908</v>
      </c>
      <c r="B81" s="167">
        <f>Table134[[#This Row],[Date]]</f>
        <v>45908</v>
      </c>
      <c r="C81" s="168" t="s">
        <v>26</v>
      </c>
      <c r="D81" s="171"/>
      <c r="E81" s="185" t="s">
        <v>69</v>
      </c>
      <c r="F81" s="170" t="s">
        <v>41</v>
      </c>
      <c r="G81" s="168" t="s">
        <v>19</v>
      </c>
      <c r="H81" s="168">
        <v>1</v>
      </c>
      <c r="I81" s="171"/>
    </row>
    <row r="82" spans="1:9" s="173" customFormat="1">
      <c r="A82" s="166">
        <v>45909</v>
      </c>
      <c r="B82" s="167">
        <f>Table134[[#This Row],[Date]]</f>
        <v>45909</v>
      </c>
      <c r="C82" s="168" t="s">
        <v>23</v>
      </c>
      <c r="D82" s="171"/>
      <c r="E82" s="184" t="s">
        <v>68</v>
      </c>
      <c r="F82" s="168" t="s">
        <v>47</v>
      </c>
      <c r="G82" s="168" t="s">
        <v>19</v>
      </c>
      <c r="H82" s="168">
        <v>1</v>
      </c>
      <c r="I82" s="171"/>
    </row>
    <row r="83" spans="1:9" s="173" customFormat="1">
      <c r="A83" s="166">
        <v>45909</v>
      </c>
      <c r="B83" s="167">
        <f>Table134[[#This Row],[Date]]</f>
        <v>45909</v>
      </c>
      <c r="C83" s="168" t="s">
        <v>26</v>
      </c>
      <c r="D83" s="171"/>
      <c r="E83" s="185" t="s">
        <v>70</v>
      </c>
      <c r="F83" s="170" t="s">
        <v>18</v>
      </c>
      <c r="G83" s="168" t="s">
        <v>19</v>
      </c>
      <c r="H83" s="168">
        <v>1</v>
      </c>
      <c r="I83" s="171"/>
    </row>
    <row r="84" spans="1:9" s="173" customFormat="1">
      <c r="A84" s="166">
        <v>45909</v>
      </c>
      <c r="B84" s="167">
        <f>Table134[[#This Row],[Date]]</f>
        <v>45909</v>
      </c>
      <c r="C84" s="168" t="s">
        <v>26</v>
      </c>
      <c r="D84" s="171"/>
      <c r="E84" s="185" t="s">
        <v>70</v>
      </c>
      <c r="F84" s="170" t="s">
        <v>21</v>
      </c>
      <c r="G84" s="168" t="s">
        <v>19</v>
      </c>
      <c r="H84" s="168">
        <v>1</v>
      </c>
      <c r="I84" s="171"/>
    </row>
    <row r="85" spans="1:9" s="173" customFormat="1">
      <c r="A85" s="166">
        <v>45909</v>
      </c>
      <c r="B85" s="167">
        <f>Table134[[#This Row],[Date]]</f>
        <v>45909</v>
      </c>
      <c r="C85" s="168" t="s">
        <v>26</v>
      </c>
      <c r="D85" s="171"/>
      <c r="E85" s="185" t="s">
        <v>70</v>
      </c>
      <c r="F85" s="170" t="s">
        <v>49</v>
      </c>
      <c r="G85" s="168" t="s">
        <v>19</v>
      </c>
      <c r="H85" s="168">
        <v>1</v>
      </c>
      <c r="I85" s="171"/>
    </row>
    <row r="86" spans="1:9" s="173" customFormat="1">
      <c r="A86" s="166">
        <v>45909</v>
      </c>
      <c r="B86" s="167">
        <f>Table134[[#This Row],[Date]]</f>
        <v>45909</v>
      </c>
      <c r="C86" s="168" t="s">
        <v>26</v>
      </c>
      <c r="D86" s="171"/>
      <c r="E86" s="185" t="s">
        <v>70</v>
      </c>
      <c r="F86" s="170" t="s">
        <v>41</v>
      </c>
      <c r="G86" s="168" t="s">
        <v>19</v>
      </c>
      <c r="H86" s="168">
        <v>1</v>
      </c>
      <c r="I86" s="171"/>
    </row>
    <row r="87" spans="1:9" s="173" customFormat="1">
      <c r="A87" s="166">
        <v>45909</v>
      </c>
      <c r="B87" s="167">
        <f>Table134[[#This Row],[Date]]</f>
        <v>45909</v>
      </c>
      <c r="C87" s="168" t="s">
        <v>4</v>
      </c>
      <c r="D87" s="171"/>
      <c r="E87" s="185" t="s">
        <v>32</v>
      </c>
      <c r="F87" s="168"/>
      <c r="G87" s="168"/>
      <c r="H87" s="168"/>
      <c r="I87" s="171"/>
    </row>
    <row r="88" spans="1:9" s="173" customFormat="1">
      <c r="A88" s="166">
        <v>45910</v>
      </c>
      <c r="B88" s="167">
        <f>Table134[[#This Row],[Date]]</f>
        <v>45910</v>
      </c>
      <c r="C88" s="168" t="s">
        <v>14</v>
      </c>
      <c r="D88" s="171"/>
      <c r="E88" s="184" t="s">
        <v>71</v>
      </c>
      <c r="F88" s="168" t="s">
        <v>59</v>
      </c>
      <c r="G88" s="168" t="s">
        <v>60</v>
      </c>
      <c r="H88" s="168">
        <v>1</v>
      </c>
      <c r="I88" s="171"/>
    </row>
    <row r="89" spans="1:9" s="173" customFormat="1">
      <c r="A89" s="166">
        <v>45910</v>
      </c>
      <c r="B89" s="167">
        <f>Table134[[#This Row],[Date]]</f>
        <v>45910</v>
      </c>
      <c r="C89" s="168" t="s">
        <v>14</v>
      </c>
      <c r="D89" s="171"/>
      <c r="E89" s="184" t="s">
        <v>71</v>
      </c>
      <c r="F89" s="168" t="s">
        <v>72</v>
      </c>
      <c r="G89" s="168" t="s">
        <v>60</v>
      </c>
      <c r="H89" s="168">
        <v>1</v>
      </c>
      <c r="I89" s="171"/>
    </row>
    <row r="90" spans="1:9" s="173" customFormat="1">
      <c r="A90" s="166">
        <v>45910</v>
      </c>
      <c r="B90" s="167">
        <f>Table134[[#This Row],[Date]]</f>
        <v>45910</v>
      </c>
      <c r="C90" s="168" t="s">
        <v>14</v>
      </c>
      <c r="D90" s="171"/>
      <c r="E90" s="184" t="s">
        <v>71</v>
      </c>
      <c r="F90" s="168" t="s">
        <v>73</v>
      </c>
      <c r="G90" s="168" t="s">
        <v>60</v>
      </c>
      <c r="H90" s="168">
        <v>1</v>
      </c>
      <c r="I90" s="171"/>
    </row>
    <row r="91" spans="1:9" s="173" customFormat="1">
      <c r="A91" s="166">
        <v>45910</v>
      </c>
      <c r="B91" s="167">
        <f>Table134[[#This Row],[Date]]</f>
        <v>45910</v>
      </c>
      <c r="C91" s="168" t="s">
        <v>16</v>
      </c>
      <c r="D91" s="171"/>
      <c r="E91" s="184" t="s">
        <v>74</v>
      </c>
      <c r="F91" s="168" t="s">
        <v>18</v>
      </c>
      <c r="G91" s="168" t="s">
        <v>19</v>
      </c>
      <c r="H91" s="168">
        <v>1</v>
      </c>
      <c r="I91" s="171"/>
    </row>
    <row r="92" spans="1:9" s="173" customFormat="1">
      <c r="A92" s="166">
        <v>45910</v>
      </c>
      <c r="B92" s="167">
        <f>Table134[[#This Row],[Date]]</f>
        <v>45910</v>
      </c>
      <c r="C92" s="168" t="s">
        <v>16</v>
      </c>
      <c r="D92" s="171"/>
      <c r="E92" s="184" t="s">
        <v>74</v>
      </c>
      <c r="F92" s="168" t="s">
        <v>21</v>
      </c>
      <c r="G92" s="168" t="s">
        <v>19</v>
      </c>
      <c r="H92" s="168">
        <v>1</v>
      </c>
      <c r="I92" s="171"/>
    </row>
    <row r="93" spans="1:9" s="173" customFormat="1">
      <c r="A93" s="166">
        <v>45910</v>
      </c>
      <c r="B93" s="167">
        <f>Table134[[#This Row],[Date]]</f>
        <v>45910</v>
      </c>
      <c r="C93" s="168" t="s">
        <v>16</v>
      </c>
      <c r="D93" s="171"/>
      <c r="E93" s="184" t="s">
        <v>74</v>
      </c>
      <c r="F93" s="168" t="s">
        <v>49</v>
      </c>
      <c r="G93" s="168" t="s">
        <v>19</v>
      </c>
      <c r="H93" s="168">
        <v>1</v>
      </c>
      <c r="I93" s="171"/>
    </row>
    <row r="94" spans="1:9" s="173" customFormat="1">
      <c r="A94" s="166">
        <v>45910</v>
      </c>
      <c r="B94" s="167">
        <f>Table134[[#This Row],[Date]]</f>
        <v>45910</v>
      </c>
      <c r="C94" s="168" t="s">
        <v>16</v>
      </c>
      <c r="D94" s="171"/>
      <c r="E94" s="184" t="s">
        <v>74</v>
      </c>
      <c r="F94" s="168" t="s">
        <v>41</v>
      </c>
      <c r="G94" s="168" t="s">
        <v>19</v>
      </c>
      <c r="H94" s="168">
        <v>1</v>
      </c>
      <c r="I94" s="171"/>
    </row>
    <row r="95" spans="1:9" s="173" customFormat="1">
      <c r="A95" s="166">
        <v>45910</v>
      </c>
      <c r="B95" s="167">
        <f>Table134[[#This Row],[Date]]</f>
        <v>45910</v>
      </c>
      <c r="C95" s="168" t="s">
        <v>23</v>
      </c>
      <c r="D95" s="171"/>
      <c r="E95" s="185" t="s">
        <v>15</v>
      </c>
      <c r="F95" s="168"/>
      <c r="G95" s="168"/>
      <c r="H95" s="168"/>
      <c r="I95" s="171"/>
    </row>
    <row r="96" spans="1:9" s="173" customFormat="1">
      <c r="A96" s="166">
        <v>45910</v>
      </c>
      <c r="B96" s="167">
        <f>Table134[[#This Row],[Date]]</f>
        <v>45910</v>
      </c>
      <c r="C96" s="168" t="s">
        <v>26</v>
      </c>
      <c r="D96" s="171"/>
      <c r="E96" s="185" t="s">
        <v>75</v>
      </c>
      <c r="F96" s="168" t="s">
        <v>18</v>
      </c>
      <c r="G96" s="168" t="s">
        <v>19</v>
      </c>
      <c r="H96" s="168">
        <v>1</v>
      </c>
      <c r="I96" s="171"/>
    </row>
    <row r="97" spans="1:9" s="173" customFormat="1">
      <c r="A97" s="166">
        <v>45910</v>
      </c>
      <c r="B97" s="167">
        <f>Table134[[#This Row],[Date]]</f>
        <v>45910</v>
      </c>
      <c r="C97" s="168" t="s">
        <v>26</v>
      </c>
      <c r="D97" s="171"/>
      <c r="E97" s="185" t="s">
        <v>75</v>
      </c>
      <c r="F97" s="168" t="s">
        <v>21</v>
      </c>
      <c r="G97" s="168" t="s">
        <v>19</v>
      </c>
      <c r="H97" s="168">
        <v>1</v>
      </c>
      <c r="I97" s="171"/>
    </row>
    <row r="98" spans="1:9" s="173" customFormat="1">
      <c r="A98" s="166">
        <v>45910</v>
      </c>
      <c r="B98" s="167">
        <f>Table134[[#This Row],[Date]]</f>
        <v>45910</v>
      </c>
      <c r="C98" s="168" t="s">
        <v>26</v>
      </c>
      <c r="D98" s="171"/>
      <c r="E98" s="185" t="s">
        <v>75</v>
      </c>
      <c r="F98" s="168" t="s">
        <v>28</v>
      </c>
      <c r="G98" s="168" t="s">
        <v>19</v>
      </c>
      <c r="H98" s="168">
        <v>1</v>
      </c>
      <c r="I98" s="171"/>
    </row>
    <row r="99" spans="1:9" s="173" customFormat="1">
      <c r="A99" s="166">
        <v>45911</v>
      </c>
      <c r="B99" s="167">
        <f>Table134[[#This Row],[Date]]</f>
        <v>45911</v>
      </c>
      <c r="C99" s="168" t="s">
        <v>14</v>
      </c>
      <c r="D99" s="171"/>
      <c r="E99" s="185" t="s">
        <v>15</v>
      </c>
      <c r="F99" s="168"/>
      <c r="G99" s="168"/>
      <c r="H99" s="168"/>
      <c r="I99" s="171"/>
    </row>
    <row r="100" spans="1:9" s="173" customFormat="1">
      <c r="A100" s="166">
        <v>45911</v>
      </c>
      <c r="B100" s="167">
        <f>Table134[[#This Row],[Date]]</f>
        <v>45911</v>
      </c>
      <c r="C100" s="168" t="s">
        <v>16</v>
      </c>
      <c r="D100" s="187"/>
      <c r="E100" s="186" t="s">
        <v>74</v>
      </c>
      <c r="F100" s="187" t="s">
        <v>42</v>
      </c>
      <c r="G100" s="168" t="s">
        <v>19</v>
      </c>
      <c r="H100" s="168">
        <v>1</v>
      </c>
      <c r="I100" s="171"/>
    </row>
    <row r="101" spans="1:9" s="173" customFormat="1">
      <c r="A101" s="166">
        <v>45911</v>
      </c>
      <c r="B101" s="167">
        <f>Table134[[#This Row],[Date]]</f>
        <v>45911</v>
      </c>
      <c r="C101" s="168" t="s">
        <v>16</v>
      </c>
      <c r="D101" s="187"/>
      <c r="E101" s="186" t="s">
        <v>74</v>
      </c>
      <c r="F101" s="168" t="s">
        <v>47</v>
      </c>
      <c r="G101" s="168" t="s">
        <v>19</v>
      </c>
      <c r="H101" s="168">
        <v>1</v>
      </c>
      <c r="I101" s="171"/>
    </row>
    <row r="102" spans="1:9" s="173" customFormat="1">
      <c r="A102" s="166">
        <v>45911</v>
      </c>
      <c r="B102" s="167">
        <f>Table134[[#This Row],[Date]]</f>
        <v>45911</v>
      </c>
      <c r="C102" s="168" t="s">
        <v>16</v>
      </c>
      <c r="D102" s="187"/>
      <c r="E102" s="186" t="s">
        <v>74</v>
      </c>
      <c r="F102" s="168" t="s">
        <v>53</v>
      </c>
      <c r="G102" s="168" t="s">
        <v>19</v>
      </c>
      <c r="H102" s="168">
        <v>1</v>
      </c>
      <c r="I102" s="171"/>
    </row>
    <row r="103" spans="1:9" s="173" customFormat="1">
      <c r="A103" s="166">
        <v>45911</v>
      </c>
      <c r="B103" s="167">
        <f>Table134[[#This Row],[Date]]</f>
        <v>45911</v>
      </c>
      <c r="C103" s="168" t="s">
        <v>23</v>
      </c>
      <c r="D103" s="187"/>
      <c r="E103" s="188" t="s">
        <v>71</v>
      </c>
      <c r="F103" s="187" t="s">
        <v>61</v>
      </c>
      <c r="G103" s="168" t="s">
        <v>60</v>
      </c>
      <c r="H103" s="168">
        <v>1</v>
      </c>
      <c r="I103" s="171"/>
    </row>
    <row r="104" spans="1:9" s="173" customFormat="1">
      <c r="A104" s="166">
        <v>45911</v>
      </c>
      <c r="B104" s="167">
        <f>Table134[[#This Row],[Date]]</f>
        <v>45911</v>
      </c>
      <c r="C104" s="168" t="s">
        <v>23</v>
      </c>
      <c r="D104" s="187"/>
      <c r="E104" s="188" t="s">
        <v>71</v>
      </c>
      <c r="F104" s="168" t="s">
        <v>76</v>
      </c>
      <c r="G104" s="168" t="s">
        <v>60</v>
      </c>
      <c r="H104" s="168">
        <v>1</v>
      </c>
      <c r="I104" s="171"/>
    </row>
    <row r="105" spans="1:9" s="173" customFormat="1">
      <c r="A105" s="166">
        <v>45911</v>
      </c>
      <c r="B105" s="167">
        <f>Table134[[#This Row],[Date]]</f>
        <v>45911</v>
      </c>
      <c r="C105" s="168" t="s">
        <v>23</v>
      </c>
      <c r="D105" s="187"/>
      <c r="E105" s="188" t="s">
        <v>71</v>
      </c>
      <c r="F105" s="187" t="s">
        <v>77</v>
      </c>
      <c r="G105" s="168" t="s">
        <v>60</v>
      </c>
      <c r="H105" s="168">
        <v>1</v>
      </c>
      <c r="I105" s="171"/>
    </row>
    <row r="106" spans="1:9" s="173" customFormat="1">
      <c r="A106" s="166">
        <v>45911</v>
      </c>
      <c r="B106" s="167">
        <f>Table134[[#This Row],[Date]]</f>
        <v>45911</v>
      </c>
      <c r="C106" s="168" t="s">
        <v>26</v>
      </c>
      <c r="D106" s="187"/>
      <c r="E106" s="188" t="s">
        <v>78</v>
      </c>
      <c r="F106" s="168" t="s">
        <v>18</v>
      </c>
      <c r="G106" s="168" t="s">
        <v>19</v>
      </c>
      <c r="H106" s="168">
        <v>1</v>
      </c>
      <c r="I106" s="171"/>
    </row>
    <row r="107" spans="1:9" s="173" customFormat="1">
      <c r="A107" s="166">
        <v>45911</v>
      </c>
      <c r="B107" s="167">
        <f>Table134[[#This Row],[Date]]</f>
        <v>45911</v>
      </c>
      <c r="C107" s="168" t="s">
        <v>26</v>
      </c>
      <c r="D107" s="168"/>
      <c r="E107" s="177" t="s">
        <v>78</v>
      </c>
      <c r="F107" s="168" t="s">
        <v>21</v>
      </c>
      <c r="G107" s="168" t="s">
        <v>19</v>
      </c>
      <c r="H107" s="168">
        <v>1</v>
      </c>
      <c r="I107" s="171"/>
    </row>
    <row r="108" spans="1:9" s="173" customFormat="1">
      <c r="A108" s="166">
        <v>45911</v>
      </c>
      <c r="B108" s="167">
        <f>Table134[[#This Row],[Date]]</f>
        <v>45911</v>
      </c>
      <c r="C108" s="168" t="s">
        <v>26</v>
      </c>
      <c r="D108" s="168"/>
      <c r="E108" s="177" t="s">
        <v>78</v>
      </c>
      <c r="F108" s="168" t="s">
        <v>28</v>
      </c>
      <c r="G108" s="168" t="s">
        <v>19</v>
      </c>
      <c r="H108" s="168">
        <v>1</v>
      </c>
      <c r="I108" s="171"/>
    </row>
    <row r="109" spans="1:9" s="173" customFormat="1">
      <c r="A109" s="166">
        <v>45912</v>
      </c>
      <c r="B109" s="167">
        <f>Table134[[#This Row],[Date]]</f>
        <v>45912</v>
      </c>
      <c r="C109" s="168" t="s">
        <v>14</v>
      </c>
      <c r="D109" s="168"/>
      <c r="E109" s="180" t="s">
        <v>79</v>
      </c>
      <c r="F109" s="170" t="s">
        <v>18</v>
      </c>
      <c r="G109" s="168" t="s">
        <v>19</v>
      </c>
      <c r="H109" s="168">
        <v>1</v>
      </c>
      <c r="I109" s="171"/>
    </row>
    <row r="110" spans="1:9" s="173" customFormat="1">
      <c r="A110" s="166">
        <v>45912</v>
      </c>
      <c r="B110" s="167">
        <f>Table134[[#This Row],[Date]]</f>
        <v>45912</v>
      </c>
      <c r="C110" s="168" t="s">
        <v>14</v>
      </c>
      <c r="D110" s="168"/>
      <c r="E110" s="180" t="s">
        <v>79</v>
      </c>
      <c r="F110" s="168" t="s">
        <v>21</v>
      </c>
      <c r="G110" s="168" t="s">
        <v>19</v>
      </c>
      <c r="H110" s="168">
        <v>1</v>
      </c>
      <c r="I110" s="171"/>
    </row>
    <row r="111" spans="1:9" s="173" customFormat="1">
      <c r="A111" s="166">
        <v>45912</v>
      </c>
      <c r="B111" s="167">
        <f>Table134[[#This Row],[Date]]</f>
        <v>45912</v>
      </c>
      <c r="C111" s="168" t="s">
        <v>14</v>
      </c>
      <c r="D111" s="187"/>
      <c r="E111" s="186" t="s">
        <v>80</v>
      </c>
      <c r="F111" s="189" t="s">
        <v>18</v>
      </c>
      <c r="G111" s="168" t="s">
        <v>19</v>
      </c>
      <c r="H111" s="168">
        <v>1</v>
      </c>
      <c r="I111" s="171"/>
    </row>
    <row r="112" spans="1:9" s="173" customFormat="1">
      <c r="A112" s="166">
        <v>45912</v>
      </c>
      <c r="B112" s="167">
        <f>Table134[[#This Row],[Date]]</f>
        <v>45912</v>
      </c>
      <c r="C112" s="168" t="s">
        <v>14</v>
      </c>
      <c r="D112" s="187"/>
      <c r="E112" s="186" t="s">
        <v>80</v>
      </c>
      <c r="F112" s="168" t="s">
        <v>21</v>
      </c>
      <c r="G112" s="168" t="s">
        <v>19</v>
      </c>
      <c r="H112" s="168">
        <v>1</v>
      </c>
      <c r="I112" s="171"/>
    </row>
    <row r="113" spans="1:9" s="173" customFormat="1">
      <c r="A113" s="166">
        <v>45912</v>
      </c>
      <c r="B113" s="167">
        <f>Table134[[#This Row],[Date]]</f>
        <v>45912</v>
      </c>
      <c r="C113" s="168" t="s">
        <v>16</v>
      </c>
      <c r="D113" s="187"/>
      <c r="E113" s="188" t="s">
        <v>15</v>
      </c>
      <c r="F113" s="187"/>
      <c r="G113" s="168"/>
      <c r="H113" s="168"/>
      <c r="I113" s="171"/>
    </row>
    <row r="114" spans="1:9" s="173" customFormat="1">
      <c r="A114" s="166">
        <v>45912</v>
      </c>
      <c r="B114" s="167">
        <f>Table134[[#This Row],[Date]]</f>
        <v>45912</v>
      </c>
      <c r="C114" s="168" t="s">
        <v>23</v>
      </c>
      <c r="D114" s="187"/>
      <c r="E114" s="186" t="s">
        <v>81</v>
      </c>
      <c r="F114" s="168" t="s">
        <v>18</v>
      </c>
      <c r="G114" s="168" t="s">
        <v>19</v>
      </c>
      <c r="H114" s="168">
        <v>1</v>
      </c>
      <c r="I114" s="171"/>
    </row>
    <row r="115" spans="1:9" s="173" customFormat="1">
      <c r="A115" s="166">
        <v>45912</v>
      </c>
      <c r="B115" s="167">
        <f>Table134[[#This Row],[Date]]</f>
        <v>45912</v>
      </c>
      <c r="C115" s="168" t="s">
        <v>23</v>
      </c>
      <c r="D115" s="187"/>
      <c r="E115" s="186" t="s">
        <v>82</v>
      </c>
      <c r="F115" s="187" t="s">
        <v>18</v>
      </c>
      <c r="G115" s="168" t="s">
        <v>19</v>
      </c>
      <c r="H115" s="168">
        <v>1</v>
      </c>
      <c r="I115" s="171"/>
    </row>
    <row r="116" spans="1:9" s="173" customFormat="1">
      <c r="A116" s="166">
        <v>45912</v>
      </c>
      <c r="B116" s="167">
        <f>Table134[[#This Row],[Date]]</f>
        <v>45912</v>
      </c>
      <c r="C116" s="168" t="s">
        <v>23</v>
      </c>
      <c r="D116" s="187"/>
      <c r="E116" s="186" t="s">
        <v>83</v>
      </c>
      <c r="F116" s="168" t="s">
        <v>18</v>
      </c>
      <c r="G116" s="168" t="s">
        <v>19</v>
      </c>
      <c r="H116" s="168">
        <v>1</v>
      </c>
      <c r="I116" s="171"/>
    </row>
    <row r="117" spans="1:9" s="173" customFormat="1">
      <c r="A117" s="166">
        <v>45912</v>
      </c>
      <c r="B117" s="167">
        <f>Table134[[#This Row],[Date]]</f>
        <v>45912</v>
      </c>
      <c r="C117" s="168" t="s">
        <v>26</v>
      </c>
      <c r="D117" s="187"/>
      <c r="E117" s="188" t="s">
        <v>84</v>
      </c>
      <c r="F117" s="187" t="s">
        <v>47</v>
      </c>
      <c r="G117" s="168" t="s">
        <v>19</v>
      </c>
      <c r="H117" s="168">
        <v>1</v>
      </c>
      <c r="I117" s="171"/>
    </row>
    <row r="118" spans="1:9" s="173" customFormat="1">
      <c r="A118" s="166">
        <v>45912</v>
      </c>
      <c r="B118" s="167">
        <f>Table134[[#This Row],[Date]]</f>
        <v>45912</v>
      </c>
      <c r="C118" s="168" t="s">
        <v>26</v>
      </c>
      <c r="D118" s="187"/>
      <c r="E118" s="188" t="s">
        <v>85</v>
      </c>
      <c r="F118" s="179" t="s">
        <v>18</v>
      </c>
      <c r="G118" s="168" t="s">
        <v>19</v>
      </c>
      <c r="H118" s="168">
        <v>1</v>
      </c>
      <c r="I118" s="171"/>
    </row>
    <row r="119" spans="1:9" s="173" customFormat="1">
      <c r="A119" s="166">
        <v>45912</v>
      </c>
      <c r="B119" s="167">
        <f>Table134[[#This Row],[Date]]</f>
        <v>45912</v>
      </c>
      <c r="C119" s="168" t="s">
        <v>26</v>
      </c>
      <c r="D119" s="187"/>
      <c r="E119" s="188" t="s">
        <v>85</v>
      </c>
      <c r="F119" s="190" t="s">
        <v>21</v>
      </c>
      <c r="G119" s="168" t="s">
        <v>19</v>
      </c>
      <c r="H119" s="168">
        <v>1</v>
      </c>
      <c r="I119" s="171"/>
    </row>
    <row r="120" spans="1:9" s="173" customFormat="1">
      <c r="A120" s="166">
        <v>45913</v>
      </c>
      <c r="B120" s="167">
        <f>Table134[[#This Row],[Date]]</f>
        <v>45913</v>
      </c>
      <c r="C120" s="168" t="s">
        <v>16</v>
      </c>
      <c r="D120" s="187"/>
      <c r="E120" s="186" t="s">
        <v>86</v>
      </c>
      <c r="F120" s="168" t="s">
        <v>18</v>
      </c>
      <c r="G120" s="168" t="s">
        <v>19</v>
      </c>
      <c r="H120" s="168">
        <v>1</v>
      </c>
      <c r="I120" s="171"/>
    </row>
    <row r="121" spans="1:9" s="173" customFormat="1">
      <c r="A121" s="166">
        <v>45913</v>
      </c>
      <c r="B121" s="167">
        <f>Table134[[#This Row],[Date]]</f>
        <v>45913</v>
      </c>
      <c r="C121" s="168" t="s">
        <v>16</v>
      </c>
      <c r="D121" s="187"/>
      <c r="E121" s="186" t="s">
        <v>86</v>
      </c>
      <c r="F121" s="187" t="s">
        <v>21</v>
      </c>
      <c r="G121" s="168" t="s">
        <v>19</v>
      </c>
      <c r="H121" s="168">
        <v>1</v>
      </c>
      <c r="I121" s="171"/>
    </row>
    <row r="122" spans="1:9" s="173" customFormat="1">
      <c r="A122" s="166">
        <v>45913</v>
      </c>
      <c r="B122" s="167">
        <f>Table134[[#This Row],[Date]]</f>
        <v>45913</v>
      </c>
      <c r="C122" s="168" t="s">
        <v>16</v>
      </c>
      <c r="D122" s="187"/>
      <c r="E122" s="186" t="s">
        <v>86</v>
      </c>
      <c r="F122" s="168" t="s">
        <v>49</v>
      </c>
      <c r="G122" s="168" t="s">
        <v>19</v>
      </c>
      <c r="H122" s="168">
        <v>1</v>
      </c>
      <c r="I122" s="171"/>
    </row>
    <row r="123" spans="1:9" s="173" customFormat="1">
      <c r="A123" s="166">
        <v>45913</v>
      </c>
      <c r="B123" s="167">
        <f>Table134[[#This Row],[Date]]</f>
        <v>45913</v>
      </c>
      <c r="C123" s="168" t="s">
        <v>4</v>
      </c>
      <c r="D123" s="187"/>
      <c r="E123" s="191" t="s">
        <v>87</v>
      </c>
      <c r="F123" s="187" t="s">
        <v>88</v>
      </c>
      <c r="G123" s="168" t="s">
        <v>19</v>
      </c>
      <c r="H123" s="168">
        <v>1</v>
      </c>
      <c r="I123" s="171"/>
    </row>
    <row r="124" spans="1:9" s="173" customFormat="1">
      <c r="A124" s="166">
        <v>45913</v>
      </c>
      <c r="B124" s="167">
        <f>Table134[[#This Row],[Date]]</f>
        <v>45913</v>
      </c>
      <c r="C124" s="168" t="s">
        <v>4</v>
      </c>
      <c r="D124" s="187"/>
      <c r="E124" s="191" t="s">
        <v>87</v>
      </c>
      <c r="F124" s="168" t="s">
        <v>89</v>
      </c>
      <c r="G124" s="168" t="s">
        <v>19</v>
      </c>
      <c r="H124" s="168">
        <v>1</v>
      </c>
      <c r="I124" s="171"/>
    </row>
    <row r="125" spans="1:9" s="173" customFormat="1">
      <c r="A125" s="166">
        <v>45913</v>
      </c>
      <c r="B125" s="167">
        <f>Table134[[#This Row],[Date]]</f>
        <v>45913</v>
      </c>
      <c r="C125" s="168" t="s">
        <v>4</v>
      </c>
      <c r="D125" s="187"/>
      <c r="E125" s="191" t="s">
        <v>87</v>
      </c>
      <c r="F125" s="187" t="s">
        <v>90</v>
      </c>
      <c r="G125" s="168" t="s">
        <v>19</v>
      </c>
      <c r="H125" s="168">
        <v>1</v>
      </c>
      <c r="I125" s="171"/>
    </row>
    <row r="126" spans="1:9" s="173" customFormat="1">
      <c r="A126" s="166">
        <v>45913</v>
      </c>
      <c r="B126" s="167">
        <f>Table134[[#This Row],[Date]]</f>
        <v>45913</v>
      </c>
      <c r="C126" s="168" t="s">
        <v>4</v>
      </c>
      <c r="D126" s="187"/>
      <c r="E126" s="191" t="s">
        <v>87</v>
      </c>
      <c r="F126" s="168" t="s">
        <v>91</v>
      </c>
      <c r="G126" s="168" t="s">
        <v>19</v>
      </c>
      <c r="H126" s="168">
        <v>1</v>
      </c>
      <c r="I126" s="171"/>
    </row>
    <row r="127" spans="1:9" s="173" customFormat="1">
      <c r="A127" s="166">
        <v>45914</v>
      </c>
      <c r="B127" s="167">
        <f>Table134[[#This Row],[Date]]</f>
        <v>45914</v>
      </c>
      <c r="C127" s="168" t="s">
        <v>4</v>
      </c>
      <c r="D127" s="187"/>
      <c r="E127" s="186" t="s">
        <v>92</v>
      </c>
      <c r="F127" s="187" t="s">
        <v>93</v>
      </c>
      <c r="G127" s="168" t="s">
        <v>19</v>
      </c>
      <c r="H127" s="168">
        <v>1</v>
      </c>
      <c r="I127" s="171"/>
    </row>
    <row r="128" spans="1:9" s="173" customFormat="1">
      <c r="A128" s="166">
        <v>45914</v>
      </c>
      <c r="B128" s="167">
        <f>Table134[[#This Row],[Date]]</f>
        <v>45914</v>
      </c>
      <c r="C128" s="168" t="s">
        <v>4</v>
      </c>
      <c r="D128" s="187"/>
      <c r="E128" s="186" t="s">
        <v>92</v>
      </c>
      <c r="F128" s="168" t="s">
        <v>94</v>
      </c>
      <c r="G128" s="168" t="s">
        <v>19</v>
      </c>
      <c r="H128" s="168">
        <v>1</v>
      </c>
      <c r="I128" s="171"/>
    </row>
    <row r="129" spans="1:9" s="173" customFormat="1">
      <c r="A129" s="166">
        <v>45914</v>
      </c>
      <c r="B129" s="167">
        <f>Table134[[#This Row],[Date]]</f>
        <v>45914</v>
      </c>
      <c r="C129" s="168" t="s">
        <v>4</v>
      </c>
      <c r="D129" s="187"/>
      <c r="E129" s="186" t="s">
        <v>92</v>
      </c>
      <c r="F129" s="187" t="s">
        <v>95</v>
      </c>
      <c r="G129" s="168" t="s">
        <v>19</v>
      </c>
      <c r="H129" s="168">
        <v>1</v>
      </c>
      <c r="I129" s="171"/>
    </row>
    <row r="130" spans="1:9" s="173" customFormat="1">
      <c r="A130" s="166">
        <v>45915</v>
      </c>
      <c r="B130" s="167">
        <f>Table134[[#This Row],[Date]]</f>
        <v>45915</v>
      </c>
      <c r="C130" s="168" t="s">
        <v>14</v>
      </c>
      <c r="D130" s="187"/>
      <c r="E130" s="186" t="s">
        <v>96</v>
      </c>
      <c r="F130" s="168" t="s">
        <v>18</v>
      </c>
      <c r="G130" s="168" t="s">
        <v>19</v>
      </c>
      <c r="H130" s="168">
        <v>1</v>
      </c>
      <c r="I130" s="171"/>
    </row>
    <row r="131" spans="1:9" s="173" customFormat="1">
      <c r="A131" s="166">
        <v>45915</v>
      </c>
      <c r="B131" s="167">
        <f>Table134[[#This Row],[Date]]</f>
        <v>45915</v>
      </c>
      <c r="C131" s="168" t="s">
        <v>14</v>
      </c>
      <c r="D131" s="187"/>
      <c r="E131" s="186" t="s">
        <v>97</v>
      </c>
      <c r="F131" s="187" t="s">
        <v>18</v>
      </c>
      <c r="G131" s="168" t="s">
        <v>19</v>
      </c>
      <c r="H131" s="168">
        <v>1</v>
      </c>
      <c r="I131" s="171"/>
    </row>
    <row r="132" spans="1:9" s="173" customFormat="1">
      <c r="A132" s="166">
        <v>45915</v>
      </c>
      <c r="B132" s="167">
        <f>Table134[[#This Row],[Date]]</f>
        <v>45915</v>
      </c>
      <c r="C132" s="168" t="s">
        <v>14</v>
      </c>
      <c r="D132" s="187"/>
      <c r="E132" s="188" t="s">
        <v>98</v>
      </c>
      <c r="F132" s="168" t="s">
        <v>18</v>
      </c>
      <c r="G132" s="168" t="s">
        <v>99</v>
      </c>
      <c r="H132" s="168">
        <v>1</v>
      </c>
      <c r="I132" s="171"/>
    </row>
    <row r="133" spans="1:9" s="173" customFormat="1">
      <c r="A133" s="166">
        <v>45915</v>
      </c>
      <c r="B133" s="192">
        <f>Table134[[#This Row],[Date]]</f>
        <v>45915</v>
      </c>
      <c r="C133" s="187" t="s">
        <v>14</v>
      </c>
      <c r="D133" s="187"/>
      <c r="E133" s="191" t="s">
        <v>100</v>
      </c>
      <c r="F133" s="168" t="s">
        <v>18</v>
      </c>
      <c r="G133" s="168" t="s">
        <v>19</v>
      </c>
      <c r="H133" s="168">
        <v>1</v>
      </c>
      <c r="I133" s="193"/>
    </row>
    <row r="134" spans="1:9" s="173" customFormat="1">
      <c r="A134" s="166">
        <v>45915</v>
      </c>
      <c r="B134" s="167">
        <f>Table134[[#This Row],[Date]]</f>
        <v>45915</v>
      </c>
      <c r="C134" s="168" t="s">
        <v>16</v>
      </c>
      <c r="D134" s="187"/>
      <c r="E134" s="186" t="s">
        <v>101</v>
      </c>
      <c r="F134" s="170" t="s">
        <v>18</v>
      </c>
      <c r="G134" s="168" t="s">
        <v>19</v>
      </c>
      <c r="H134" s="168">
        <v>1</v>
      </c>
      <c r="I134" s="171"/>
    </row>
    <row r="135" spans="1:9" s="173" customFormat="1">
      <c r="A135" s="166">
        <v>45915</v>
      </c>
      <c r="B135" s="167">
        <f>Table134[[#This Row],[Date]]</f>
        <v>45915</v>
      </c>
      <c r="C135" s="168" t="s">
        <v>16</v>
      </c>
      <c r="D135" s="187"/>
      <c r="E135" s="186" t="s">
        <v>101</v>
      </c>
      <c r="F135" s="187" t="s">
        <v>21</v>
      </c>
      <c r="G135" s="168" t="s">
        <v>19</v>
      </c>
      <c r="H135" s="168">
        <v>1</v>
      </c>
      <c r="I135" s="171"/>
    </row>
    <row r="136" spans="1:9" s="173" customFormat="1">
      <c r="A136" s="166">
        <v>45915</v>
      </c>
      <c r="B136" s="167">
        <f>Table134[[#This Row],[Date]]</f>
        <v>45915</v>
      </c>
      <c r="C136" s="168" t="s">
        <v>16</v>
      </c>
      <c r="D136" s="187"/>
      <c r="E136" s="186" t="s">
        <v>101</v>
      </c>
      <c r="F136" s="168" t="s">
        <v>47</v>
      </c>
      <c r="G136" s="168" t="s">
        <v>19</v>
      </c>
      <c r="H136" s="168">
        <v>1</v>
      </c>
      <c r="I136" s="171"/>
    </row>
    <row r="137" spans="1:9" s="173" customFormat="1">
      <c r="A137" s="166">
        <v>45915</v>
      </c>
      <c r="B137" s="167">
        <f>Table134[[#This Row],[Date]]</f>
        <v>45915</v>
      </c>
      <c r="C137" s="168" t="s">
        <v>23</v>
      </c>
      <c r="D137" s="187"/>
      <c r="E137" s="188" t="s">
        <v>15</v>
      </c>
      <c r="F137" s="187"/>
      <c r="G137" s="168"/>
      <c r="H137" s="168"/>
      <c r="I137" s="171"/>
    </row>
    <row r="138" spans="1:9" s="173" customFormat="1">
      <c r="A138" s="166">
        <v>45915</v>
      </c>
      <c r="B138" s="167">
        <f>Table134[[#This Row],[Date]]</f>
        <v>45915</v>
      </c>
      <c r="C138" s="168" t="s">
        <v>26</v>
      </c>
      <c r="D138" s="187"/>
      <c r="E138" s="188" t="s">
        <v>102</v>
      </c>
      <c r="F138" s="170" t="s">
        <v>18</v>
      </c>
      <c r="G138" s="168" t="s">
        <v>19</v>
      </c>
      <c r="H138" s="168">
        <v>1</v>
      </c>
      <c r="I138" s="171"/>
    </row>
    <row r="139" spans="1:9" s="173" customFormat="1">
      <c r="A139" s="166">
        <v>45915</v>
      </c>
      <c r="B139" s="167">
        <f>Table134[[#This Row],[Date]]</f>
        <v>45915</v>
      </c>
      <c r="C139" s="168" t="s">
        <v>26</v>
      </c>
      <c r="D139" s="187"/>
      <c r="E139" s="188" t="s">
        <v>103</v>
      </c>
      <c r="F139" s="187" t="s">
        <v>18</v>
      </c>
      <c r="G139" s="168" t="s">
        <v>19</v>
      </c>
      <c r="H139" s="168">
        <v>1</v>
      </c>
      <c r="I139" s="171"/>
    </row>
    <row r="140" spans="1:9" s="173" customFormat="1">
      <c r="A140" s="166">
        <v>45915</v>
      </c>
      <c r="B140" s="167">
        <f>Table134[[#This Row],[Date]]</f>
        <v>45915</v>
      </c>
      <c r="C140" s="168" t="s">
        <v>26</v>
      </c>
      <c r="D140" s="187"/>
      <c r="E140" s="188" t="s">
        <v>103</v>
      </c>
      <c r="F140" s="168" t="s">
        <v>21</v>
      </c>
      <c r="G140" s="168" t="s">
        <v>19</v>
      </c>
      <c r="H140" s="168">
        <v>1</v>
      </c>
      <c r="I140" s="171"/>
    </row>
    <row r="141" spans="1:9" s="173" customFormat="1">
      <c r="A141" s="166">
        <v>45916</v>
      </c>
      <c r="B141" s="167">
        <f>Table134[[#This Row],[Date]]</f>
        <v>45916</v>
      </c>
      <c r="C141" s="168" t="s">
        <v>14</v>
      </c>
      <c r="D141" s="168"/>
      <c r="E141" s="180" t="s">
        <v>104</v>
      </c>
      <c r="F141" s="187" t="s">
        <v>59</v>
      </c>
      <c r="G141" s="168" t="s">
        <v>60</v>
      </c>
      <c r="H141" s="168">
        <v>1</v>
      </c>
      <c r="I141" s="171"/>
    </row>
    <row r="142" spans="1:9" s="173" customFormat="1">
      <c r="A142" s="166">
        <v>45916</v>
      </c>
      <c r="B142" s="167">
        <f>Table134[[#This Row],[Date]]</f>
        <v>45916</v>
      </c>
      <c r="C142" s="168" t="s">
        <v>14</v>
      </c>
      <c r="D142" s="168"/>
      <c r="E142" s="180" t="s">
        <v>104</v>
      </c>
      <c r="F142" s="168" t="s">
        <v>61</v>
      </c>
      <c r="G142" s="168" t="s">
        <v>60</v>
      </c>
      <c r="H142" s="168">
        <v>1</v>
      </c>
      <c r="I142" s="171"/>
    </row>
    <row r="143" spans="1:9" s="173" customFormat="1">
      <c r="A143" s="166">
        <v>45916</v>
      </c>
      <c r="B143" s="167">
        <f>Table134[[#This Row],[Date]]</f>
        <v>45916</v>
      </c>
      <c r="C143" s="168" t="s">
        <v>4</v>
      </c>
      <c r="D143" s="168"/>
      <c r="E143" s="180" t="s">
        <v>32</v>
      </c>
      <c r="F143" s="187"/>
      <c r="G143" s="168"/>
      <c r="H143" s="168"/>
      <c r="I143" s="171"/>
    </row>
    <row r="144" spans="1:9" s="173" customFormat="1">
      <c r="A144" s="166">
        <v>45917</v>
      </c>
      <c r="B144" s="167">
        <f>Table134[[#This Row],[Date]]</f>
        <v>45917</v>
      </c>
      <c r="C144" s="168" t="s">
        <v>14</v>
      </c>
      <c r="D144" s="168"/>
      <c r="E144" s="180" t="s">
        <v>104</v>
      </c>
      <c r="F144" s="168" t="s">
        <v>72</v>
      </c>
      <c r="G144" s="168" t="s">
        <v>60</v>
      </c>
      <c r="H144" s="168">
        <v>1</v>
      </c>
      <c r="I144" s="171"/>
    </row>
    <row r="145" spans="1:9" s="173" customFormat="1">
      <c r="A145" s="166">
        <v>45917</v>
      </c>
      <c r="B145" s="167">
        <f>Table134[[#This Row],[Date]]</f>
        <v>45917</v>
      </c>
      <c r="C145" s="168" t="s">
        <v>14</v>
      </c>
      <c r="D145" s="168"/>
      <c r="E145" s="180" t="s">
        <v>104</v>
      </c>
      <c r="F145" s="187" t="s">
        <v>76</v>
      </c>
      <c r="G145" s="168" t="s">
        <v>60</v>
      </c>
      <c r="H145" s="168">
        <v>1</v>
      </c>
      <c r="I145" s="171"/>
    </row>
    <row r="146" spans="1:9" s="173" customFormat="1">
      <c r="A146" s="166">
        <v>45917</v>
      </c>
      <c r="B146" s="167">
        <f>Table134[[#This Row],[Date]]</f>
        <v>45917</v>
      </c>
      <c r="C146" s="168" t="s">
        <v>14</v>
      </c>
      <c r="D146" s="168"/>
      <c r="E146" s="177" t="s">
        <v>15</v>
      </c>
      <c r="F146" s="168"/>
      <c r="G146" s="168"/>
      <c r="H146" s="168"/>
      <c r="I146" s="171"/>
    </row>
    <row r="147" spans="1:9" s="173" customFormat="1">
      <c r="A147" s="166">
        <v>45917</v>
      </c>
      <c r="B147" s="167">
        <f>Table134[[#This Row],[Date]]</f>
        <v>45917</v>
      </c>
      <c r="C147" s="168" t="s">
        <v>16</v>
      </c>
      <c r="D147" s="168"/>
      <c r="E147" s="180" t="s">
        <v>105</v>
      </c>
      <c r="F147" s="190" t="s">
        <v>18</v>
      </c>
      <c r="G147" s="168" t="s">
        <v>19</v>
      </c>
      <c r="H147" s="168">
        <v>1</v>
      </c>
      <c r="I147" s="171"/>
    </row>
    <row r="148" spans="1:9" s="173" customFormat="1">
      <c r="A148" s="166">
        <v>45917</v>
      </c>
      <c r="B148" s="167">
        <f>Table134[[#This Row],[Date]]</f>
        <v>45917</v>
      </c>
      <c r="C148" s="168" t="s">
        <v>16</v>
      </c>
      <c r="D148" s="168"/>
      <c r="E148" s="180" t="s">
        <v>105</v>
      </c>
      <c r="F148" s="179" t="s">
        <v>21</v>
      </c>
      <c r="G148" s="168" t="s">
        <v>19</v>
      </c>
      <c r="H148" s="168">
        <v>1</v>
      </c>
      <c r="I148" s="171"/>
    </row>
    <row r="149" spans="1:9" s="173" customFormat="1">
      <c r="A149" s="166">
        <v>45917</v>
      </c>
      <c r="B149" s="167">
        <f>Table134[[#This Row],[Date]]</f>
        <v>45917</v>
      </c>
      <c r="C149" s="168" t="s">
        <v>16</v>
      </c>
      <c r="D149" s="187"/>
      <c r="E149" s="186" t="s">
        <v>105</v>
      </c>
      <c r="F149" s="179" t="s">
        <v>49</v>
      </c>
      <c r="G149" s="168" t="s">
        <v>19</v>
      </c>
      <c r="H149" s="168">
        <v>1</v>
      </c>
      <c r="I149" s="171"/>
    </row>
    <row r="150" spans="1:9" s="173" customFormat="1">
      <c r="A150" s="166">
        <v>45917</v>
      </c>
      <c r="B150" s="167">
        <f>Table134[[#This Row],[Date]]</f>
        <v>45917</v>
      </c>
      <c r="C150" s="168" t="s">
        <v>23</v>
      </c>
      <c r="D150" s="187"/>
      <c r="E150" s="186" t="s">
        <v>106</v>
      </c>
      <c r="F150" s="170" t="s">
        <v>28</v>
      </c>
      <c r="G150" s="168" t="s">
        <v>19</v>
      </c>
      <c r="H150" s="168">
        <v>1</v>
      </c>
      <c r="I150" s="171"/>
    </row>
    <row r="151" spans="1:9" s="173" customFormat="1">
      <c r="A151" s="166">
        <v>45917</v>
      </c>
      <c r="B151" s="167">
        <f>Table134[[#This Row],[Date]]</f>
        <v>45917</v>
      </c>
      <c r="C151" s="168" t="s">
        <v>23</v>
      </c>
      <c r="D151" s="187"/>
      <c r="E151" s="186" t="s">
        <v>106</v>
      </c>
      <c r="F151" s="168" t="s">
        <v>107</v>
      </c>
      <c r="G151" s="168" t="s">
        <v>19</v>
      </c>
      <c r="H151" s="168">
        <v>1</v>
      </c>
      <c r="I151" s="171"/>
    </row>
    <row r="152" spans="1:9" s="173" customFormat="1">
      <c r="A152" s="166">
        <v>45917</v>
      </c>
      <c r="B152" s="167">
        <f>Table134[[#This Row],[Date]]</f>
        <v>45917</v>
      </c>
      <c r="C152" s="168" t="s">
        <v>23</v>
      </c>
      <c r="D152" s="187"/>
      <c r="E152" s="186" t="s">
        <v>106</v>
      </c>
      <c r="F152" s="170" t="s">
        <v>41</v>
      </c>
      <c r="G152" s="168" t="s">
        <v>19</v>
      </c>
      <c r="H152" s="168">
        <v>1</v>
      </c>
      <c r="I152" s="171"/>
    </row>
    <row r="153" spans="1:9" s="173" customFormat="1">
      <c r="A153" s="166">
        <v>45917</v>
      </c>
      <c r="B153" s="167">
        <f>Table134[[#This Row],[Date]]</f>
        <v>45917</v>
      </c>
      <c r="C153" s="168" t="s">
        <v>26</v>
      </c>
      <c r="D153" s="187"/>
      <c r="E153" s="188" t="s">
        <v>108</v>
      </c>
      <c r="F153" s="168" t="s">
        <v>28</v>
      </c>
      <c r="G153" s="168" t="s">
        <v>19</v>
      </c>
      <c r="H153" s="168">
        <v>1</v>
      </c>
      <c r="I153" s="171"/>
    </row>
    <row r="154" spans="1:9" s="173" customFormat="1">
      <c r="A154" s="166">
        <v>45917</v>
      </c>
      <c r="B154" s="167">
        <f>Table134[[#This Row],[Date]]</f>
        <v>45917</v>
      </c>
      <c r="C154" s="168" t="s">
        <v>26</v>
      </c>
      <c r="D154" s="187"/>
      <c r="E154" s="188" t="s">
        <v>108</v>
      </c>
      <c r="F154" s="168" t="s">
        <v>107</v>
      </c>
      <c r="G154" s="168" t="s">
        <v>19</v>
      </c>
      <c r="H154" s="168">
        <v>1</v>
      </c>
      <c r="I154" s="171"/>
    </row>
    <row r="155" spans="1:9" s="173" customFormat="1">
      <c r="A155" s="166">
        <v>45917</v>
      </c>
      <c r="B155" s="167">
        <f>Table134[[#This Row],[Date]]</f>
        <v>45917</v>
      </c>
      <c r="C155" s="168" t="s">
        <v>26</v>
      </c>
      <c r="D155" s="187"/>
      <c r="E155" s="188" t="s">
        <v>108</v>
      </c>
      <c r="F155" s="168" t="s">
        <v>35</v>
      </c>
      <c r="G155" s="168" t="s">
        <v>19</v>
      </c>
      <c r="H155" s="168">
        <v>1</v>
      </c>
      <c r="I155" s="171"/>
    </row>
    <row r="156" spans="1:9" s="173" customFormat="1">
      <c r="A156" s="166">
        <v>45917</v>
      </c>
      <c r="B156" s="167">
        <f>Table134[[#This Row],[Date]]</f>
        <v>45917</v>
      </c>
      <c r="C156" s="168" t="s">
        <v>26</v>
      </c>
      <c r="D156" s="187"/>
      <c r="E156" s="188" t="s">
        <v>108</v>
      </c>
      <c r="F156" s="168" t="s">
        <v>109</v>
      </c>
      <c r="G156" s="168" t="s">
        <v>19</v>
      </c>
      <c r="H156" s="168">
        <v>1</v>
      </c>
      <c r="I156" s="171"/>
    </row>
    <row r="157" spans="1:9" s="173" customFormat="1">
      <c r="A157" s="166">
        <v>45918</v>
      </c>
      <c r="B157" s="167">
        <f>Table134[[#This Row],[Date]]</f>
        <v>45918</v>
      </c>
      <c r="C157" s="168" t="s">
        <v>14</v>
      </c>
      <c r="D157" s="168"/>
      <c r="E157" s="180" t="s">
        <v>105</v>
      </c>
      <c r="F157" s="168" t="s">
        <v>59</v>
      </c>
      <c r="G157" s="168" t="s">
        <v>60</v>
      </c>
      <c r="H157" s="168">
        <v>1</v>
      </c>
      <c r="I157" s="171"/>
    </row>
    <row r="158" spans="1:9" s="173" customFormat="1">
      <c r="A158" s="166">
        <v>45918</v>
      </c>
      <c r="B158" s="167">
        <f>Table134[[#This Row],[Date]]</f>
        <v>45918</v>
      </c>
      <c r="C158" s="168" t="s">
        <v>14</v>
      </c>
      <c r="D158" s="187"/>
      <c r="E158" s="186" t="s">
        <v>105</v>
      </c>
      <c r="F158" s="179" t="s">
        <v>61</v>
      </c>
      <c r="G158" s="168" t="s">
        <v>60</v>
      </c>
      <c r="H158" s="168">
        <v>1</v>
      </c>
      <c r="I158" s="171"/>
    </row>
    <row r="159" spans="1:9" s="173" customFormat="1">
      <c r="A159" s="166">
        <v>45918</v>
      </c>
      <c r="B159" s="167">
        <f>Table134[[#This Row],[Date]]</f>
        <v>45918</v>
      </c>
      <c r="C159" s="168" t="s">
        <v>14</v>
      </c>
      <c r="D159" s="187"/>
      <c r="E159" s="186" t="s">
        <v>105</v>
      </c>
      <c r="F159" s="179" t="s">
        <v>72</v>
      </c>
      <c r="G159" s="168" t="s">
        <v>60</v>
      </c>
      <c r="H159" s="168">
        <v>1</v>
      </c>
      <c r="I159" s="171"/>
    </row>
    <row r="160" spans="1:9" s="173" customFormat="1">
      <c r="A160" s="166">
        <v>45918</v>
      </c>
      <c r="B160" s="167">
        <f>Table134[[#This Row],[Date]]</f>
        <v>45918</v>
      </c>
      <c r="C160" s="168" t="s">
        <v>14</v>
      </c>
      <c r="D160" s="168"/>
      <c r="E160" s="180" t="s">
        <v>105</v>
      </c>
      <c r="F160" s="179" t="s">
        <v>76</v>
      </c>
      <c r="G160" s="168" t="s">
        <v>60</v>
      </c>
      <c r="H160" s="168">
        <v>1</v>
      </c>
      <c r="I160" s="171"/>
    </row>
    <row r="161" spans="1:9" s="173" customFormat="1">
      <c r="A161" s="166">
        <v>45918</v>
      </c>
      <c r="B161" s="167">
        <f>Table134[[#This Row],[Date]]</f>
        <v>45918</v>
      </c>
      <c r="C161" s="168" t="s">
        <v>16</v>
      </c>
      <c r="D161" s="168"/>
      <c r="E161" s="177" t="s">
        <v>15</v>
      </c>
      <c r="F161" s="187"/>
      <c r="G161" s="168"/>
      <c r="H161" s="168"/>
      <c r="I161" s="171"/>
    </row>
    <row r="162" spans="1:9" s="173" customFormat="1">
      <c r="A162" s="166">
        <v>45918</v>
      </c>
      <c r="B162" s="167">
        <f>Table134[[#This Row],[Date]]</f>
        <v>45918</v>
      </c>
      <c r="C162" s="168" t="s">
        <v>23</v>
      </c>
      <c r="D162" s="168"/>
      <c r="E162" s="180" t="s">
        <v>106</v>
      </c>
      <c r="F162" s="170" t="s">
        <v>18</v>
      </c>
      <c r="G162" s="168" t="s">
        <v>19</v>
      </c>
      <c r="H162" s="168">
        <v>1</v>
      </c>
      <c r="I162" s="171"/>
    </row>
    <row r="163" spans="1:9" s="173" customFormat="1">
      <c r="A163" s="166">
        <v>45918</v>
      </c>
      <c r="B163" s="167">
        <f>Table134[[#This Row],[Date]]</f>
        <v>45918</v>
      </c>
      <c r="C163" s="168" t="s">
        <v>23</v>
      </c>
      <c r="D163" s="168"/>
      <c r="E163" s="180" t="s">
        <v>106</v>
      </c>
      <c r="F163" s="170" t="s">
        <v>21</v>
      </c>
      <c r="G163" s="168" t="s">
        <v>19</v>
      </c>
      <c r="H163" s="168">
        <v>1</v>
      </c>
      <c r="I163" s="171"/>
    </row>
    <row r="164" spans="1:9" s="173" customFormat="1">
      <c r="A164" s="166">
        <v>45918</v>
      </c>
      <c r="B164" s="167">
        <f>Table134[[#This Row],[Date]]</f>
        <v>45918</v>
      </c>
      <c r="C164" s="168" t="s">
        <v>23</v>
      </c>
      <c r="D164" s="168"/>
      <c r="E164" s="180" t="s">
        <v>106</v>
      </c>
      <c r="F164" s="170" t="s">
        <v>49</v>
      </c>
      <c r="G164" s="168" t="s">
        <v>19</v>
      </c>
      <c r="H164" s="168">
        <v>1</v>
      </c>
      <c r="I164" s="171"/>
    </row>
    <row r="165" spans="1:9" s="173" customFormat="1">
      <c r="A165" s="166">
        <v>45918</v>
      </c>
      <c r="B165" s="167">
        <f>Table134[[#This Row],[Date]]</f>
        <v>45918</v>
      </c>
      <c r="C165" s="168" t="s">
        <v>26</v>
      </c>
      <c r="D165" s="168"/>
      <c r="E165" s="180" t="s">
        <v>110</v>
      </c>
      <c r="F165" s="187" t="s">
        <v>18</v>
      </c>
      <c r="G165" s="168" t="s">
        <v>19</v>
      </c>
      <c r="H165" s="168">
        <v>1</v>
      </c>
      <c r="I165" s="171"/>
    </row>
    <row r="166" spans="1:9" s="173" customFormat="1">
      <c r="A166" s="166">
        <v>45918</v>
      </c>
      <c r="B166" s="167">
        <f>Table134[[#This Row],[Date]]</f>
        <v>45918</v>
      </c>
      <c r="C166" s="168" t="s">
        <v>26</v>
      </c>
      <c r="D166" s="168"/>
      <c r="E166" s="180" t="s">
        <v>110</v>
      </c>
      <c r="F166" s="168" t="s">
        <v>21</v>
      </c>
      <c r="G166" s="168" t="s">
        <v>19</v>
      </c>
      <c r="H166" s="168">
        <v>1</v>
      </c>
      <c r="I166" s="171"/>
    </row>
    <row r="167" spans="1:9" s="173" customFormat="1">
      <c r="A167" s="166">
        <v>45919</v>
      </c>
      <c r="B167" s="167">
        <f>Table134[[#This Row],[Date]]</f>
        <v>45919</v>
      </c>
      <c r="C167" s="168" t="s">
        <v>14</v>
      </c>
      <c r="D167" s="168"/>
      <c r="E167" s="177" t="s">
        <v>111</v>
      </c>
      <c r="F167" s="187" t="s">
        <v>18</v>
      </c>
      <c r="G167" s="168" t="s">
        <v>99</v>
      </c>
      <c r="H167" s="168">
        <v>1</v>
      </c>
      <c r="I167" s="171"/>
    </row>
    <row r="168" spans="1:9" s="173" customFormat="1">
      <c r="A168" s="166">
        <v>45919</v>
      </c>
      <c r="B168" s="167">
        <f>Table134[[#This Row],[Date]]</f>
        <v>45919</v>
      </c>
      <c r="C168" s="168" t="s">
        <v>14</v>
      </c>
      <c r="D168" s="168"/>
      <c r="E168" s="177" t="s">
        <v>112</v>
      </c>
      <c r="F168" s="187" t="s">
        <v>18</v>
      </c>
      <c r="G168" s="168" t="s">
        <v>99</v>
      </c>
      <c r="H168" s="168">
        <v>1</v>
      </c>
      <c r="I168" s="171"/>
    </row>
    <row r="169" spans="1:9" s="173" customFormat="1">
      <c r="A169" s="166">
        <v>45919</v>
      </c>
      <c r="B169" s="167">
        <f>Table134[[#This Row],[Date]]</f>
        <v>45919</v>
      </c>
      <c r="C169" s="168" t="s">
        <v>14</v>
      </c>
      <c r="D169" s="168"/>
      <c r="E169" s="177" t="s">
        <v>113</v>
      </c>
      <c r="F169" s="168" t="s">
        <v>18</v>
      </c>
      <c r="G169" s="168" t="s">
        <v>19</v>
      </c>
      <c r="H169" s="168">
        <v>1</v>
      </c>
      <c r="I169" s="171"/>
    </row>
    <row r="170" spans="1:9" s="173" customFormat="1">
      <c r="A170" s="166">
        <v>45919</v>
      </c>
      <c r="B170" s="167">
        <f>Table134[[#This Row],[Date]]</f>
        <v>45919</v>
      </c>
      <c r="C170" s="168" t="s">
        <v>16</v>
      </c>
      <c r="D170" s="168"/>
      <c r="E170" s="180" t="s">
        <v>105</v>
      </c>
      <c r="F170" s="168" t="s">
        <v>47</v>
      </c>
      <c r="G170" s="168" t="s">
        <v>19</v>
      </c>
      <c r="H170" s="168">
        <v>1</v>
      </c>
      <c r="I170" s="171"/>
    </row>
    <row r="171" spans="1:9" s="173" customFormat="1">
      <c r="A171" s="166">
        <v>45919</v>
      </c>
      <c r="B171" s="167">
        <f>Table134[[#This Row],[Date]]</f>
        <v>45919</v>
      </c>
      <c r="C171" s="168" t="s">
        <v>16</v>
      </c>
      <c r="D171" s="168"/>
      <c r="E171" s="180" t="s">
        <v>105</v>
      </c>
      <c r="F171" s="168" t="s">
        <v>53</v>
      </c>
      <c r="G171" s="168" t="s">
        <v>19</v>
      </c>
      <c r="H171" s="168">
        <v>1</v>
      </c>
      <c r="I171" s="171"/>
    </row>
    <row r="172" spans="1:9" s="173" customFormat="1">
      <c r="A172" s="166">
        <v>45919</v>
      </c>
      <c r="B172" s="167">
        <f>Table134[[#This Row],[Date]]</f>
        <v>45919</v>
      </c>
      <c r="C172" s="168" t="s">
        <v>16</v>
      </c>
      <c r="D172" s="168"/>
      <c r="E172" s="180" t="s">
        <v>105</v>
      </c>
      <c r="F172" s="168" t="s">
        <v>41</v>
      </c>
      <c r="G172" s="168" t="s">
        <v>19</v>
      </c>
      <c r="H172" s="168">
        <v>1</v>
      </c>
      <c r="I172" s="171"/>
    </row>
    <row r="173" spans="1:9" s="173" customFormat="1">
      <c r="A173" s="166">
        <v>45919</v>
      </c>
      <c r="B173" s="167">
        <f>Table134[[#This Row],[Date]]</f>
        <v>45919</v>
      </c>
      <c r="C173" s="168" t="s">
        <v>23</v>
      </c>
      <c r="D173" s="168"/>
      <c r="E173" s="177" t="s">
        <v>15</v>
      </c>
      <c r="F173" s="168"/>
      <c r="G173" s="168"/>
      <c r="H173" s="168"/>
      <c r="I173" s="171"/>
    </row>
    <row r="174" spans="1:9" s="173" customFormat="1">
      <c r="A174" s="166">
        <v>45919</v>
      </c>
      <c r="B174" s="167">
        <f>Table134[[#This Row],[Date]]</f>
        <v>45919</v>
      </c>
      <c r="C174" s="168" t="s">
        <v>26</v>
      </c>
      <c r="D174" s="168"/>
      <c r="E174" s="180" t="s">
        <v>114</v>
      </c>
      <c r="F174" s="187" t="s">
        <v>18</v>
      </c>
      <c r="G174" s="168" t="s">
        <v>19</v>
      </c>
      <c r="H174" s="168">
        <v>1</v>
      </c>
      <c r="I174" s="171"/>
    </row>
    <row r="175" spans="1:9" s="173" customFormat="1">
      <c r="A175" s="166">
        <v>45919</v>
      </c>
      <c r="B175" s="167">
        <f>Table134[[#This Row],[Date]]</f>
        <v>45919</v>
      </c>
      <c r="C175" s="168" t="s">
        <v>26</v>
      </c>
      <c r="D175" s="168"/>
      <c r="E175" s="180" t="s">
        <v>114</v>
      </c>
      <c r="F175" s="168" t="s">
        <v>21</v>
      </c>
      <c r="G175" s="168" t="s">
        <v>19</v>
      </c>
      <c r="H175" s="168">
        <v>1</v>
      </c>
      <c r="I175" s="171"/>
    </row>
    <row r="176" spans="1:9" s="173" customFormat="1">
      <c r="A176" s="166">
        <v>45919</v>
      </c>
      <c r="B176" s="167">
        <f>Table134[[#This Row],[Date]]</f>
        <v>45919</v>
      </c>
      <c r="C176" s="168" t="s">
        <v>26</v>
      </c>
      <c r="D176" s="168"/>
      <c r="E176" s="177" t="s">
        <v>115</v>
      </c>
      <c r="F176" s="170" t="s">
        <v>18</v>
      </c>
      <c r="G176" s="168" t="s">
        <v>19</v>
      </c>
      <c r="H176" s="168">
        <v>1</v>
      </c>
      <c r="I176" s="171"/>
    </row>
    <row r="177" spans="1:9" s="173" customFormat="1">
      <c r="A177" s="166">
        <v>45920</v>
      </c>
      <c r="B177" s="167">
        <f>Table134[[#This Row],[Date]]</f>
        <v>45920</v>
      </c>
      <c r="C177" s="168" t="s">
        <v>4</v>
      </c>
      <c r="D177" s="168"/>
      <c r="E177" s="180" t="s">
        <v>87</v>
      </c>
      <c r="F177" s="170" t="s">
        <v>72</v>
      </c>
      <c r="G177" s="168" t="s">
        <v>60</v>
      </c>
      <c r="H177" s="168">
        <v>1</v>
      </c>
      <c r="I177" s="171"/>
    </row>
    <row r="178" spans="1:9" s="173" customFormat="1">
      <c r="A178" s="166">
        <v>45920</v>
      </c>
      <c r="B178" s="167">
        <f>Table134[[#This Row],[Date]]</f>
        <v>45920</v>
      </c>
      <c r="C178" s="168" t="s">
        <v>4</v>
      </c>
      <c r="D178" s="168"/>
      <c r="E178" s="180" t="s">
        <v>87</v>
      </c>
      <c r="F178" s="170" t="s">
        <v>76</v>
      </c>
      <c r="G178" s="168" t="s">
        <v>60</v>
      </c>
      <c r="H178" s="168">
        <v>1</v>
      </c>
      <c r="I178" s="171"/>
    </row>
    <row r="179" spans="1:9" s="173" customFormat="1">
      <c r="A179" s="166">
        <v>45920</v>
      </c>
      <c r="B179" s="167">
        <f>Table134[[#This Row],[Date]]</f>
        <v>45920</v>
      </c>
      <c r="C179" s="168" t="s">
        <v>4</v>
      </c>
      <c r="D179" s="168"/>
      <c r="E179" s="180" t="s">
        <v>87</v>
      </c>
      <c r="F179" s="170" t="s">
        <v>28</v>
      </c>
      <c r="G179" s="168" t="s">
        <v>19</v>
      </c>
      <c r="H179" s="168">
        <v>1</v>
      </c>
      <c r="I179" s="171"/>
    </row>
    <row r="180" spans="1:9" s="173" customFormat="1">
      <c r="A180" s="166">
        <v>45920</v>
      </c>
      <c r="B180" s="167">
        <f>Table134[[#This Row],[Date]]</f>
        <v>45920</v>
      </c>
      <c r="C180" s="168" t="s">
        <v>4</v>
      </c>
      <c r="D180" s="168"/>
      <c r="E180" s="180" t="s">
        <v>87</v>
      </c>
      <c r="F180" s="170" t="s">
        <v>107</v>
      </c>
      <c r="G180" s="168" t="s">
        <v>19</v>
      </c>
      <c r="H180" s="168">
        <v>1</v>
      </c>
      <c r="I180" s="171"/>
    </row>
    <row r="181" spans="1:9" s="173" customFormat="1">
      <c r="A181" s="166">
        <v>45920</v>
      </c>
      <c r="B181" s="167">
        <f>Table134[[#This Row],[Date]]</f>
        <v>45920</v>
      </c>
      <c r="C181" s="168" t="s">
        <v>4</v>
      </c>
      <c r="D181" s="168"/>
      <c r="E181" s="177" t="s">
        <v>116</v>
      </c>
      <c r="F181" s="168" t="s">
        <v>18</v>
      </c>
      <c r="G181" s="168" t="s">
        <v>99</v>
      </c>
      <c r="H181" s="168">
        <v>1</v>
      </c>
      <c r="I181" s="171"/>
    </row>
    <row r="182" spans="1:9" s="173" customFormat="1">
      <c r="A182" s="166">
        <v>45920</v>
      </c>
      <c r="B182" s="167">
        <f>Table134[[#This Row],[Date]]</f>
        <v>45920</v>
      </c>
      <c r="C182" s="168"/>
      <c r="D182" s="168"/>
      <c r="E182" s="177" t="s">
        <v>117</v>
      </c>
      <c r="F182" s="168" t="s">
        <v>18</v>
      </c>
      <c r="G182" s="168" t="s">
        <v>99</v>
      </c>
      <c r="H182" s="168">
        <v>1</v>
      </c>
      <c r="I182" s="171"/>
    </row>
    <row r="183" spans="1:9" s="173" customFormat="1">
      <c r="A183" s="166">
        <v>45921</v>
      </c>
      <c r="B183" s="167">
        <f>Table134[[#This Row],[Date]]</f>
        <v>45921</v>
      </c>
      <c r="C183" s="168" t="s">
        <v>4</v>
      </c>
      <c r="D183" s="168"/>
      <c r="E183" s="180" t="s">
        <v>92</v>
      </c>
      <c r="F183" s="168" t="s">
        <v>118</v>
      </c>
      <c r="G183" s="168" t="s">
        <v>19</v>
      </c>
      <c r="H183" s="168">
        <v>1</v>
      </c>
      <c r="I183" s="171"/>
    </row>
    <row r="184" spans="1:9" s="173" customFormat="1">
      <c r="A184" s="166">
        <v>45921</v>
      </c>
      <c r="B184" s="167">
        <f>Table134[[#This Row],[Date]]</f>
        <v>45921</v>
      </c>
      <c r="C184" s="168" t="s">
        <v>4</v>
      </c>
      <c r="D184" s="168"/>
      <c r="E184" s="180" t="s">
        <v>92</v>
      </c>
      <c r="F184" s="168" t="s">
        <v>47</v>
      </c>
      <c r="G184" s="168" t="s">
        <v>19</v>
      </c>
      <c r="H184" s="168">
        <v>1</v>
      </c>
      <c r="I184" s="171"/>
    </row>
    <row r="185" spans="1:9" s="173" customFormat="1">
      <c r="A185" s="166">
        <v>45922</v>
      </c>
      <c r="B185" s="167">
        <f>Table134[[#This Row],[Date]]</f>
        <v>45922</v>
      </c>
      <c r="C185" s="168" t="s">
        <v>14</v>
      </c>
      <c r="D185" s="168"/>
      <c r="E185" s="177" t="s">
        <v>15</v>
      </c>
      <c r="F185" s="187"/>
      <c r="G185" s="168"/>
      <c r="H185" s="168"/>
      <c r="I185" s="171"/>
    </row>
    <row r="186" spans="1:9" s="173" customFormat="1">
      <c r="A186" s="166">
        <v>45922</v>
      </c>
      <c r="B186" s="167">
        <f>Table134[[#This Row],[Date]]</f>
        <v>45922</v>
      </c>
      <c r="C186" s="168" t="s">
        <v>16</v>
      </c>
      <c r="D186" s="168"/>
      <c r="E186" s="180" t="s">
        <v>119</v>
      </c>
      <c r="F186" s="168" t="s">
        <v>47</v>
      </c>
      <c r="G186" s="168" t="s">
        <v>19</v>
      </c>
      <c r="H186" s="168">
        <v>1</v>
      </c>
      <c r="I186" s="171"/>
    </row>
    <row r="187" spans="1:9" s="173" customFormat="1">
      <c r="A187" s="166">
        <v>45922</v>
      </c>
      <c r="B187" s="167">
        <f>Table134[[#This Row],[Date]]</f>
        <v>45922</v>
      </c>
      <c r="C187" s="168" t="s">
        <v>16</v>
      </c>
      <c r="D187" s="168"/>
      <c r="E187" s="180" t="s">
        <v>119</v>
      </c>
      <c r="F187" s="187" t="s">
        <v>18</v>
      </c>
      <c r="G187" s="168" t="s">
        <v>19</v>
      </c>
      <c r="H187" s="168">
        <v>1</v>
      </c>
      <c r="I187" s="171"/>
    </row>
    <row r="188" spans="1:9" s="173" customFormat="1">
      <c r="A188" s="166">
        <v>45922</v>
      </c>
      <c r="B188" s="167">
        <f>Table134[[#This Row],[Date]]</f>
        <v>45922</v>
      </c>
      <c r="C188" s="168" t="s">
        <v>23</v>
      </c>
      <c r="D188" s="168"/>
      <c r="E188" s="177" t="s">
        <v>120</v>
      </c>
      <c r="F188" s="168" t="s">
        <v>18</v>
      </c>
      <c r="G188" s="168" t="s">
        <v>19</v>
      </c>
      <c r="H188" s="168">
        <v>1</v>
      </c>
      <c r="I188" s="171"/>
    </row>
    <row r="189" spans="1:9" s="173" customFormat="1">
      <c r="A189" s="166">
        <v>45922</v>
      </c>
      <c r="B189" s="167">
        <f>Table134[[#This Row],[Date]]</f>
        <v>45922</v>
      </c>
      <c r="C189" s="168" t="s">
        <v>23</v>
      </c>
      <c r="D189" s="168"/>
      <c r="E189" s="180" t="s">
        <v>121</v>
      </c>
      <c r="F189" s="168" t="s">
        <v>21</v>
      </c>
      <c r="G189" s="168" t="s">
        <v>19</v>
      </c>
      <c r="H189" s="168">
        <v>1</v>
      </c>
      <c r="I189" s="171"/>
    </row>
    <row r="190" spans="1:9" s="173" customFormat="1">
      <c r="A190" s="166">
        <v>45922</v>
      </c>
      <c r="B190" s="167">
        <f>Table134[[#This Row],[Date]]</f>
        <v>45922</v>
      </c>
      <c r="C190" s="168" t="s">
        <v>23</v>
      </c>
      <c r="D190" s="168"/>
      <c r="E190" s="194" t="s">
        <v>122</v>
      </c>
      <c r="F190" s="168" t="s">
        <v>18</v>
      </c>
      <c r="G190" s="168" t="s">
        <v>19</v>
      </c>
      <c r="H190" s="168">
        <v>1</v>
      </c>
      <c r="I190" s="171"/>
    </row>
    <row r="191" spans="1:9" s="173" customFormat="1">
      <c r="A191" s="166">
        <v>45922</v>
      </c>
      <c r="B191" s="167">
        <f>Table134[[#This Row],[Date]]</f>
        <v>45922</v>
      </c>
      <c r="C191" s="168" t="s">
        <v>26</v>
      </c>
      <c r="D191" s="168"/>
      <c r="E191" s="177" t="s">
        <v>123</v>
      </c>
      <c r="F191" s="168" t="s">
        <v>18</v>
      </c>
      <c r="G191" s="168" t="s">
        <v>19</v>
      </c>
      <c r="H191" s="168">
        <v>1</v>
      </c>
      <c r="I191" s="171"/>
    </row>
    <row r="192" spans="1:9" s="173" customFormat="1">
      <c r="A192" s="166">
        <v>45922</v>
      </c>
      <c r="B192" s="167">
        <f>Table134[[#This Row],[Date]]</f>
        <v>45922</v>
      </c>
      <c r="C192" s="168" t="s">
        <v>26</v>
      </c>
      <c r="D192" s="168"/>
      <c r="E192" s="177" t="s">
        <v>123</v>
      </c>
      <c r="F192" s="168" t="s">
        <v>21</v>
      </c>
      <c r="G192" s="168" t="s">
        <v>19</v>
      </c>
      <c r="H192" s="168">
        <v>1</v>
      </c>
      <c r="I192" s="171"/>
    </row>
    <row r="193" spans="1:9" s="173" customFormat="1">
      <c r="A193" s="166">
        <v>45922</v>
      </c>
      <c r="B193" s="167">
        <f>Table134[[#This Row],[Date]]</f>
        <v>45922</v>
      </c>
      <c r="C193" s="168" t="s">
        <v>26</v>
      </c>
      <c r="D193" s="168"/>
      <c r="E193" s="177" t="s">
        <v>123</v>
      </c>
      <c r="F193" s="168" t="s">
        <v>47</v>
      </c>
      <c r="G193" s="168" t="s">
        <v>19</v>
      </c>
      <c r="H193" s="168">
        <v>1</v>
      </c>
      <c r="I193" s="171"/>
    </row>
    <row r="194" spans="1:9" s="173" customFormat="1">
      <c r="A194" s="166">
        <v>45923</v>
      </c>
      <c r="B194" s="167">
        <f>Table134[[#This Row],[Date]]</f>
        <v>45923</v>
      </c>
      <c r="C194" s="168" t="s">
        <v>14</v>
      </c>
      <c r="D194" s="168"/>
      <c r="E194" s="180" t="s">
        <v>104</v>
      </c>
      <c r="F194" s="168" t="s">
        <v>18</v>
      </c>
      <c r="G194" s="168" t="s">
        <v>19</v>
      </c>
      <c r="H194" s="168">
        <v>1</v>
      </c>
      <c r="I194" s="171"/>
    </row>
    <row r="195" spans="1:9" s="173" customFormat="1">
      <c r="A195" s="166">
        <v>45923</v>
      </c>
      <c r="B195" s="167">
        <f>Table134[[#This Row],[Date]]</f>
        <v>45923</v>
      </c>
      <c r="C195" s="168" t="s">
        <v>14</v>
      </c>
      <c r="D195" s="168"/>
      <c r="E195" s="180" t="s">
        <v>104</v>
      </c>
      <c r="F195" s="168" t="s">
        <v>21</v>
      </c>
      <c r="G195" s="168" t="s">
        <v>19</v>
      </c>
      <c r="H195" s="168">
        <v>1</v>
      </c>
      <c r="I195" s="171"/>
    </row>
    <row r="196" spans="1:9" s="173" customFormat="1">
      <c r="A196" s="166">
        <v>45924</v>
      </c>
      <c r="B196" s="167">
        <f>Table134[[#This Row],[Date]]</f>
        <v>45924</v>
      </c>
      <c r="C196" s="168" t="s">
        <v>14</v>
      </c>
      <c r="D196" s="168"/>
      <c r="E196" s="180" t="s">
        <v>124</v>
      </c>
      <c r="F196" s="168" t="s">
        <v>18</v>
      </c>
      <c r="G196" s="168" t="s">
        <v>19</v>
      </c>
      <c r="H196" s="168">
        <v>1</v>
      </c>
      <c r="I196" s="171"/>
    </row>
    <row r="197" spans="1:9" s="173" customFormat="1">
      <c r="A197" s="166">
        <v>45924</v>
      </c>
      <c r="B197" s="167">
        <f>Table134[[#This Row],[Date]]</f>
        <v>45924</v>
      </c>
      <c r="C197" s="168" t="s">
        <v>16</v>
      </c>
      <c r="D197" s="168"/>
      <c r="E197" s="180" t="s">
        <v>119</v>
      </c>
      <c r="F197" s="168" t="s">
        <v>21</v>
      </c>
      <c r="G197" s="168" t="s">
        <v>19</v>
      </c>
      <c r="H197" s="168">
        <v>1</v>
      </c>
      <c r="I197" s="171"/>
    </row>
    <row r="198" spans="1:9" s="173" customFormat="1">
      <c r="A198" s="166">
        <v>45924</v>
      </c>
      <c r="B198" s="167">
        <f>Table134[[#This Row],[Date]]</f>
        <v>45924</v>
      </c>
      <c r="C198" s="168" t="s">
        <v>16</v>
      </c>
      <c r="D198" s="168"/>
      <c r="E198" s="177" t="s">
        <v>15</v>
      </c>
      <c r="F198" s="168"/>
      <c r="G198" s="168"/>
      <c r="H198" s="168"/>
      <c r="I198" s="171"/>
    </row>
    <row r="199" spans="1:9" s="173" customFormat="1">
      <c r="A199" s="166">
        <v>45924</v>
      </c>
      <c r="B199" s="167">
        <f>Table134[[#This Row],[Date]]</f>
        <v>45924</v>
      </c>
      <c r="C199" s="168" t="s">
        <v>23</v>
      </c>
      <c r="D199" s="168"/>
      <c r="E199" s="180" t="s">
        <v>125</v>
      </c>
      <c r="F199" s="168" t="s">
        <v>18</v>
      </c>
      <c r="G199" s="168" t="s">
        <v>19</v>
      </c>
      <c r="H199" s="168">
        <v>1</v>
      </c>
      <c r="I199" s="171"/>
    </row>
    <row r="200" spans="1:9" s="173" customFormat="1">
      <c r="A200" s="166">
        <v>45924</v>
      </c>
      <c r="B200" s="167">
        <f>Table134[[#This Row],[Date]]</f>
        <v>45924</v>
      </c>
      <c r="C200" s="168" t="s">
        <v>23</v>
      </c>
      <c r="D200" s="168"/>
      <c r="E200" s="177" t="s">
        <v>126</v>
      </c>
      <c r="F200" s="168" t="s">
        <v>18</v>
      </c>
      <c r="G200" s="168" t="s">
        <v>99</v>
      </c>
      <c r="H200" s="168">
        <v>1</v>
      </c>
      <c r="I200" s="171"/>
    </row>
    <row r="201" spans="1:9" s="173" customFormat="1">
      <c r="A201" s="166">
        <v>45924</v>
      </c>
      <c r="B201" s="167">
        <f>Table134[[#This Row],[Date]]</f>
        <v>45924</v>
      </c>
      <c r="C201" s="168" t="s">
        <v>23</v>
      </c>
      <c r="D201" s="168"/>
      <c r="E201" s="177" t="s">
        <v>127</v>
      </c>
      <c r="F201" s="168" t="s">
        <v>18</v>
      </c>
      <c r="G201" s="168" t="s">
        <v>19</v>
      </c>
      <c r="H201" s="168">
        <v>1</v>
      </c>
      <c r="I201" s="171"/>
    </row>
    <row r="202" spans="1:9" s="173" customFormat="1">
      <c r="A202" s="166">
        <v>45924</v>
      </c>
      <c r="B202" s="167">
        <f>Table134[[#This Row],[Date]]</f>
        <v>45924</v>
      </c>
      <c r="C202" s="168" t="s">
        <v>26</v>
      </c>
      <c r="D202" s="168"/>
      <c r="E202" s="180" t="s">
        <v>128</v>
      </c>
      <c r="F202" s="168" t="s">
        <v>21</v>
      </c>
      <c r="G202" s="168" t="s">
        <v>19</v>
      </c>
      <c r="H202" s="168">
        <v>1</v>
      </c>
      <c r="I202" s="171"/>
    </row>
    <row r="203" spans="1:9" s="173" customFormat="1">
      <c r="A203" s="166">
        <v>45924</v>
      </c>
      <c r="B203" s="167">
        <f>Table134[[#This Row],[Date]]</f>
        <v>45924</v>
      </c>
      <c r="C203" s="168" t="s">
        <v>26</v>
      </c>
      <c r="D203" s="168"/>
      <c r="E203" s="180" t="s">
        <v>129</v>
      </c>
      <c r="F203" s="168" t="s">
        <v>18</v>
      </c>
      <c r="G203" s="168" t="s">
        <v>19</v>
      </c>
      <c r="H203" s="168">
        <v>1</v>
      </c>
      <c r="I203" s="171"/>
    </row>
    <row r="204" spans="1:9" s="173" customFormat="1">
      <c r="A204" s="166">
        <v>45925</v>
      </c>
      <c r="B204" s="167">
        <f>Table134[[#This Row],[Date]]</f>
        <v>45925</v>
      </c>
      <c r="C204" s="168" t="s">
        <v>14</v>
      </c>
      <c r="D204" s="168"/>
      <c r="E204" s="180" t="s">
        <v>130</v>
      </c>
      <c r="F204" s="168" t="s">
        <v>18</v>
      </c>
      <c r="G204" s="168" t="s">
        <v>19</v>
      </c>
      <c r="H204" s="168">
        <v>1</v>
      </c>
      <c r="I204" s="171"/>
    </row>
    <row r="205" spans="1:9" s="173" customFormat="1">
      <c r="A205" s="166">
        <v>45925</v>
      </c>
      <c r="B205" s="167">
        <f>Table134[[#This Row],[Date]]</f>
        <v>45925</v>
      </c>
      <c r="C205" s="168" t="s">
        <v>14</v>
      </c>
      <c r="D205" s="168"/>
      <c r="E205" s="180" t="s">
        <v>131</v>
      </c>
      <c r="F205" s="170" t="s">
        <v>18</v>
      </c>
      <c r="G205" s="168" t="s">
        <v>19</v>
      </c>
      <c r="H205" s="168">
        <v>1</v>
      </c>
      <c r="I205" s="171"/>
    </row>
    <row r="206" spans="1:9" s="173" customFormat="1">
      <c r="A206" s="166">
        <v>45925</v>
      </c>
      <c r="B206" s="167">
        <f>Table134[[#This Row],[Date]]</f>
        <v>45925</v>
      </c>
      <c r="C206" s="168" t="s">
        <v>14</v>
      </c>
      <c r="D206" s="168"/>
      <c r="E206" s="180" t="s">
        <v>132</v>
      </c>
      <c r="F206" s="168" t="s">
        <v>18</v>
      </c>
      <c r="G206" s="168" t="s">
        <v>19</v>
      </c>
      <c r="H206" s="168">
        <v>1</v>
      </c>
      <c r="I206" s="171"/>
    </row>
    <row r="207" spans="1:9" s="173" customFormat="1">
      <c r="A207" s="166">
        <v>45925</v>
      </c>
      <c r="B207" s="167">
        <f>Table134[[#This Row],[Date]]</f>
        <v>45925</v>
      </c>
      <c r="C207" s="168" t="s">
        <v>16</v>
      </c>
      <c r="D207" s="168"/>
      <c r="E207" s="180" t="s">
        <v>133</v>
      </c>
      <c r="F207" s="168" t="s">
        <v>21</v>
      </c>
      <c r="G207" s="168" t="s">
        <v>19</v>
      </c>
      <c r="H207" s="168">
        <v>1</v>
      </c>
      <c r="I207" s="171"/>
    </row>
    <row r="208" spans="1:9" s="173" customFormat="1">
      <c r="A208" s="166">
        <v>45925</v>
      </c>
      <c r="B208" s="167">
        <f>Table134[[#This Row],[Date]]</f>
        <v>45925</v>
      </c>
      <c r="C208" s="168" t="s">
        <v>16</v>
      </c>
      <c r="D208" s="168"/>
      <c r="E208" s="180" t="s">
        <v>134</v>
      </c>
      <c r="F208" s="168" t="s">
        <v>18</v>
      </c>
      <c r="G208" s="168" t="s">
        <v>19</v>
      </c>
      <c r="H208" s="168">
        <v>1</v>
      </c>
      <c r="I208" s="171"/>
    </row>
    <row r="209" spans="1:9" s="173" customFormat="1">
      <c r="A209" s="166">
        <v>45925</v>
      </c>
      <c r="B209" s="167">
        <f>Table134[[#This Row],[Date]]</f>
        <v>45925</v>
      </c>
      <c r="C209" s="168" t="s">
        <v>16</v>
      </c>
      <c r="D209" s="168"/>
      <c r="E209" s="180" t="s">
        <v>135</v>
      </c>
      <c r="F209" s="179" t="s">
        <v>47</v>
      </c>
      <c r="G209" s="168" t="s">
        <v>19</v>
      </c>
      <c r="H209" s="168">
        <v>1</v>
      </c>
      <c r="I209" s="171"/>
    </row>
    <row r="210" spans="1:9" s="173" customFormat="1">
      <c r="A210" s="166">
        <v>45925</v>
      </c>
      <c r="B210" s="167">
        <f>Table134[[#This Row],[Date]]</f>
        <v>45925</v>
      </c>
      <c r="C210" s="168" t="s">
        <v>16</v>
      </c>
      <c r="D210" s="168"/>
      <c r="E210" s="180" t="s">
        <v>135</v>
      </c>
      <c r="F210" s="179" t="s">
        <v>53</v>
      </c>
      <c r="G210" s="168" t="s">
        <v>19</v>
      </c>
      <c r="H210" s="168">
        <v>1</v>
      </c>
      <c r="I210" s="171"/>
    </row>
    <row r="211" spans="1:9" s="173" customFormat="1">
      <c r="A211" s="166">
        <v>45925</v>
      </c>
      <c r="B211" s="167">
        <f>Table134[[#This Row],[Date]]</f>
        <v>45925</v>
      </c>
      <c r="C211" s="168" t="s">
        <v>23</v>
      </c>
      <c r="D211" s="168"/>
      <c r="E211" s="177" t="s">
        <v>15</v>
      </c>
      <c r="F211" s="168"/>
      <c r="G211" s="168"/>
      <c r="H211" s="168"/>
      <c r="I211" s="171"/>
    </row>
    <row r="212" spans="1:9" s="173" customFormat="1">
      <c r="A212" s="166">
        <v>45925</v>
      </c>
      <c r="B212" s="167">
        <f>Table134[[#This Row],[Date]]</f>
        <v>45925</v>
      </c>
      <c r="C212" s="168" t="s">
        <v>26</v>
      </c>
      <c r="D212" s="168"/>
      <c r="E212" s="177" t="s">
        <v>15</v>
      </c>
      <c r="F212" s="168"/>
      <c r="G212" s="168"/>
      <c r="H212" s="168"/>
      <c r="I212" s="171"/>
    </row>
    <row r="213" spans="1:9" s="173" customFormat="1">
      <c r="A213" s="166">
        <v>45926</v>
      </c>
      <c r="B213" s="167">
        <f>Table134[[#This Row],[Date]]</f>
        <v>45926</v>
      </c>
      <c r="C213" s="168" t="s">
        <v>14</v>
      </c>
      <c r="D213" s="168"/>
      <c r="E213" s="177" t="s">
        <v>15</v>
      </c>
      <c r="F213" s="168"/>
      <c r="G213" s="168"/>
      <c r="H213" s="168"/>
      <c r="I213" s="171"/>
    </row>
    <row r="214" spans="1:9" s="173" customFormat="1">
      <c r="A214" s="166">
        <v>45926</v>
      </c>
      <c r="B214" s="167">
        <f>Table134[[#This Row],[Date]]</f>
        <v>45926</v>
      </c>
      <c r="C214" s="168" t="s">
        <v>16</v>
      </c>
      <c r="D214" s="168"/>
      <c r="E214" s="180" t="s">
        <v>136</v>
      </c>
      <c r="F214" s="168" t="s">
        <v>28</v>
      </c>
      <c r="G214" s="168" t="s">
        <v>19</v>
      </c>
      <c r="H214" s="168">
        <v>1</v>
      </c>
      <c r="I214" s="171"/>
    </row>
    <row r="215" spans="1:9" s="173" customFormat="1">
      <c r="A215" s="166">
        <v>45926</v>
      </c>
      <c r="B215" s="167">
        <f>Table134[[#This Row],[Date]]</f>
        <v>45926</v>
      </c>
      <c r="C215" s="168" t="s">
        <v>16</v>
      </c>
      <c r="D215" s="168"/>
      <c r="E215" s="180" t="s">
        <v>137</v>
      </c>
      <c r="F215" s="168" t="s">
        <v>28</v>
      </c>
      <c r="G215" s="168" t="s">
        <v>19</v>
      </c>
      <c r="H215" s="168">
        <v>1</v>
      </c>
      <c r="I215" s="171"/>
    </row>
    <row r="216" spans="1:9" s="173" customFormat="1">
      <c r="A216" s="166">
        <v>45926</v>
      </c>
      <c r="B216" s="167">
        <f>Table134[[#This Row],[Date]]</f>
        <v>45926</v>
      </c>
      <c r="C216" s="168" t="s">
        <v>16</v>
      </c>
      <c r="D216" s="168"/>
      <c r="E216" s="180" t="s">
        <v>138</v>
      </c>
      <c r="F216" s="168" t="s">
        <v>28</v>
      </c>
      <c r="G216" s="168" t="s">
        <v>19</v>
      </c>
      <c r="H216" s="168">
        <v>1</v>
      </c>
      <c r="I216" s="171"/>
    </row>
    <row r="217" spans="1:9" s="173" customFormat="1">
      <c r="A217" s="166">
        <v>45926</v>
      </c>
      <c r="B217" s="167">
        <f>Table134[[#This Row],[Date]]</f>
        <v>45926</v>
      </c>
      <c r="C217" s="168" t="s">
        <v>23</v>
      </c>
      <c r="D217" s="168"/>
      <c r="E217" s="180" t="s">
        <v>139</v>
      </c>
      <c r="F217" s="168" t="s">
        <v>18</v>
      </c>
      <c r="G217" s="168" t="s">
        <v>19</v>
      </c>
      <c r="H217" s="168">
        <v>1</v>
      </c>
      <c r="I217" s="171"/>
    </row>
    <row r="218" spans="1:9" s="173" customFormat="1">
      <c r="A218" s="166">
        <v>45926</v>
      </c>
      <c r="B218" s="167">
        <f>Table134[[#This Row],[Date]]</f>
        <v>45926</v>
      </c>
      <c r="C218" s="168" t="s">
        <v>23</v>
      </c>
      <c r="D218" s="168"/>
      <c r="E218" s="180" t="s">
        <v>140</v>
      </c>
      <c r="F218" s="168" t="s">
        <v>18</v>
      </c>
      <c r="G218" s="168" t="s">
        <v>19</v>
      </c>
      <c r="H218" s="168">
        <v>1</v>
      </c>
      <c r="I218" s="171"/>
    </row>
    <row r="219" spans="1:9" s="173" customFormat="1">
      <c r="A219" s="166">
        <v>45926</v>
      </c>
      <c r="B219" s="167">
        <f>Table134[[#This Row],[Date]]</f>
        <v>45926</v>
      </c>
      <c r="C219" s="168" t="s">
        <v>23</v>
      </c>
      <c r="D219" s="168"/>
      <c r="E219" s="180" t="s">
        <v>141</v>
      </c>
      <c r="F219" s="168" t="s">
        <v>18</v>
      </c>
      <c r="G219" s="168" t="s">
        <v>19</v>
      </c>
      <c r="H219" s="168">
        <v>1</v>
      </c>
      <c r="I219" s="171"/>
    </row>
    <row r="220" spans="1:9" s="173" customFormat="1">
      <c r="A220" s="166">
        <v>45926</v>
      </c>
      <c r="B220" s="167">
        <f>Table134[[#This Row],[Date]]</f>
        <v>45926</v>
      </c>
      <c r="C220" s="168" t="s">
        <v>23</v>
      </c>
      <c r="D220" s="168"/>
      <c r="E220" s="180" t="s">
        <v>142</v>
      </c>
      <c r="F220" s="168" t="s">
        <v>18</v>
      </c>
      <c r="G220" s="168" t="s">
        <v>19</v>
      </c>
      <c r="H220" s="168">
        <v>1</v>
      </c>
      <c r="I220" s="171"/>
    </row>
    <row r="221" spans="1:9" s="173" customFormat="1">
      <c r="A221" s="166">
        <v>45926</v>
      </c>
      <c r="B221" s="167">
        <f>Table134[[#This Row],[Date]]</f>
        <v>45926</v>
      </c>
      <c r="C221" s="168" t="s">
        <v>26</v>
      </c>
      <c r="D221" s="168"/>
      <c r="E221" s="177" t="s">
        <v>15</v>
      </c>
      <c r="F221" s="168"/>
      <c r="G221" s="168"/>
      <c r="H221" s="168"/>
      <c r="I221" s="171"/>
    </row>
    <row r="222" spans="1:9" s="173" customFormat="1">
      <c r="A222" s="166">
        <v>45927</v>
      </c>
      <c r="B222" s="167">
        <f>Table134[[#This Row],[Date]]</f>
        <v>45927</v>
      </c>
      <c r="C222" s="168" t="s">
        <v>16</v>
      </c>
      <c r="D222" s="168"/>
      <c r="E222" s="180" t="s">
        <v>143</v>
      </c>
      <c r="F222" s="168" t="s">
        <v>41</v>
      </c>
      <c r="G222" s="168" t="s">
        <v>19</v>
      </c>
      <c r="H222" s="168">
        <v>1</v>
      </c>
      <c r="I222" s="171"/>
    </row>
    <row r="223" spans="1:9" s="173" customFormat="1">
      <c r="A223" s="166">
        <v>45927</v>
      </c>
      <c r="B223" s="167">
        <f>Table134[[#This Row],[Date]]</f>
        <v>45927</v>
      </c>
      <c r="C223" s="168" t="s">
        <v>16</v>
      </c>
      <c r="D223" s="168"/>
      <c r="E223" s="180" t="s">
        <v>143</v>
      </c>
      <c r="F223" s="168" t="s">
        <v>42</v>
      </c>
      <c r="G223" s="168" t="s">
        <v>19</v>
      </c>
      <c r="H223" s="168">
        <v>1</v>
      </c>
      <c r="I223" s="171"/>
    </row>
    <row r="224" spans="1:9" s="173" customFormat="1">
      <c r="A224" s="166">
        <v>45928</v>
      </c>
      <c r="B224" s="167">
        <f>Table134[[#This Row],[Date]]</f>
        <v>45928</v>
      </c>
      <c r="C224" s="168" t="s">
        <v>14</v>
      </c>
      <c r="D224" s="168"/>
      <c r="E224" s="180" t="s">
        <v>144</v>
      </c>
      <c r="F224" s="168" t="s">
        <v>18</v>
      </c>
      <c r="G224" s="168" t="s">
        <v>19</v>
      </c>
      <c r="H224" s="168">
        <v>1</v>
      </c>
      <c r="I224" s="171"/>
    </row>
    <row r="225" spans="1:9" s="173" customFormat="1">
      <c r="A225" s="166">
        <v>45928</v>
      </c>
      <c r="B225" s="167">
        <f>Table134[[#This Row],[Date]]</f>
        <v>45928</v>
      </c>
      <c r="C225" s="168" t="s">
        <v>14</v>
      </c>
      <c r="D225" s="168"/>
      <c r="E225" s="180" t="s">
        <v>144</v>
      </c>
      <c r="F225" s="187" t="s">
        <v>21</v>
      </c>
      <c r="G225" s="168" t="s">
        <v>19</v>
      </c>
      <c r="H225" s="168">
        <v>1</v>
      </c>
      <c r="I225" s="171"/>
    </row>
    <row r="226" spans="1:9" s="173" customFormat="1">
      <c r="A226" s="166">
        <v>45929</v>
      </c>
      <c r="B226" s="167">
        <f>Table134[[#This Row],[Date]]</f>
        <v>45929</v>
      </c>
      <c r="C226" s="168" t="s">
        <v>14</v>
      </c>
      <c r="D226" s="168"/>
      <c r="E226" s="180" t="s">
        <v>145</v>
      </c>
      <c r="F226" s="187" t="s">
        <v>18</v>
      </c>
      <c r="G226" s="168" t="s">
        <v>19</v>
      </c>
      <c r="H226" s="168">
        <v>1</v>
      </c>
      <c r="I226" s="171"/>
    </row>
    <row r="227" spans="1:9" s="173" customFormat="1">
      <c r="A227" s="166">
        <v>45929</v>
      </c>
      <c r="B227" s="167">
        <f>Table134[[#This Row],[Date]]</f>
        <v>45929</v>
      </c>
      <c r="C227" s="168" t="s">
        <v>16</v>
      </c>
      <c r="D227" s="168"/>
      <c r="E227" s="177" t="s">
        <v>15</v>
      </c>
      <c r="F227" s="168"/>
      <c r="G227" s="168"/>
      <c r="H227" s="168"/>
      <c r="I227" s="171"/>
    </row>
    <row r="228" spans="1:9" s="173" customFormat="1">
      <c r="A228" s="166">
        <v>45929</v>
      </c>
      <c r="B228" s="167">
        <f>Table134[[#This Row],[Date]]</f>
        <v>45929</v>
      </c>
      <c r="C228" s="168" t="s">
        <v>23</v>
      </c>
      <c r="D228" s="168"/>
      <c r="E228" s="180" t="s">
        <v>146</v>
      </c>
      <c r="F228" s="168" t="s">
        <v>18</v>
      </c>
      <c r="G228" s="168" t="s">
        <v>19</v>
      </c>
      <c r="H228" s="168">
        <v>1</v>
      </c>
      <c r="I228" s="171"/>
    </row>
    <row r="229" spans="1:9" s="173" customFormat="1">
      <c r="A229" s="166">
        <v>45929</v>
      </c>
      <c r="B229" s="167">
        <f>Table134[[#This Row],[Date]]</f>
        <v>45929</v>
      </c>
      <c r="C229" s="168" t="s">
        <v>23</v>
      </c>
      <c r="D229" s="168"/>
      <c r="E229" s="180" t="s">
        <v>146</v>
      </c>
      <c r="F229" s="168" t="s">
        <v>21</v>
      </c>
      <c r="G229" s="168" t="s">
        <v>19</v>
      </c>
      <c r="H229" s="168">
        <v>1</v>
      </c>
      <c r="I229" s="171"/>
    </row>
    <row r="230" spans="1:9" s="173" customFormat="1">
      <c r="A230" s="166">
        <v>45929</v>
      </c>
      <c r="B230" s="167">
        <f>Table134[[#This Row],[Date]]</f>
        <v>45929</v>
      </c>
      <c r="C230" s="168" t="s">
        <v>23</v>
      </c>
      <c r="D230" s="168"/>
      <c r="E230" s="180" t="s">
        <v>146</v>
      </c>
      <c r="F230" s="187" t="s">
        <v>147</v>
      </c>
      <c r="G230" s="168" t="s">
        <v>19</v>
      </c>
      <c r="H230" s="168">
        <v>1</v>
      </c>
      <c r="I230" s="171"/>
    </row>
    <row r="231" spans="1:9" s="173" customFormat="1">
      <c r="A231" s="166">
        <v>45929</v>
      </c>
      <c r="B231" s="167">
        <f>Table134[[#This Row],[Date]]</f>
        <v>45929</v>
      </c>
      <c r="C231" s="168" t="s">
        <v>23</v>
      </c>
      <c r="D231" s="168"/>
      <c r="E231" s="180" t="s">
        <v>146</v>
      </c>
      <c r="F231" s="187" t="s">
        <v>148</v>
      </c>
      <c r="G231" s="168" t="s">
        <v>19</v>
      </c>
      <c r="H231" s="168">
        <v>1</v>
      </c>
      <c r="I231" s="171"/>
    </row>
    <row r="232" spans="1:9" s="173" customFormat="1">
      <c r="A232" s="166">
        <v>45929</v>
      </c>
      <c r="B232" s="167">
        <f>Table134[[#This Row],[Date]]</f>
        <v>45929</v>
      </c>
      <c r="C232" s="168" t="s">
        <v>26</v>
      </c>
      <c r="D232" s="168"/>
      <c r="E232" s="177" t="s">
        <v>15</v>
      </c>
      <c r="F232" s="168"/>
      <c r="G232" s="168"/>
      <c r="H232" s="168"/>
      <c r="I232" s="171"/>
    </row>
    <row r="233" spans="1:9" s="173" customFormat="1">
      <c r="A233" s="166">
        <v>45930</v>
      </c>
      <c r="B233" s="167">
        <f>Table134[[#This Row],[Date]]</f>
        <v>45930</v>
      </c>
      <c r="C233" s="168" t="s">
        <v>149</v>
      </c>
      <c r="D233" s="168"/>
      <c r="E233" s="177" t="s">
        <v>150</v>
      </c>
      <c r="F233" s="168"/>
      <c r="G233" s="168"/>
      <c r="H233" s="168"/>
      <c r="I233" s="171"/>
    </row>
    <row r="234" spans="1:9" s="173" customFormat="1">
      <c r="A234" s="166">
        <v>45931</v>
      </c>
      <c r="B234" s="167">
        <f>Table134[[#This Row],[Date]]</f>
        <v>45931</v>
      </c>
      <c r="C234" s="168" t="s">
        <v>14</v>
      </c>
      <c r="D234" s="168"/>
      <c r="E234" s="180" t="s">
        <v>79</v>
      </c>
      <c r="F234" s="189" t="s">
        <v>18</v>
      </c>
      <c r="G234" s="168" t="s">
        <v>19</v>
      </c>
      <c r="H234" s="168">
        <v>1</v>
      </c>
      <c r="I234" s="171"/>
    </row>
    <row r="235" spans="1:9" s="173" customFormat="1">
      <c r="A235" s="166">
        <v>45931</v>
      </c>
      <c r="B235" s="167">
        <f>Table134[[#This Row],[Date]]</f>
        <v>45931</v>
      </c>
      <c r="C235" s="168" t="s">
        <v>14</v>
      </c>
      <c r="D235" s="168"/>
      <c r="E235" s="180" t="s">
        <v>79</v>
      </c>
      <c r="F235" s="168" t="s">
        <v>21</v>
      </c>
      <c r="G235" s="168" t="s">
        <v>19</v>
      </c>
      <c r="H235" s="168">
        <v>1</v>
      </c>
      <c r="I235" s="171"/>
    </row>
    <row r="236" spans="1:9" s="173" customFormat="1">
      <c r="A236" s="166">
        <v>45931</v>
      </c>
      <c r="B236" s="167">
        <f>Table134[[#This Row],[Date]]</f>
        <v>45931</v>
      </c>
      <c r="C236" s="168" t="s">
        <v>14</v>
      </c>
      <c r="D236" s="168"/>
      <c r="E236" s="180" t="s">
        <v>80</v>
      </c>
      <c r="F236" s="189" t="s">
        <v>18</v>
      </c>
      <c r="G236" s="168" t="s">
        <v>19</v>
      </c>
      <c r="H236" s="168">
        <v>1</v>
      </c>
      <c r="I236" s="171"/>
    </row>
    <row r="237" spans="1:9" s="173" customFormat="1">
      <c r="A237" s="166">
        <v>45931</v>
      </c>
      <c r="B237" s="167">
        <f>Table134[[#This Row],[Date]]</f>
        <v>45931</v>
      </c>
      <c r="C237" s="168" t="s">
        <v>14</v>
      </c>
      <c r="D237" s="168"/>
      <c r="E237" s="180" t="s">
        <v>80</v>
      </c>
      <c r="F237" s="168" t="s">
        <v>21</v>
      </c>
      <c r="G237" s="168" t="s">
        <v>19</v>
      </c>
      <c r="H237" s="168">
        <v>1</v>
      </c>
      <c r="I237" s="171"/>
    </row>
    <row r="238" spans="1:9" s="173" customFormat="1">
      <c r="A238" s="166">
        <v>45931</v>
      </c>
      <c r="B238" s="167">
        <f>Table134[[#This Row],[Date]]</f>
        <v>45931</v>
      </c>
      <c r="C238" s="168" t="s">
        <v>14</v>
      </c>
      <c r="D238" s="168"/>
      <c r="E238" s="178" t="s">
        <v>33</v>
      </c>
      <c r="F238" s="190" t="s">
        <v>18</v>
      </c>
      <c r="G238" s="168" t="s">
        <v>19</v>
      </c>
      <c r="H238" s="168">
        <v>1</v>
      </c>
      <c r="I238" s="171"/>
    </row>
    <row r="239" spans="1:9" s="173" customFormat="1">
      <c r="A239" s="166">
        <v>45931</v>
      </c>
      <c r="B239" s="167">
        <f>Table134[[#This Row],[Date]]</f>
        <v>45931</v>
      </c>
      <c r="C239" s="168" t="s">
        <v>14</v>
      </c>
      <c r="D239" s="168"/>
      <c r="E239" s="178" t="s">
        <v>33</v>
      </c>
      <c r="F239" s="168" t="s">
        <v>21</v>
      </c>
      <c r="G239" s="168" t="s">
        <v>19</v>
      </c>
      <c r="H239" s="168">
        <v>1</v>
      </c>
      <c r="I239" s="171"/>
    </row>
    <row r="240" spans="1:9" s="173" customFormat="1">
      <c r="A240" s="166">
        <v>45931</v>
      </c>
      <c r="B240" s="167">
        <f>Table134[[#This Row],[Date]]</f>
        <v>45931</v>
      </c>
      <c r="C240" s="168" t="s">
        <v>14</v>
      </c>
      <c r="D240" s="168"/>
      <c r="E240" s="178" t="s">
        <v>33</v>
      </c>
      <c r="F240" s="190" t="s">
        <v>34</v>
      </c>
      <c r="G240" s="168" t="s">
        <v>19</v>
      </c>
      <c r="H240" s="168">
        <v>1</v>
      </c>
      <c r="I240" s="171"/>
    </row>
    <row r="241" spans="1:9" s="173" customFormat="1">
      <c r="A241" s="166">
        <v>45931</v>
      </c>
      <c r="B241" s="167">
        <f>Table134[[#This Row],[Date]]</f>
        <v>45931</v>
      </c>
      <c r="C241" s="168" t="s">
        <v>14</v>
      </c>
      <c r="D241" s="168"/>
      <c r="E241" s="178" t="s">
        <v>33</v>
      </c>
      <c r="F241" s="179" t="s">
        <v>35</v>
      </c>
      <c r="G241" s="168" t="s">
        <v>19</v>
      </c>
      <c r="H241" s="168">
        <v>1</v>
      </c>
      <c r="I241" s="171"/>
    </row>
    <row r="242" spans="1:9" s="173" customFormat="1">
      <c r="A242" s="166">
        <v>45931</v>
      </c>
      <c r="B242" s="167">
        <f>Table134[[#This Row],[Date]]</f>
        <v>45931</v>
      </c>
      <c r="C242" s="168" t="s">
        <v>16</v>
      </c>
      <c r="D242" s="168"/>
      <c r="E242" s="177" t="s">
        <v>17</v>
      </c>
      <c r="F242" s="187" t="s">
        <v>18</v>
      </c>
      <c r="G242" s="168" t="s">
        <v>19</v>
      </c>
      <c r="H242" s="168">
        <v>1</v>
      </c>
      <c r="I242" s="171"/>
    </row>
    <row r="243" spans="1:9" s="173" customFormat="1">
      <c r="A243" s="166">
        <v>45931</v>
      </c>
      <c r="B243" s="167">
        <f>Table134[[#This Row],[Date]]</f>
        <v>45931</v>
      </c>
      <c r="C243" s="168" t="s">
        <v>16</v>
      </c>
      <c r="D243" s="168"/>
      <c r="E243" s="180" t="s">
        <v>20</v>
      </c>
      <c r="F243" s="168" t="s">
        <v>18</v>
      </c>
      <c r="G243" s="168" t="s">
        <v>19</v>
      </c>
      <c r="H243" s="168">
        <v>1</v>
      </c>
      <c r="I243" s="171"/>
    </row>
    <row r="244" spans="1:9" s="173" customFormat="1">
      <c r="A244" s="166">
        <v>45931</v>
      </c>
      <c r="B244" s="167">
        <f>Table134[[#This Row],[Date]]</f>
        <v>45931</v>
      </c>
      <c r="C244" s="168" t="s">
        <v>16</v>
      </c>
      <c r="D244" s="168"/>
      <c r="E244" s="178" t="s">
        <v>22</v>
      </c>
      <c r="F244" s="189" t="s">
        <v>18</v>
      </c>
      <c r="G244" s="168" t="s">
        <v>19</v>
      </c>
      <c r="H244" s="168">
        <v>1</v>
      </c>
      <c r="I244" s="171"/>
    </row>
    <row r="245" spans="1:9" s="173" customFormat="1">
      <c r="A245" s="166">
        <v>45931</v>
      </c>
      <c r="B245" s="167">
        <f>Table134[[#This Row],[Date]]</f>
        <v>45931</v>
      </c>
      <c r="C245" s="168" t="s">
        <v>23</v>
      </c>
      <c r="D245" s="168"/>
      <c r="E245" s="180" t="s">
        <v>36</v>
      </c>
      <c r="F245" s="168" t="s">
        <v>18</v>
      </c>
      <c r="G245" s="168" t="s">
        <v>19</v>
      </c>
      <c r="H245" s="168">
        <v>1</v>
      </c>
      <c r="I245" s="171"/>
    </row>
    <row r="246" spans="1:9" s="173" customFormat="1">
      <c r="A246" s="166">
        <v>45931</v>
      </c>
      <c r="B246" s="167">
        <f>Table134[[#This Row],[Date]]</f>
        <v>45931</v>
      </c>
      <c r="C246" s="168" t="s">
        <v>23</v>
      </c>
      <c r="D246" s="168"/>
      <c r="E246" s="178" t="s">
        <v>25</v>
      </c>
      <c r="F246" s="189" t="s">
        <v>18</v>
      </c>
      <c r="G246" s="168" t="s">
        <v>19</v>
      </c>
      <c r="H246" s="168">
        <v>1</v>
      </c>
      <c r="I246" s="171"/>
    </row>
    <row r="247" spans="1:9" s="173" customFormat="1">
      <c r="A247" s="166">
        <v>45931</v>
      </c>
      <c r="B247" s="167">
        <f>Table134[[#This Row],[Date]]</f>
        <v>45931</v>
      </c>
      <c r="C247" s="168" t="s">
        <v>23</v>
      </c>
      <c r="D247" s="168"/>
      <c r="E247" s="178" t="s">
        <v>25</v>
      </c>
      <c r="F247" s="170" t="s">
        <v>21</v>
      </c>
      <c r="G247" s="168" t="s">
        <v>19</v>
      </c>
      <c r="H247" s="168">
        <v>1</v>
      </c>
      <c r="I247" s="171"/>
    </row>
    <row r="248" spans="1:9" s="173" customFormat="1">
      <c r="A248" s="166">
        <v>45931</v>
      </c>
      <c r="B248" s="167">
        <f>Table134[[#This Row],[Date]]</f>
        <v>45931</v>
      </c>
      <c r="C248" s="168" t="s">
        <v>23</v>
      </c>
      <c r="D248" s="168"/>
      <c r="E248" s="180" t="s">
        <v>37</v>
      </c>
      <c r="F248" s="187" t="s">
        <v>18</v>
      </c>
      <c r="G248" s="168" t="s">
        <v>19</v>
      </c>
      <c r="H248" s="168">
        <v>1</v>
      </c>
      <c r="I248" s="171"/>
    </row>
    <row r="249" spans="1:9" s="173" customFormat="1">
      <c r="A249" s="166">
        <v>45931</v>
      </c>
      <c r="B249" s="167">
        <f>Table134[[#This Row],[Date]]</f>
        <v>45931</v>
      </c>
      <c r="C249" s="168" t="s">
        <v>23</v>
      </c>
      <c r="D249" s="168"/>
      <c r="E249" s="180" t="s">
        <v>38</v>
      </c>
      <c r="F249" s="168" t="s">
        <v>18</v>
      </c>
      <c r="G249" s="168" t="s">
        <v>19</v>
      </c>
      <c r="H249" s="168">
        <v>1</v>
      </c>
      <c r="I249" s="171"/>
    </row>
    <row r="250" spans="1:9" s="173" customFormat="1">
      <c r="A250" s="166">
        <v>45931</v>
      </c>
      <c r="B250" s="167">
        <f>Table134[[#This Row],[Date]]</f>
        <v>45931</v>
      </c>
      <c r="C250" s="168" t="s">
        <v>26</v>
      </c>
      <c r="D250" s="168"/>
      <c r="E250" s="177" t="s">
        <v>151</v>
      </c>
      <c r="F250" s="187" t="s">
        <v>18</v>
      </c>
      <c r="G250" s="168" t="s">
        <v>19</v>
      </c>
      <c r="H250" s="168">
        <v>1</v>
      </c>
      <c r="I250" s="171"/>
    </row>
    <row r="251" spans="1:9" s="173" customFormat="1">
      <c r="A251" s="166">
        <v>45931</v>
      </c>
      <c r="B251" s="167">
        <f>Table134[[#This Row],[Date]]</f>
        <v>45931</v>
      </c>
      <c r="C251" s="168" t="s">
        <v>26</v>
      </c>
      <c r="D251" s="168"/>
      <c r="E251" s="177" t="s">
        <v>151</v>
      </c>
      <c r="F251" s="168" t="s">
        <v>28</v>
      </c>
      <c r="G251" s="168" t="s">
        <v>19</v>
      </c>
      <c r="H251" s="168">
        <v>1</v>
      </c>
      <c r="I251" s="171"/>
    </row>
    <row r="252" spans="1:9" s="173" customFormat="1">
      <c r="A252" s="166">
        <v>45931</v>
      </c>
      <c r="B252" s="167">
        <f>Table134[[#This Row],[Date]]</f>
        <v>45931</v>
      </c>
      <c r="C252" s="168" t="s">
        <v>26</v>
      </c>
      <c r="D252" s="168"/>
      <c r="E252" s="177" t="s">
        <v>152</v>
      </c>
      <c r="F252" s="187" t="s">
        <v>18</v>
      </c>
      <c r="G252" s="168" t="s">
        <v>19</v>
      </c>
      <c r="H252" s="168">
        <v>1</v>
      </c>
      <c r="I252" s="171"/>
    </row>
    <row r="253" spans="1:9" s="173" customFormat="1">
      <c r="A253" s="166">
        <v>45931</v>
      </c>
      <c r="B253" s="167">
        <f>Table134[[#This Row],[Date]]</f>
        <v>45931</v>
      </c>
      <c r="C253" s="168" t="s">
        <v>26</v>
      </c>
      <c r="D253" s="168"/>
      <c r="E253" s="177" t="s">
        <v>152</v>
      </c>
      <c r="F253" s="168" t="s">
        <v>28</v>
      </c>
      <c r="G253" s="168" t="s">
        <v>19</v>
      </c>
      <c r="H253" s="168">
        <v>1</v>
      </c>
      <c r="I253" s="171"/>
    </row>
    <row r="254" spans="1:9" s="173" customFormat="1">
      <c r="A254" s="166">
        <v>45932</v>
      </c>
      <c r="B254" s="167">
        <f>Table134[[#This Row],[Date]]</f>
        <v>45932</v>
      </c>
      <c r="C254" s="168" t="s">
        <v>14</v>
      </c>
      <c r="D254" s="168"/>
      <c r="E254" s="178" t="s">
        <v>33</v>
      </c>
      <c r="F254" s="189" t="s">
        <v>45</v>
      </c>
      <c r="G254" s="168" t="s">
        <v>19</v>
      </c>
      <c r="H254" s="168">
        <v>1</v>
      </c>
      <c r="I254" s="171"/>
    </row>
    <row r="255" spans="1:9" s="173" customFormat="1">
      <c r="A255" s="166">
        <v>45932</v>
      </c>
      <c r="B255" s="167">
        <f>Table134[[#This Row],[Date]]</f>
        <v>45932</v>
      </c>
      <c r="C255" s="168" t="s">
        <v>14</v>
      </c>
      <c r="D255" s="168"/>
      <c r="E255" s="180" t="s">
        <v>71</v>
      </c>
      <c r="F255" s="168" t="s">
        <v>59</v>
      </c>
      <c r="G255" s="168" t="s">
        <v>60</v>
      </c>
      <c r="H255" s="168">
        <v>1</v>
      </c>
      <c r="I255" s="171"/>
    </row>
    <row r="256" spans="1:9" s="173" customFormat="1">
      <c r="A256" s="166">
        <v>45932</v>
      </c>
      <c r="B256" s="167">
        <f>Table134[[#This Row],[Date]]</f>
        <v>45932</v>
      </c>
      <c r="C256" s="168" t="s">
        <v>14</v>
      </c>
      <c r="D256" s="168"/>
      <c r="E256" s="180" t="s">
        <v>71</v>
      </c>
      <c r="F256" s="168" t="s">
        <v>72</v>
      </c>
      <c r="G256" s="168" t="s">
        <v>60</v>
      </c>
      <c r="H256" s="168">
        <v>1</v>
      </c>
      <c r="I256" s="171"/>
    </row>
    <row r="257" spans="1:9" s="173" customFormat="1">
      <c r="A257" s="166">
        <v>45932</v>
      </c>
      <c r="B257" s="167">
        <f>Table134[[#This Row],[Date]]</f>
        <v>45932</v>
      </c>
      <c r="C257" s="168" t="s">
        <v>14</v>
      </c>
      <c r="D257" s="168"/>
      <c r="E257" s="180" t="s">
        <v>71</v>
      </c>
      <c r="F257" s="168" t="s">
        <v>73</v>
      </c>
      <c r="G257" s="168" t="s">
        <v>60</v>
      </c>
      <c r="H257" s="168">
        <v>1</v>
      </c>
      <c r="I257" s="171"/>
    </row>
    <row r="258" spans="1:9" s="173" customFormat="1">
      <c r="A258" s="166">
        <v>45932</v>
      </c>
      <c r="B258" s="167">
        <f>Table134[[#This Row],[Date]]</f>
        <v>45932</v>
      </c>
      <c r="C258" s="168" t="s">
        <v>14</v>
      </c>
      <c r="D258" s="168"/>
      <c r="E258" s="178" t="s">
        <v>33</v>
      </c>
      <c r="F258" s="170" t="s">
        <v>41</v>
      </c>
      <c r="G258" s="168" t="s">
        <v>19</v>
      </c>
      <c r="H258" s="168">
        <v>1</v>
      </c>
      <c r="I258" s="171"/>
    </row>
    <row r="259" spans="1:9" s="173" customFormat="1">
      <c r="A259" s="166">
        <v>45932</v>
      </c>
      <c r="B259" s="167">
        <f>Table134[[#This Row],[Date]]</f>
        <v>45932</v>
      </c>
      <c r="C259" s="168" t="s">
        <v>14</v>
      </c>
      <c r="D259" s="168"/>
      <c r="E259" s="178" t="s">
        <v>33</v>
      </c>
      <c r="F259" s="187" t="s">
        <v>42</v>
      </c>
      <c r="G259" s="168" t="s">
        <v>19</v>
      </c>
      <c r="H259" s="168">
        <v>1</v>
      </c>
      <c r="I259" s="171"/>
    </row>
    <row r="260" spans="1:9" s="173" customFormat="1">
      <c r="A260" s="166">
        <v>45932</v>
      </c>
      <c r="B260" s="167">
        <f>Table134[[#This Row],[Date]]</f>
        <v>45932</v>
      </c>
      <c r="C260" s="168" t="s">
        <v>14</v>
      </c>
      <c r="D260" s="168"/>
      <c r="E260" s="178" t="s">
        <v>33</v>
      </c>
      <c r="F260" s="168" t="s">
        <v>43</v>
      </c>
      <c r="G260" s="168" t="s">
        <v>19</v>
      </c>
      <c r="H260" s="168">
        <v>1</v>
      </c>
      <c r="I260" s="171"/>
    </row>
    <row r="261" spans="1:9" s="173" customFormat="1">
      <c r="A261" s="166">
        <v>45932</v>
      </c>
      <c r="B261" s="167">
        <f>Table134[[#This Row],[Date]]</f>
        <v>45932</v>
      </c>
      <c r="C261" s="168" t="s">
        <v>14</v>
      </c>
      <c r="D261" s="168"/>
      <c r="E261" s="178" t="s">
        <v>33</v>
      </c>
      <c r="F261" s="170" t="s">
        <v>44</v>
      </c>
      <c r="G261" s="168" t="s">
        <v>19</v>
      </c>
      <c r="H261" s="168">
        <v>1</v>
      </c>
      <c r="I261" s="171"/>
    </row>
    <row r="262" spans="1:9" s="173" customFormat="1">
      <c r="A262" s="166">
        <v>45932</v>
      </c>
      <c r="B262" s="167">
        <f>Table134[[#This Row],[Date]]</f>
        <v>45932</v>
      </c>
      <c r="C262" s="168" t="s">
        <v>16</v>
      </c>
      <c r="D262" s="168"/>
      <c r="E262" s="180" t="s">
        <v>46</v>
      </c>
      <c r="F262" s="170" t="s">
        <v>18</v>
      </c>
      <c r="G262" s="168" t="s">
        <v>19</v>
      </c>
      <c r="H262" s="168">
        <v>1</v>
      </c>
      <c r="I262" s="171"/>
    </row>
    <row r="263" spans="1:9" s="173" customFormat="1">
      <c r="A263" s="166">
        <v>45932</v>
      </c>
      <c r="B263" s="167">
        <f>Table134[[#This Row],[Date]]</f>
        <v>45932</v>
      </c>
      <c r="C263" s="168" t="s">
        <v>16</v>
      </c>
      <c r="D263" s="168"/>
      <c r="E263" s="180" t="s">
        <v>46</v>
      </c>
      <c r="F263" s="170" t="s">
        <v>21</v>
      </c>
      <c r="G263" s="168" t="s">
        <v>19</v>
      </c>
      <c r="H263" s="168">
        <v>1</v>
      </c>
      <c r="I263" s="171"/>
    </row>
    <row r="264" spans="1:9" s="173" customFormat="1">
      <c r="A264" s="166">
        <v>45932</v>
      </c>
      <c r="B264" s="167">
        <f>Table134[[#This Row],[Date]]</f>
        <v>45932</v>
      </c>
      <c r="C264" s="168" t="s">
        <v>16</v>
      </c>
      <c r="D264" s="168"/>
      <c r="E264" s="180" t="s">
        <v>46</v>
      </c>
      <c r="F264" s="170" t="s">
        <v>47</v>
      </c>
      <c r="G264" s="168" t="s">
        <v>19</v>
      </c>
      <c r="H264" s="168">
        <v>1</v>
      </c>
      <c r="I264" s="171"/>
    </row>
    <row r="265" spans="1:9" s="173" customFormat="1">
      <c r="A265" s="166">
        <v>45932</v>
      </c>
      <c r="B265" s="167">
        <f>Table134[[#This Row],[Date]]</f>
        <v>45932</v>
      </c>
      <c r="C265" s="168" t="s">
        <v>26</v>
      </c>
      <c r="D265" s="168"/>
      <c r="E265" s="177" t="s">
        <v>153</v>
      </c>
      <c r="F265" s="168" t="s">
        <v>18</v>
      </c>
      <c r="G265" s="168" t="s">
        <v>19</v>
      </c>
      <c r="H265" s="168">
        <v>1</v>
      </c>
      <c r="I265" s="171"/>
    </row>
    <row r="266" spans="1:9" s="173" customFormat="1">
      <c r="A266" s="166">
        <v>45932</v>
      </c>
      <c r="B266" s="167">
        <f>Table134[[#This Row],[Date]]</f>
        <v>45932</v>
      </c>
      <c r="C266" s="168" t="s">
        <v>26</v>
      </c>
      <c r="D266" s="168"/>
      <c r="E266" s="177" t="s">
        <v>153</v>
      </c>
      <c r="F266" s="168" t="s">
        <v>28</v>
      </c>
      <c r="G266" s="168" t="s">
        <v>19</v>
      </c>
      <c r="H266" s="168">
        <v>1</v>
      </c>
      <c r="I266" s="171"/>
    </row>
    <row r="267" spans="1:9" s="173" customFormat="1">
      <c r="A267" s="166">
        <v>45932</v>
      </c>
      <c r="B267" s="167">
        <f>Table134[[#This Row],[Date]]</f>
        <v>45932</v>
      </c>
      <c r="C267" s="168" t="s">
        <v>26</v>
      </c>
      <c r="D267" s="168"/>
      <c r="E267" s="177" t="s">
        <v>154</v>
      </c>
      <c r="F267" s="168" t="s">
        <v>18</v>
      </c>
      <c r="G267" s="168" t="s">
        <v>19</v>
      </c>
      <c r="H267" s="168">
        <v>1</v>
      </c>
      <c r="I267" s="171"/>
    </row>
    <row r="268" spans="1:9" s="173" customFormat="1">
      <c r="A268" s="166">
        <v>45932</v>
      </c>
      <c r="B268" s="167">
        <f>Table134[[#This Row],[Date]]</f>
        <v>45932</v>
      </c>
      <c r="C268" s="168" t="s">
        <v>26</v>
      </c>
      <c r="D268" s="168"/>
      <c r="E268" s="177" t="s">
        <v>154</v>
      </c>
      <c r="F268" s="168" t="s">
        <v>28</v>
      </c>
      <c r="G268" s="168" t="s">
        <v>19</v>
      </c>
      <c r="H268" s="168">
        <v>1</v>
      </c>
      <c r="I268" s="171"/>
    </row>
    <row r="269" spans="1:9" s="173" customFormat="1">
      <c r="A269" s="166">
        <v>45933</v>
      </c>
      <c r="B269" s="167">
        <f>Table134[[#This Row],[Date]]</f>
        <v>45933</v>
      </c>
      <c r="C269" s="168" t="s">
        <v>14</v>
      </c>
      <c r="D269" s="168"/>
      <c r="E269" s="180" t="s">
        <v>71</v>
      </c>
      <c r="F269" s="168" t="s">
        <v>61</v>
      </c>
      <c r="G269" s="168" t="s">
        <v>60</v>
      </c>
      <c r="H269" s="168">
        <v>1</v>
      </c>
      <c r="I269" s="171"/>
    </row>
    <row r="270" spans="1:9" s="173" customFormat="1">
      <c r="A270" s="166">
        <v>45933</v>
      </c>
      <c r="B270" s="167">
        <f>Table134[[#This Row],[Date]]</f>
        <v>45933</v>
      </c>
      <c r="C270" s="168" t="s">
        <v>14</v>
      </c>
      <c r="D270" s="168"/>
      <c r="E270" s="180" t="s">
        <v>71</v>
      </c>
      <c r="F270" s="168" t="s">
        <v>76</v>
      </c>
      <c r="G270" s="168" t="s">
        <v>60</v>
      </c>
      <c r="H270" s="168">
        <v>1</v>
      </c>
      <c r="I270" s="171"/>
    </row>
    <row r="271" spans="1:9" s="173" customFormat="1">
      <c r="A271" s="166">
        <v>45933</v>
      </c>
      <c r="B271" s="167">
        <f>Table134[[#This Row],[Date]]</f>
        <v>45933</v>
      </c>
      <c r="C271" s="168" t="s">
        <v>14</v>
      </c>
      <c r="D271" s="168"/>
      <c r="E271" s="180" t="s">
        <v>71</v>
      </c>
      <c r="F271" s="168" t="s">
        <v>77</v>
      </c>
      <c r="G271" s="168" t="s">
        <v>60</v>
      </c>
      <c r="H271" s="168">
        <v>1</v>
      </c>
      <c r="I271" s="171"/>
    </row>
    <row r="272" spans="1:9" s="173" customFormat="1">
      <c r="A272" s="166">
        <v>45933</v>
      </c>
      <c r="B272" s="167">
        <f>Table134[[#This Row],[Date]]</f>
        <v>45933</v>
      </c>
      <c r="C272" s="168" t="s">
        <v>16</v>
      </c>
      <c r="D272" s="168"/>
      <c r="E272" s="181" t="s">
        <v>50</v>
      </c>
      <c r="F272" s="170" t="s">
        <v>47</v>
      </c>
      <c r="G272" s="168" t="s">
        <v>19</v>
      </c>
      <c r="H272" s="168">
        <v>1</v>
      </c>
      <c r="I272" s="171"/>
    </row>
    <row r="273" spans="1:9" s="173" customFormat="1">
      <c r="A273" s="166">
        <v>45933</v>
      </c>
      <c r="B273" s="167">
        <f>Table134[[#This Row],[Date]]</f>
        <v>45933</v>
      </c>
      <c r="C273" s="168" t="s">
        <v>16</v>
      </c>
      <c r="D273" s="168"/>
      <c r="E273" s="181" t="s">
        <v>50</v>
      </c>
      <c r="F273" s="170" t="s">
        <v>18</v>
      </c>
      <c r="G273" s="168" t="s">
        <v>19</v>
      </c>
      <c r="H273" s="168">
        <v>1</v>
      </c>
      <c r="I273" s="171"/>
    </row>
    <row r="274" spans="1:9" s="173" customFormat="1">
      <c r="A274" s="166">
        <v>45933</v>
      </c>
      <c r="B274" s="167">
        <f>Table134[[#This Row],[Date]]</f>
        <v>45933</v>
      </c>
      <c r="C274" s="168" t="s">
        <v>16</v>
      </c>
      <c r="D274" s="168"/>
      <c r="E274" s="181" t="s">
        <v>50</v>
      </c>
      <c r="F274" s="170" t="s">
        <v>21</v>
      </c>
      <c r="G274" s="168" t="s">
        <v>19</v>
      </c>
      <c r="H274" s="168">
        <v>1</v>
      </c>
      <c r="I274" s="171"/>
    </row>
    <row r="275" spans="1:9" s="173" customFormat="1">
      <c r="A275" s="166">
        <v>45933</v>
      </c>
      <c r="B275" s="167">
        <f>Table134[[#This Row],[Date]]</f>
        <v>45933</v>
      </c>
      <c r="C275" s="168" t="s">
        <v>16</v>
      </c>
      <c r="D275" s="168"/>
      <c r="E275" s="180" t="s">
        <v>51</v>
      </c>
      <c r="F275" s="168" t="s">
        <v>18</v>
      </c>
      <c r="G275" s="168" t="s">
        <v>19</v>
      </c>
      <c r="H275" s="168">
        <v>1</v>
      </c>
      <c r="I275" s="171"/>
    </row>
    <row r="276" spans="1:9" s="173" customFormat="1">
      <c r="A276" s="166">
        <v>45933</v>
      </c>
      <c r="B276" s="167">
        <f>Table134[[#This Row],[Date]]</f>
        <v>45933</v>
      </c>
      <c r="C276" s="168" t="s">
        <v>23</v>
      </c>
      <c r="D276" s="168"/>
      <c r="E276" s="182" t="s">
        <v>52</v>
      </c>
      <c r="F276" s="170" t="s">
        <v>47</v>
      </c>
      <c r="G276" s="168" t="s">
        <v>19</v>
      </c>
      <c r="H276" s="168">
        <v>1</v>
      </c>
      <c r="I276" s="171"/>
    </row>
    <row r="277" spans="1:9" s="173" customFormat="1">
      <c r="A277" s="166">
        <v>45933</v>
      </c>
      <c r="B277" s="167">
        <f>Table134[[#This Row],[Date]]</f>
        <v>45933</v>
      </c>
      <c r="C277" s="168" t="s">
        <v>23</v>
      </c>
      <c r="D277" s="168"/>
      <c r="E277" s="182" t="s">
        <v>52</v>
      </c>
      <c r="F277" s="170" t="s">
        <v>53</v>
      </c>
      <c r="G277" s="168" t="s">
        <v>19</v>
      </c>
      <c r="H277" s="168">
        <v>1</v>
      </c>
      <c r="I277" s="171"/>
    </row>
    <row r="278" spans="1:9" s="173" customFormat="1">
      <c r="A278" s="166">
        <v>45933</v>
      </c>
      <c r="B278" s="167">
        <f>Table134[[#This Row],[Date]]</f>
        <v>45933</v>
      </c>
      <c r="C278" s="168" t="s">
        <v>23</v>
      </c>
      <c r="D278" s="168"/>
      <c r="E278" s="178" t="s">
        <v>54</v>
      </c>
      <c r="F278" s="170" t="s">
        <v>18</v>
      </c>
      <c r="G278" s="168" t="s">
        <v>19</v>
      </c>
      <c r="H278" s="168">
        <v>1</v>
      </c>
      <c r="I278" s="171"/>
    </row>
    <row r="279" spans="1:9" s="173" customFormat="1">
      <c r="A279" s="166">
        <v>45933</v>
      </c>
      <c r="B279" s="167">
        <f>Table134[[#This Row],[Date]]</f>
        <v>45933</v>
      </c>
      <c r="C279" s="168" t="s">
        <v>23</v>
      </c>
      <c r="D279" s="168"/>
      <c r="E279" s="178" t="s">
        <v>54</v>
      </c>
      <c r="F279" s="170" t="s">
        <v>21</v>
      </c>
      <c r="G279" s="168" t="s">
        <v>19</v>
      </c>
      <c r="H279" s="168">
        <v>1</v>
      </c>
      <c r="I279" s="171"/>
    </row>
    <row r="280" spans="1:9" s="173" customFormat="1">
      <c r="A280" s="166">
        <v>45933</v>
      </c>
      <c r="B280" s="167">
        <f>Table134[[#This Row],[Date]]</f>
        <v>45933</v>
      </c>
      <c r="C280" s="168" t="s">
        <v>26</v>
      </c>
      <c r="D280" s="168"/>
      <c r="E280" s="176" t="s">
        <v>39</v>
      </c>
      <c r="F280" s="168" t="s">
        <v>18</v>
      </c>
      <c r="G280" s="168" t="s">
        <v>19</v>
      </c>
      <c r="H280" s="168">
        <v>1</v>
      </c>
      <c r="I280" s="171"/>
    </row>
    <row r="281" spans="1:9" s="173" customFormat="1">
      <c r="A281" s="166">
        <v>45933</v>
      </c>
      <c r="B281" s="167">
        <f>Table134[[#This Row],[Date]]</f>
        <v>45933</v>
      </c>
      <c r="C281" s="168" t="s">
        <v>26</v>
      </c>
      <c r="D281" s="168"/>
      <c r="E281" s="176" t="s">
        <v>39</v>
      </c>
      <c r="F281" s="168" t="s">
        <v>28</v>
      </c>
      <c r="G281" s="168" t="s">
        <v>19</v>
      </c>
      <c r="H281" s="168">
        <v>1</v>
      </c>
      <c r="I281" s="171"/>
    </row>
    <row r="282" spans="1:9" s="173" customFormat="1">
      <c r="A282" s="166">
        <v>45933</v>
      </c>
      <c r="B282" s="167">
        <f>Table134[[#This Row],[Date]]</f>
        <v>45933</v>
      </c>
      <c r="C282" s="168" t="s">
        <v>26</v>
      </c>
      <c r="D282" s="168"/>
      <c r="E282" s="177" t="s">
        <v>155</v>
      </c>
      <c r="F282" s="168" t="s">
        <v>18</v>
      </c>
      <c r="G282" s="168" t="s">
        <v>19</v>
      </c>
      <c r="H282" s="168">
        <v>1</v>
      </c>
      <c r="I282" s="171"/>
    </row>
    <row r="283" spans="1:9" s="173" customFormat="1">
      <c r="A283" s="166">
        <v>45933</v>
      </c>
      <c r="B283" s="167">
        <f>Table134[[#This Row],[Date]]</f>
        <v>45933</v>
      </c>
      <c r="C283" s="168" t="s">
        <v>26</v>
      </c>
      <c r="D283" s="168"/>
      <c r="E283" s="177" t="s">
        <v>155</v>
      </c>
      <c r="F283" s="168" t="s">
        <v>28</v>
      </c>
      <c r="G283" s="168" t="s">
        <v>19</v>
      </c>
      <c r="H283" s="168">
        <v>1</v>
      </c>
      <c r="I283" s="171"/>
    </row>
    <row r="284" spans="1:9" s="173" customFormat="1">
      <c r="A284" s="166">
        <v>45934</v>
      </c>
      <c r="B284" s="167">
        <f>Table134[[#This Row],[Date]]</f>
        <v>45934</v>
      </c>
      <c r="C284" s="168" t="s">
        <v>4</v>
      </c>
      <c r="D284" s="168"/>
      <c r="E284" s="180" t="s">
        <v>58</v>
      </c>
      <c r="F284" s="170" t="s">
        <v>18</v>
      </c>
      <c r="G284" s="168" t="s">
        <v>19</v>
      </c>
      <c r="H284" s="168">
        <v>1</v>
      </c>
      <c r="I284" s="171"/>
    </row>
    <row r="285" spans="1:9" s="173" customFormat="1">
      <c r="A285" s="166">
        <v>45934</v>
      </c>
      <c r="B285" s="167">
        <f>Table134[[#This Row],[Date]]</f>
        <v>45934</v>
      </c>
      <c r="C285" s="168" t="s">
        <v>4</v>
      </c>
      <c r="D285" s="168"/>
      <c r="E285" s="180" t="s">
        <v>58</v>
      </c>
      <c r="F285" s="170" t="s">
        <v>21</v>
      </c>
      <c r="G285" s="168" t="s">
        <v>19</v>
      </c>
      <c r="H285" s="168">
        <v>1</v>
      </c>
      <c r="I285" s="171"/>
    </row>
    <row r="286" spans="1:9" s="173" customFormat="1">
      <c r="A286" s="166">
        <v>45934</v>
      </c>
      <c r="B286" s="167">
        <f>Table134[[#This Row],[Date]]</f>
        <v>45934</v>
      </c>
      <c r="C286" s="168" t="s">
        <v>4</v>
      </c>
      <c r="D286" s="168"/>
      <c r="E286" s="180" t="s">
        <v>58</v>
      </c>
      <c r="F286" s="170" t="s">
        <v>49</v>
      </c>
      <c r="G286" s="168" t="s">
        <v>19</v>
      </c>
      <c r="H286" s="168">
        <v>1</v>
      </c>
      <c r="I286" s="171"/>
    </row>
    <row r="287" spans="1:9" s="173" customFormat="1">
      <c r="A287" s="166">
        <v>45934</v>
      </c>
      <c r="B287" s="167">
        <f>Table134[[#This Row],[Date]]</f>
        <v>45934</v>
      </c>
      <c r="C287" s="168" t="s">
        <v>4</v>
      </c>
      <c r="D287" s="168"/>
      <c r="E287" s="180" t="s">
        <v>58</v>
      </c>
      <c r="F287" s="170" t="s">
        <v>41</v>
      </c>
      <c r="G287" s="168" t="s">
        <v>19</v>
      </c>
      <c r="H287" s="168">
        <v>1</v>
      </c>
      <c r="I287" s="171"/>
    </row>
    <row r="288" spans="1:9" s="173" customFormat="1">
      <c r="A288" s="166">
        <v>45935</v>
      </c>
      <c r="B288" s="167">
        <f>Table134[[#This Row],[Date]]</f>
        <v>45935</v>
      </c>
      <c r="C288" s="168" t="s">
        <v>4</v>
      </c>
      <c r="D288" s="168"/>
      <c r="E288" s="183" t="s">
        <v>58</v>
      </c>
      <c r="F288" s="170" t="s">
        <v>42</v>
      </c>
      <c r="G288" s="168" t="s">
        <v>19</v>
      </c>
      <c r="H288" s="168">
        <v>1</v>
      </c>
      <c r="I288" s="171"/>
    </row>
    <row r="289" spans="1:9" s="173" customFormat="1">
      <c r="A289" s="166">
        <v>45935</v>
      </c>
      <c r="B289" s="167">
        <f>Table134[[#This Row],[Date]]</f>
        <v>45935</v>
      </c>
      <c r="C289" s="168" t="s">
        <v>4</v>
      </c>
      <c r="D289" s="168"/>
      <c r="E289" s="180" t="s">
        <v>58</v>
      </c>
      <c r="F289" s="168" t="s">
        <v>64</v>
      </c>
      <c r="G289" s="168" t="s">
        <v>19</v>
      </c>
      <c r="H289" s="168">
        <v>1</v>
      </c>
      <c r="I289" s="171"/>
    </row>
    <row r="290" spans="1:9" s="173" customFormat="1">
      <c r="A290" s="166">
        <v>45935</v>
      </c>
      <c r="B290" s="167">
        <f>Table134[[#This Row],[Date]]</f>
        <v>45935</v>
      </c>
      <c r="C290" s="168" t="s">
        <v>4</v>
      </c>
      <c r="D290" s="168"/>
      <c r="E290" s="177" t="s">
        <v>58</v>
      </c>
      <c r="F290" s="168" t="s">
        <v>34</v>
      </c>
      <c r="G290" s="168" t="s">
        <v>19</v>
      </c>
      <c r="H290" s="168">
        <v>1</v>
      </c>
      <c r="I290" s="171"/>
    </row>
    <row r="291" spans="1:9" s="173" customFormat="1">
      <c r="A291" s="166">
        <v>45935</v>
      </c>
      <c r="B291" s="167">
        <f>Table134[[#This Row],[Date]]</f>
        <v>45935</v>
      </c>
      <c r="C291" s="168" t="s">
        <v>4</v>
      </c>
      <c r="D291" s="168"/>
      <c r="E291" s="177" t="s">
        <v>58</v>
      </c>
      <c r="F291" s="168" t="s">
        <v>43</v>
      </c>
      <c r="G291" s="168" t="s">
        <v>19</v>
      </c>
      <c r="H291" s="168">
        <v>1</v>
      </c>
      <c r="I291" s="171"/>
    </row>
    <row r="292" spans="1:9" s="173" customFormat="1">
      <c r="A292" s="166">
        <v>45936</v>
      </c>
      <c r="B292" s="167">
        <f>Table134[[#This Row],[Date]]</f>
        <v>45936</v>
      </c>
      <c r="C292" s="168"/>
      <c r="D292" s="168"/>
      <c r="E292" s="177" t="s">
        <v>156</v>
      </c>
      <c r="F292" s="168"/>
      <c r="G292" s="168"/>
      <c r="H292" s="168"/>
      <c r="I292" s="171"/>
    </row>
    <row r="293" spans="1:9" s="173" customFormat="1">
      <c r="A293" s="166">
        <v>45937</v>
      </c>
      <c r="B293" s="167">
        <f>Table134[[#This Row],[Date]]</f>
        <v>45937</v>
      </c>
      <c r="C293" s="168" t="s">
        <v>4</v>
      </c>
      <c r="D293" s="168"/>
      <c r="E293" s="177" t="s">
        <v>32</v>
      </c>
      <c r="F293" s="168"/>
      <c r="G293" s="168"/>
      <c r="H293" s="168"/>
      <c r="I293" s="193"/>
    </row>
    <row r="294" spans="1:9" s="173" customFormat="1">
      <c r="A294" s="166">
        <v>45937</v>
      </c>
      <c r="B294" s="167">
        <f>Table134[[#This Row],[Date]]</f>
        <v>45937</v>
      </c>
      <c r="C294" s="168"/>
      <c r="D294" s="168"/>
      <c r="E294" s="177" t="s">
        <v>156</v>
      </c>
      <c r="F294" s="168"/>
      <c r="G294" s="168"/>
      <c r="H294" s="168"/>
      <c r="I294" s="171"/>
    </row>
    <row r="295" spans="1:9" s="173" customFormat="1">
      <c r="A295" s="166">
        <v>45938</v>
      </c>
      <c r="B295" s="167">
        <f>Table134[[#This Row],[Date]]</f>
        <v>45938</v>
      </c>
      <c r="C295" s="168" t="s">
        <v>26</v>
      </c>
      <c r="D295" s="168"/>
      <c r="E295" s="177" t="s">
        <v>157</v>
      </c>
      <c r="F295" s="170" t="s">
        <v>18</v>
      </c>
      <c r="G295" s="168" t="s">
        <v>19</v>
      </c>
      <c r="H295" s="168">
        <v>1</v>
      </c>
      <c r="I295" s="171"/>
    </row>
    <row r="296" spans="1:9" s="173" customFormat="1">
      <c r="A296" s="166">
        <v>45938</v>
      </c>
      <c r="B296" s="167">
        <f>Table134[[#This Row],[Date]]</f>
        <v>45938</v>
      </c>
      <c r="C296" s="168" t="s">
        <v>26</v>
      </c>
      <c r="D296" s="168"/>
      <c r="E296" s="177" t="s">
        <v>157</v>
      </c>
      <c r="F296" s="170" t="s">
        <v>21</v>
      </c>
      <c r="G296" s="168" t="s">
        <v>19</v>
      </c>
      <c r="H296" s="168">
        <v>1</v>
      </c>
      <c r="I296" s="171"/>
    </row>
    <row r="297" spans="1:9" s="173" customFormat="1">
      <c r="A297" s="166">
        <v>45938</v>
      </c>
      <c r="B297" s="167">
        <f>Table134[[#This Row],[Date]]</f>
        <v>45938</v>
      </c>
      <c r="C297" s="168" t="s">
        <v>26</v>
      </c>
      <c r="D297" s="168"/>
      <c r="E297" s="176" t="s">
        <v>40</v>
      </c>
      <c r="F297" s="168" t="s">
        <v>18</v>
      </c>
      <c r="G297" s="168" t="s">
        <v>19</v>
      </c>
      <c r="H297" s="168">
        <v>1</v>
      </c>
      <c r="I297" s="171"/>
    </row>
    <row r="298" spans="1:9" s="173" customFormat="1">
      <c r="A298" s="166">
        <v>45938</v>
      </c>
      <c r="B298" s="167">
        <f>Table134[[#This Row],[Date]]</f>
        <v>45938</v>
      </c>
      <c r="C298" s="168" t="s">
        <v>26</v>
      </c>
      <c r="D298" s="168"/>
      <c r="E298" s="176" t="s">
        <v>40</v>
      </c>
      <c r="F298" s="168" t="s">
        <v>28</v>
      </c>
      <c r="G298" s="168" t="s">
        <v>19</v>
      </c>
      <c r="H298" s="168">
        <v>1</v>
      </c>
      <c r="I298" s="171"/>
    </row>
    <row r="299" spans="1:9" s="173" customFormat="1">
      <c r="A299" s="166">
        <v>45938</v>
      </c>
      <c r="B299" s="167">
        <f>Table134[[#This Row],[Date]]</f>
        <v>45938</v>
      </c>
      <c r="C299" s="168" t="s">
        <v>149</v>
      </c>
      <c r="D299" s="168"/>
      <c r="E299" s="177" t="s">
        <v>150</v>
      </c>
      <c r="F299" s="168"/>
      <c r="G299" s="168"/>
      <c r="H299" s="168"/>
      <c r="I299" s="171"/>
    </row>
    <row r="300" spans="1:9" s="173" customFormat="1">
      <c r="A300" s="166">
        <v>45939</v>
      </c>
      <c r="B300" s="167">
        <f>Table134[[#This Row],[Date]]</f>
        <v>45939</v>
      </c>
      <c r="C300" s="168" t="s">
        <v>14</v>
      </c>
      <c r="D300" s="168"/>
      <c r="E300" s="180" t="s">
        <v>65</v>
      </c>
      <c r="F300" s="168" t="s">
        <v>18</v>
      </c>
      <c r="G300" s="168" t="s">
        <v>19</v>
      </c>
      <c r="H300" s="168">
        <v>1</v>
      </c>
      <c r="I300" s="171"/>
    </row>
    <row r="301" spans="1:9" s="173" customFormat="1">
      <c r="A301" s="166">
        <v>45939</v>
      </c>
      <c r="B301" s="167">
        <f>Table134[[#This Row],[Date]]</f>
        <v>45939</v>
      </c>
      <c r="C301" s="168" t="s">
        <v>14</v>
      </c>
      <c r="D301" s="168"/>
      <c r="E301" s="178" t="s">
        <v>66</v>
      </c>
      <c r="F301" s="168" t="s">
        <v>18</v>
      </c>
      <c r="G301" s="168" t="s">
        <v>19</v>
      </c>
      <c r="H301" s="168">
        <v>1</v>
      </c>
      <c r="I301" s="171"/>
    </row>
    <row r="302" spans="1:9" s="173" customFormat="1">
      <c r="A302" s="166">
        <v>45939</v>
      </c>
      <c r="B302" s="167">
        <f>Table134[[#This Row],[Date]]</f>
        <v>45939</v>
      </c>
      <c r="C302" s="168" t="s">
        <v>14</v>
      </c>
      <c r="D302" s="168"/>
      <c r="E302" s="180" t="s">
        <v>67</v>
      </c>
      <c r="F302" s="168" t="s">
        <v>18</v>
      </c>
      <c r="G302" s="168" t="s">
        <v>19</v>
      </c>
      <c r="H302" s="168">
        <v>1</v>
      </c>
      <c r="I302" s="171"/>
    </row>
    <row r="303" spans="1:9" s="173" customFormat="1">
      <c r="A303" s="166">
        <v>45939</v>
      </c>
      <c r="B303" s="167">
        <f>Table134[[#This Row],[Date]]</f>
        <v>45939</v>
      </c>
      <c r="C303" s="168" t="s">
        <v>16</v>
      </c>
      <c r="D303" s="168"/>
      <c r="E303" s="180" t="s">
        <v>74</v>
      </c>
      <c r="F303" s="168" t="s">
        <v>18</v>
      </c>
      <c r="G303" s="168" t="s">
        <v>19</v>
      </c>
      <c r="H303" s="168">
        <v>1</v>
      </c>
      <c r="I303" s="171"/>
    </row>
    <row r="304" spans="1:9" s="173" customFormat="1">
      <c r="A304" s="166">
        <v>45939</v>
      </c>
      <c r="B304" s="167">
        <f>Table134[[#This Row],[Date]]</f>
        <v>45939</v>
      </c>
      <c r="C304" s="168" t="s">
        <v>16</v>
      </c>
      <c r="D304" s="168"/>
      <c r="E304" s="180" t="s">
        <v>74</v>
      </c>
      <c r="F304" s="168" t="s">
        <v>21</v>
      </c>
      <c r="G304" s="168" t="s">
        <v>19</v>
      </c>
      <c r="H304" s="168">
        <v>1</v>
      </c>
      <c r="I304" s="171"/>
    </row>
    <row r="305" spans="1:9" s="173" customFormat="1">
      <c r="A305" s="166">
        <v>45939</v>
      </c>
      <c r="B305" s="167">
        <f>Table134[[#This Row],[Date]]</f>
        <v>45939</v>
      </c>
      <c r="C305" s="168" t="s">
        <v>16</v>
      </c>
      <c r="D305" s="168"/>
      <c r="E305" s="180" t="s">
        <v>74</v>
      </c>
      <c r="F305" s="168" t="s">
        <v>49</v>
      </c>
      <c r="G305" s="168" t="s">
        <v>19</v>
      </c>
      <c r="H305" s="168">
        <v>1</v>
      </c>
      <c r="I305" s="171"/>
    </row>
    <row r="306" spans="1:9" s="173" customFormat="1">
      <c r="A306" s="166">
        <v>45939</v>
      </c>
      <c r="B306" s="167">
        <f>Table134[[#This Row],[Date]]</f>
        <v>45939</v>
      </c>
      <c r="C306" s="168" t="s">
        <v>16</v>
      </c>
      <c r="D306" s="168"/>
      <c r="E306" s="180" t="s">
        <v>74</v>
      </c>
      <c r="F306" s="168" t="s">
        <v>41</v>
      </c>
      <c r="G306" s="168" t="s">
        <v>19</v>
      </c>
      <c r="H306" s="168">
        <v>1</v>
      </c>
      <c r="I306" s="171"/>
    </row>
    <row r="307" spans="1:9" s="173" customFormat="1">
      <c r="A307" s="166">
        <v>45939</v>
      </c>
      <c r="B307" s="167">
        <f>Table134[[#This Row],[Date]]</f>
        <v>45939</v>
      </c>
      <c r="C307" s="168" t="s">
        <v>23</v>
      </c>
      <c r="D307" s="168"/>
      <c r="E307" s="178" t="s">
        <v>24</v>
      </c>
      <c r="F307" s="170" t="s">
        <v>18</v>
      </c>
      <c r="G307" s="168" t="s">
        <v>19</v>
      </c>
      <c r="H307" s="168">
        <v>1</v>
      </c>
      <c r="I307" s="171"/>
    </row>
    <row r="308" spans="1:9" s="173" customFormat="1">
      <c r="A308" s="166">
        <v>45939</v>
      </c>
      <c r="B308" s="167">
        <f>Table134[[#This Row],[Date]]</f>
        <v>45939</v>
      </c>
      <c r="C308" s="168" t="s">
        <v>26</v>
      </c>
      <c r="D308" s="168"/>
      <c r="E308" s="177" t="s">
        <v>158</v>
      </c>
      <c r="F308" s="170" t="s">
        <v>18</v>
      </c>
      <c r="G308" s="168" t="s">
        <v>19</v>
      </c>
      <c r="H308" s="168">
        <v>1</v>
      </c>
      <c r="I308" s="171"/>
    </row>
    <row r="309" spans="1:9" s="173" customFormat="1">
      <c r="A309" s="166">
        <v>45939</v>
      </c>
      <c r="B309" s="167">
        <f>Table134[[#This Row],[Date]]</f>
        <v>45939</v>
      </c>
      <c r="C309" s="168" t="s">
        <v>26</v>
      </c>
      <c r="D309" s="168"/>
      <c r="E309" s="177" t="s">
        <v>158</v>
      </c>
      <c r="F309" s="170" t="s">
        <v>21</v>
      </c>
      <c r="G309" s="168" t="s">
        <v>19</v>
      </c>
      <c r="H309" s="168">
        <v>1</v>
      </c>
      <c r="I309" s="171"/>
    </row>
    <row r="310" spans="1:9" s="173" customFormat="1">
      <c r="A310" s="166">
        <v>45939</v>
      </c>
      <c r="B310" s="167">
        <f>Table134[[#This Row],[Date]]</f>
        <v>45939</v>
      </c>
      <c r="C310" s="168" t="s">
        <v>26</v>
      </c>
      <c r="D310" s="168"/>
      <c r="E310" s="177" t="s">
        <v>158</v>
      </c>
      <c r="F310" s="170" t="s">
        <v>49</v>
      </c>
      <c r="G310" s="168" t="s">
        <v>19</v>
      </c>
      <c r="H310" s="168">
        <v>1</v>
      </c>
      <c r="I310" s="171"/>
    </row>
    <row r="311" spans="1:9" s="173" customFormat="1">
      <c r="A311" s="166">
        <v>45939</v>
      </c>
      <c r="B311" s="167">
        <f>Table134[[#This Row],[Date]]</f>
        <v>45939</v>
      </c>
      <c r="C311" s="168" t="s">
        <v>26</v>
      </c>
      <c r="D311" s="168"/>
      <c r="E311" s="177" t="s">
        <v>158</v>
      </c>
      <c r="F311" s="170" t="s">
        <v>41</v>
      </c>
      <c r="G311" s="168" t="s">
        <v>19</v>
      </c>
      <c r="H311" s="168">
        <v>1</v>
      </c>
      <c r="I311" s="171"/>
    </row>
    <row r="312" spans="1:9" s="173" customFormat="1">
      <c r="A312" s="166">
        <v>45940</v>
      </c>
      <c r="B312" s="167">
        <f>Table134[[#This Row],[Date]]</f>
        <v>45940</v>
      </c>
      <c r="C312" s="168" t="s">
        <v>14</v>
      </c>
      <c r="D312" s="168"/>
      <c r="E312" s="180" t="s">
        <v>96</v>
      </c>
      <c r="F312" s="168" t="s">
        <v>18</v>
      </c>
      <c r="G312" s="168" t="s">
        <v>19</v>
      </c>
      <c r="H312" s="168">
        <v>1</v>
      </c>
      <c r="I312" s="171"/>
    </row>
    <row r="313" spans="1:9" s="173" customFormat="1">
      <c r="A313" s="166">
        <v>45940</v>
      </c>
      <c r="B313" s="167">
        <f>Table134[[#This Row],[Date]]</f>
        <v>45940</v>
      </c>
      <c r="C313" s="168" t="s">
        <v>14</v>
      </c>
      <c r="D313" s="168"/>
      <c r="E313" s="180" t="s">
        <v>97</v>
      </c>
      <c r="F313" s="168" t="s">
        <v>18</v>
      </c>
      <c r="G313" s="168" t="s">
        <v>19</v>
      </c>
      <c r="H313" s="168">
        <v>1</v>
      </c>
      <c r="I313" s="171"/>
    </row>
    <row r="314" spans="1:9" s="173" customFormat="1">
      <c r="A314" s="166">
        <v>45940</v>
      </c>
      <c r="B314" s="167">
        <f>Table134[[#This Row],[Date]]</f>
        <v>45940</v>
      </c>
      <c r="C314" s="168" t="s">
        <v>14</v>
      </c>
      <c r="D314" s="168"/>
      <c r="E314" s="183" t="s">
        <v>100</v>
      </c>
      <c r="F314" s="168" t="s">
        <v>18</v>
      </c>
      <c r="G314" s="168" t="s">
        <v>19</v>
      </c>
      <c r="H314" s="168">
        <v>1</v>
      </c>
      <c r="I314" s="171"/>
    </row>
    <row r="315" spans="1:9" s="173" customFormat="1">
      <c r="A315" s="166">
        <v>45940</v>
      </c>
      <c r="B315" s="167">
        <f>Table134[[#This Row],[Date]]</f>
        <v>45940</v>
      </c>
      <c r="C315" s="168" t="s">
        <v>16</v>
      </c>
      <c r="D315" s="168"/>
      <c r="E315" s="180" t="s">
        <v>74</v>
      </c>
      <c r="F315" s="168" t="s">
        <v>42</v>
      </c>
      <c r="G315" s="168" t="s">
        <v>19</v>
      </c>
      <c r="H315" s="168">
        <v>1</v>
      </c>
      <c r="I315" s="171"/>
    </row>
    <row r="316" spans="1:9" s="173" customFormat="1">
      <c r="A316" s="166">
        <v>45940</v>
      </c>
      <c r="B316" s="167">
        <f>Table134[[#This Row],[Date]]</f>
        <v>45940</v>
      </c>
      <c r="C316" s="168" t="s">
        <v>16</v>
      </c>
      <c r="D316" s="168"/>
      <c r="E316" s="180" t="s">
        <v>74</v>
      </c>
      <c r="F316" s="168" t="s">
        <v>47</v>
      </c>
      <c r="G316" s="168" t="s">
        <v>19</v>
      </c>
      <c r="H316" s="168">
        <v>1</v>
      </c>
      <c r="I316" s="171"/>
    </row>
    <row r="317" spans="1:9" s="173" customFormat="1">
      <c r="A317" s="166">
        <v>45940</v>
      </c>
      <c r="B317" s="167">
        <f>Table134[[#This Row],[Date]]</f>
        <v>45940</v>
      </c>
      <c r="C317" s="168" t="s">
        <v>16</v>
      </c>
      <c r="D317" s="168"/>
      <c r="E317" s="180" t="s">
        <v>74</v>
      </c>
      <c r="F317" s="168" t="s">
        <v>53</v>
      </c>
      <c r="G317" s="168" t="s">
        <v>19</v>
      </c>
      <c r="H317" s="168">
        <v>1</v>
      </c>
      <c r="I317" s="171"/>
    </row>
    <row r="318" spans="1:9" s="173" customFormat="1">
      <c r="A318" s="166">
        <v>45940</v>
      </c>
      <c r="B318" s="167">
        <f>Table134[[#This Row],[Date]]</f>
        <v>45940</v>
      </c>
      <c r="C318" s="168" t="s">
        <v>23</v>
      </c>
      <c r="D318" s="168"/>
      <c r="E318" s="180" t="s">
        <v>81</v>
      </c>
      <c r="F318" s="168" t="s">
        <v>18</v>
      </c>
      <c r="G318" s="168" t="s">
        <v>19</v>
      </c>
      <c r="H318" s="168">
        <v>1</v>
      </c>
      <c r="I318" s="171"/>
    </row>
    <row r="319" spans="1:9" s="173" customFormat="1">
      <c r="A319" s="166">
        <v>45940</v>
      </c>
      <c r="B319" s="167">
        <f>Table134[[#This Row],[Date]]</f>
        <v>45940</v>
      </c>
      <c r="C319" s="168" t="s">
        <v>23</v>
      </c>
      <c r="D319" s="168"/>
      <c r="E319" s="180" t="s">
        <v>82</v>
      </c>
      <c r="F319" s="168" t="s">
        <v>21</v>
      </c>
      <c r="G319" s="168" t="s">
        <v>19</v>
      </c>
      <c r="H319" s="168">
        <v>1</v>
      </c>
      <c r="I319" s="171"/>
    </row>
    <row r="320" spans="1:9" s="173" customFormat="1">
      <c r="A320" s="166">
        <v>45940</v>
      </c>
      <c r="B320" s="167">
        <f>Table134[[#This Row],[Date]]</f>
        <v>45940</v>
      </c>
      <c r="C320" s="168" t="s">
        <v>23</v>
      </c>
      <c r="D320" s="168"/>
      <c r="E320" s="180" t="s">
        <v>83</v>
      </c>
      <c r="F320" s="168" t="s">
        <v>18</v>
      </c>
      <c r="G320" s="168" t="s">
        <v>19</v>
      </c>
      <c r="H320" s="168">
        <v>1</v>
      </c>
      <c r="I320" s="171"/>
    </row>
    <row r="321" spans="1:9" s="173" customFormat="1">
      <c r="A321" s="166">
        <v>45940</v>
      </c>
      <c r="B321" s="167">
        <f>Table134[[#This Row],[Date]]</f>
        <v>45940</v>
      </c>
      <c r="C321" s="168" t="s">
        <v>23</v>
      </c>
      <c r="D321" s="168"/>
      <c r="E321" s="180" t="s">
        <v>68</v>
      </c>
      <c r="F321" s="168" t="s">
        <v>47</v>
      </c>
      <c r="G321" s="168" t="s">
        <v>19</v>
      </c>
      <c r="H321" s="168">
        <v>1</v>
      </c>
      <c r="I321" s="171"/>
    </row>
    <row r="322" spans="1:9" s="173" customFormat="1">
      <c r="A322" s="166">
        <v>45940</v>
      </c>
      <c r="B322" s="167">
        <f>Table134[[#This Row],[Date]]</f>
        <v>45940</v>
      </c>
      <c r="C322" s="168" t="s">
        <v>26</v>
      </c>
      <c r="D322" s="168"/>
      <c r="E322" s="177" t="s">
        <v>159</v>
      </c>
      <c r="F322" s="170" t="s">
        <v>18</v>
      </c>
      <c r="G322" s="168" t="s">
        <v>19</v>
      </c>
      <c r="H322" s="168">
        <v>1</v>
      </c>
      <c r="I322" s="171"/>
    </row>
    <row r="323" spans="1:9" s="173" customFormat="1">
      <c r="A323" s="166">
        <v>45940</v>
      </c>
      <c r="B323" s="167">
        <f>Table134[[#This Row],[Date]]</f>
        <v>45940</v>
      </c>
      <c r="C323" s="168" t="s">
        <v>26</v>
      </c>
      <c r="D323" s="168"/>
      <c r="E323" s="177" t="s">
        <v>159</v>
      </c>
      <c r="F323" s="170" t="s">
        <v>21</v>
      </c>
      <c r="G323" s="168" t="s">
        <v>19</v>
      </c>
      <c r="H323" s="168">
        <v>1</v>
      </c>
      <c r="I323" s="171"/>
    </row>
    <row r="324" spans="1:9" s="173" customFormat="1">
      <c r="A324" s="166">
        <v>45940</v>
      </c>
      <c r="B324" s="167">
        <f>Table134[[#This Row],[Date]]</f>
        <v>45940</v>
      </c>
      <c r="C324" s="168" t="s">
        <v>26</v>
      </c>
      <c r="D324" s="168"/>
      <c r="E324" s="177" t="s">
        <v>160</v>
      </c>
      <c r="F324" s="168" t="s">
        <v>18</v>
      </c>
      <c r="G324" s="168" t="s">
        <v>19</v>
      </c>
      <c r="H324" s="168">
        <v>1</v>
      </c>
      <c r="I324" s="171"/>
    </row>
    <row r="325" spans="1:9" s="173" customFormat="1">
      <c r="A325" s="166">
        <v>45940</v>
      </c>
      <c r="B325" s="167">
        <f>Table134[[#This Row],[Date]]</f>
        <v>45940</v>
      </c>
      <c r="C325" s="168" t="s">
        <v>26</v>
      </c>
      <c r="D325" s="168"/>
      <c r="E325" s="177" t="s">
        <v>160</v>
      </c>
      <c r="F325" s="168" t="s">
        <v>21</v>
      </c>
      <c r="G325" s="168" t="s">
        <v>19</v>
      </c>
      <c r="H325" s="168">
        <v>1</v>
      </c>
      <c r="I325" s="171"/>
    </row>
    <row r="326" spans="1:9" s="173" customFormat="1">
      <c r="A326" s="166">
        <v>45941</v>
      </c>
      <c r="B326" s="167">
        <f>Table134[[#This Row],[Date]]</f>
        <v>45941</v>
      </c>
      <c r="C326" s="168" t="s">
        <v>14</v>
      </c>
      <c r="D326" s="168"/>
      <c r="E326" s="180" t="s">
        <v>56</v>
      </c>
      <c r="F326" s="168" t="s">
        <v>18</v>
      </c>
      <c r="G326" s="168" t="s">
        <v>19</v>
      </c>
      <c r="H326" s="168">
        <v>1</v>
      </c>
      <c r="I326" s="171"/>
    </row>
    <row r="327" spans="1:9" s="173" customFormat="1">
      <c r="A327" s="166">
        <v>45941</v>
      </c>
      <c r="B327" s="167">
        <f>Table134[[#This Row],[Date]]</f>
        <v>45941</v>
      </c>
      <c r="C327" s="168" t="s">
        <v>14</v>
      </c>
      <c r="D327" s="168"/>
      <c r="E327" s="180" t="s">
        <v>57</v>
      </c>
      <c r="F327" s="168" t="s">
        <v>18</v>
      </c>
      <c r="G327" s="168" t="s">
        <v>19</v>
      </c>
      <c r="H327" s="168">
        <v>1</v>
      </c>
      <c r="I327" s="171"/>
    </row>
    <row r="328" spans="1:9" s="173" customFormat="1">
      <c r="A328" s="166">
        <v>45941</v>
      </c>
      <c r="B328" s="167">
        <f>Table134[[#This Row],[Date]]</f>
        <v>45941</v>
      </c>
      <c r="C328" s="168" t="s">
        <v>23</v>
      </c>
      <c r="D328" s="168"/>
      <c r="E328" s="180" t="s">
        <v>86</v>
      </c>
      <c r="F328" s="168" t="s">
        <v>18</v>
      </c>
      <c r="G328" s="168" t="s">
        <v>19</v>
      </c>
      <c r="H328" s="168">
        <v>1</v>
      </c>
      <c r="I328" s="171"/>
    </row>
    <row r="329" spans="1:9" s="173" customFormat="1">
      <c r="A329" s="166">
        <v>45941</v>
      </c>
      <c r="B329" s="167">
        <f>Table134[[#This Row],[Date]]</f>
        <v>45941</v>
      </c>
      <c r="C329" s="168" t="s">
        <v>23</v>
      </c>
      <c r="D329" s="168"/>
      <c r="E329" s="180" t="s">
        <v>86</v>
      </c>
      <c r="F329" s="168" t="s">
        <v>21</v>
      </c>
      <c r="G329" s="168" t="s">
        <v>19</v>
      </c>
      <c r="H329" s="168">
        <v>1</v>
      </c>
      <c r="I329" s="171"/>
    </row>
    <row r="330" spans="1:9" s="173" customFormat="1">
      <c r="A330" s="166">
        <v>45941</v>
      </c>
      <c r="B330" s="167">
        <f>Table134[[#This Row],[Date]]</f>
        <v>45941</v>
      </c>
      <c r="C330" s="168" t="s">
        <v>23</v>
      </c>
      <c r="D330" s="168"/>
      <c r="E330" s="180" t="s">
        <v>86</v>
      </c>
      <c r="F330" s="168" t="s">
        <v>49</v>
      </c>
      <c r="G330" s="168" t="s">
        <v>19</v>
      </c>
      <c r="H330" s="168">
        <v>1</v>
      </c>
      <c r="I330" s="171"/>
    </row>
    <row r="331" spans="1:9" s="173" customFormat="1">
      <c r="A331" s="166">
        <v>45941</v>
      </c>
      <c r="B331" s="167">
        <f>Table134[[#This Row],[Date]]</f>
        <v>45941</v>
      </c>
      <c r="C331" s="168" t="s">
        <v>4</v>
      </c>
      <c r="D331" s="168"/>
      <c r="E331" s="180" t="s">
        <v>58</v>
      </c>
      <c r="F331" s="168" t="s">
        <v>59</v>
      </c>
      <c r="G331" s="168" t="s">
        <v>60</v>
      </c>
      <c r="H331" s="168">
        <v>1</v>
      </c>
      <c r="I331" s="171"/>
    </row>
    <row r="332" spans="1:9" s="173" customFormat="1">
      <c r="A332" s="166">
        <v>45941</v>
      </c>
      <c r="B332" s="167">
        <f>Table134[[#This Row],[Date]]</f>
        <v>45941</v>
      </c>
      <c r="C332" s="168" t="s">
        <v>4</v>
      </c>
      <c r="D332" s="168"/>
      <c r="E332" s="180" t="s">
        <v>58</v>
      </c>
      <c r="F332" s="168" t="s">
        <v>61</v>
      </c>
      <c r="G332" s="168" t="s">
        <v>60</v>
      </c>
      <c r="H332" s="168">
        <v>1</v>
      </c>
      <c r="I332" s="171"/>
    </row>
    <row r="333" spans="1:9" s="173" customFormat="1">
      <c r="A333" s="166">
        <v>45941</v>
      </c>
      <c r="B333" s="167">
        <f>Table134[[#This Row],[Date]]</f>
        <v>45941</v>
      </c>
      <c r="C333" s="168" t="s">
        <v>4</v>
      </c>
      <c r="D333" s="168"/>
      <c r="E333" s="183" t="s">
        <v>87</v>
      </c>
      <c r="F333" s="168" t="s">
        <v>88</v>
      </c>
      <c r="G333" s="168" t="s">
        <v>19</v>
      </c>
      <c r="H333" s="168">
        <v>1</v>
      </c>
      <c r="I333" s="171"/>
    </row>
    <row r="334" spans="1:9" s="173" customFormat="1">
      <c r="A334" s="166">
        <v>45941</v>
      </c>
      <c r="B334" s="167">
        <f>Table134[[#This Row],[Date]]</f>
        <v>45941</v>
      </c>
      <c r="C334" s="168" t="s">
        <v>4</v>
      </c>
      <c r="D334" s="168"/>
      <c r="E334" s="183" t="s">
        <v>87</v>
      </c>
      <c r="F334" s="168" t="s">
        <v>89</v>
      </c>
      <c r="G334" s="168" t="s">
        <v>19</v>
      </c>
      <c r="H334" s="168">
        <v>1</v>
      </c>
      <c r="I334" s="171"/>
    </row>
    <row r="335" spans="1:9" s="173" customFormat="1">
      <c r="A335" s="166">
        <v>45941</v>
      </c>
      <c r="B335" s="167">
        <f>Table134[[#This Row],[Date]]</f>
        <v>45941</v>
      </c>
      <c r="C335" s="168" t="s">
        <v>4</v>
      </c>
      <c r="D335" s="168"/>
      <c r="E335" s="183" t="s">
        <v>87</v>
      </c>
      <c r="F335" s="168" t="s">
        <v>90</v>
      </c>
      <c r="G335" s="168" t="s">
        <v>19</v>
      </c>
      <c r="H335" s="168">
        <v>1</v>
      </c>
      <c r="I335" s="171"/>
    </row>
    <row r="336" spans="1:9" s="173" customFormat="1">
      <c r="A336" s="166">
        <v>45941</v>
      </c>
      <c r="B336" s="167">
        <f>Table134[[#This Row],[Date]]</f>
        <v>45941</v>
      </c>
      <c r="C336" s="168" t="s">
        <v>4</v>
      </c>
      <c r="D336" s="168"/>
      <c r="E336" s="183" t="s">
        <v>87</v>
      </c>
      <c r="F336" s="168" t="s">
        <v>91</v>
      </c>
      <c r="G336" s="168" t="s">
        <v>19</v>
      </c>
      <c r="H336" s="168">
        <v>1</v>
      </c>
      <c r="I336" s="171"/>
    </row>
    <row r="337" spans="1:9" s="173" customFormat="1" ht="28.9">
      <c r="A337" s="166">
        <v>45942</v>
      </c>
      <c r="B337" s="167">
        <f>Table134[[#This Row],[Date]]</f>
        <v>45942</v>
      </c>
      <c r="C337" s="168" t="s">
        <v>16</v>
      </c>
      <c r="D337" s="168"/>
      <c r="E337" s="180" t="s">
        <v>62</v>
      </c>
      <c r="F337" s="168" t="s">
        <v>18</v>
      </c>
      <c r="G337" s="168" t="s">
        <v>19</v>
      </c>
      <c r="H337" s="168">
        <v>1</v>
      </c>
      <c r="I337" s="171"/>
    </row>
    <row r="338" spans="1:9" s="173" customFormat="1">
      <c r="A338" s="166">
        <v>45942</v>
      </c>
      <c r="B338" s="167">
        <f>Table134[[#This Row],[Date]]</f>
        <v>45942</v>
      </c>
      <c r="C338" s="168" t="s">
        <v>16</v>
      </c>
      <c r="D338" s="168"/>
      <c r="E338" s="180" t="s">
        <v>63</v>
      </c>
      <c r="F338" s="168" t="s">
        <v>18</v>
      </c>
      <c r="G338" s="168" t="s">
        <v>19</v>
      </c>
      <c r="H338" s="168">
        <v>1</v>
      </c>
      <c r="I338" s="171"/>
    </row>
    <row r="339" spans="1:9" s="173" customFormat="1">
      <c r="A339" s="166">
        <v>45942</v>
      </c>
      <c r="B339" s="167">
        <f>Table134[[#This Row],[Date]]</f>
        <v>45942</v>
      </c>
      <c r="C339" s="168" t="s">
        <v>23</v>
      </c>
      <c r="D339" s="168"/>
      <c r="E339" s="180" t="s">
        <v>68</v>
      </c>
      <c r="F339" s="170" t="s">
        <v>18</v>
      </c>
      <c r="G339" s="168" t="s">
        <v>19</v>
      </c>
      <c r="H339" s="168">
        <v>1</v>
      </c>
      <c r="I339" s="171"/>
    </row>
    <row r="340" spans="1:9" s="173" customFormat="1">
      <c r="A340" s="166">
        <v>45942</v>
      </c>
      <c r="B340" s="167">
        <f>Table134[[#This Row],[Date]]</f>
        <v>45942</v>
      </c>
      <c r="C340" s="168" t="s">
        <v>23</v>
      </c>
      <c r="D340" s="168"/>
      <c r="E340" s="180" t="s">
        <v>68</v>
      </c>
      <c r="F340" s="170" t="s">
        <v>21</v>
      </c>
      <c r="G340" s="168" t="s">
        <v>19</v>
      </c>
      <c r="H340" s="168">
        <v>1</v>
      </c>
      <c r="I340" s="171"/>
    </row>
    <row r="341" spans="1:9" s="173" customFormat="1">
      <c r="A341" s="166">
        <v>45942</v>
      </c>
      <c r="B341" s="167">
        <f>Table134[[#This Row],[Date]]</f>
        <v>45942</v>
      </c>
      <c r="C341" s="168" t="s">
        <v>23</v>
      </c>
      <c r="D341" s="168"/>
      <c r="E341" s="180" t="s">
        <v>68</v>
      </c>
      <c r="F341" s="170" t="s">
        <v>49</v>
      </c>
      <c r="G341" s="168" t="s">
        <v>19</v>
      </c>
      <c r="H341" s="168">
        <v>1</v>
      </c>
      <c r="I341" s="171"/>
    </row>
    <row r="342" spans="1:9" s="173" customFormat="1">
      <c r="A342" s="166">
        <v>45942</v>
      </c>
      <c r="B342" s="167">
        <f>Table134[[#This Row],[Date]]</f>
        <v>45942</v>
      </c>
      <c r="C342" s="168" t="s">
        <v>23</v>
      </c>
      <c r="D342" s="168"/>
      <c r="E342" s="180" t="s">
        <v>68</v>
      </c>
      <c r="F342" s="170" t="s">
        <v>41</v>
      </c>
      <c r="G342" s="168" t="s">
        <v>19</v>
      </c>
      <c r="H342" s="168">
        <v>1</v>
      </c>
      <c r="I342" s="171"/>
    </row>
    <row r="343" spans="1:9" s="173" customFormat="1">
      <c r="A343" s="166">
        <v>45942</v>
      </c>
      <c r="B343" s="167">
        <f>Table134[[#This Row],[Date]]</f>
        <v>45942</v>
      </c>
      <c r="C343" s="168" t="s">
        <v>4</v>
      </c>
      <c r="D343" s="168"/>
      <c r="E343" s="180" t="s">
        <v>92</v>
      </c>
      <c r="F343" s="168" t="s">
        <v>93</v>
      </c>
      <c r="G343" s="168" t="s">
        <v>19</v>
      </c>
      <c r="H343" s="168">
        <v>1</v>
      </c>
      <c r="I343" s="171"/>
    </row>
    <row r="344" spans="1:9" s="173" customFormat="1">
      <c r="A344" s="166">
        <v>45942</v>
      </c>
      <c r="B344" s="167">
        <f>Table134[[#This Row],[Date]]</f>
        <v>45942</v>
      </c>
      <c r="C344" s="168" t="s">
        <v>4</v>
      </c>
      <c r="D344" s="168"/>
      <c r="E344" s="180" t="s">
        <v>92</v>
      </c>
      <c r="F344" s="168" t="s">
        <v>94</v>
      </c>
      <c r="G344" s="168" t="s">
        <v>19</v>
      </c>
      <c r="H344" s="168">
        <v>1</v>
      </c>
      <c r="I344" s="171"/>
    </row>
    <row r="345" spans="1:9" s="173" customFormat="1">
      <c r="A345" s="166">
        <v>45942</v>
      </c>
      <c r="B345" s="167">
        <f>Table134[[#This Row],[Date]]</f>
        <v>45942</v>
      </c>
      <c r="C345" s="168" t="s">
        <v>4</v>
      </c>
      <c r="D345" s="168"/>
      <c r="E345" s="180" t="s">
        <v>92</v>
      </c>
      <c r="F345" s="168" t="s">
        <v>95</v>
      </c>
      <c r="G345" s="168" t="s">
        <v>19</v>
      </c>
      <c r="H345" s="168">
        <v>1</v>
      </c>
      <c r="I345" s="171"/>
    </row>
    <row r="346" spans="1:9" s="173" customFormat="1">
      <c r="A346" s="166">
        <v>45943</v>
      </c>
      <c r="B346" s="167">
        <f>Table134[[#This Row],[Date]]</f>
        <v>45943</v>
      </c>
      <c r="C346" s="168" t="s">
        <v>14</v>
      </c>
      <c r="D346" s="168"/>
      <c r="E346" s="177" t="s">
        <v>161</v>
      </c>
      <c r="F346" s="168" t="s">
        <v>18</v>
      </c>
      <c r="G346" s="168" t="s">
        <v>19</v>
      </c>
      <c r="H346" s="168">
        <v>1</v>
      </c>
      <c r="I346" s="171"/>
    </row>
    <row r="347" spans="1:9" s="173" customFormat="1">
      <c r="A347" s="166">
        <v>45943</v>
      </c>
      <c r="B347" s="167">
        <f>Table134[[#This Row],[Date]]</f>
        <v>45943</v>
      </c>
      <c r="C347" s="168" t="s">
        <v>14</v>
      </c>
      <c r="D347" s="168"/>
      <c r="E347" s="177" t="s">
        <v>162</v>
      </c>
      <c r="F347" s="168" t="s">
        <v>18</v>
      </c>
      <c r="G347" s="168" t="s">
        <v>99</v>
      </c>
      <c r="H347" s="168">
        <v>1</v>
      </c>
      <c r="I347" s="171"/>
    </row>
    <row r="348" spans="1:9" s="173" customFormat="1">
      <c r="A348" s="166">
        <v>45943</v>
      </c>
      <c r="B348" s="167">
        <f>Table134[[#This Row],[Date]]</f>
        <v>45943</v>
      </c>
      <c r="C348" s="168" t="s">
        <v>16</v>
      </c>
      <c r="D348" s="168"/>
      <c r="E348" s="180" t="s">
        <v>101</v>
      </c>
      <c r="F348" s="170" t="s">
        <v>18</v>
      </c>
      <c r="G348" s="168" t="s">
        <v>19</v>
      </c>
      <c r="H348" s="168">
        <v>1</v>
      </c>
      <c r="I348" s="171"/>
    </row>
    <row r="349" spans="1:9" s="173" customFormat="1">
      <c r="A349" s="166">
        <v>45943</v>
      </c>
      <c r="B349" s="167">
        <f>Table134[[#This Row],[Date]]</f>
        <v>45943</v>
      </c>
      <c r="C349" s="168" t="s">
        <v>16</v>
      </c>
      <c r="D349" s="168"/>
      <c r="E349" s="180" t="s">
        <v>101</v>
      </c>
      <c r="F349" s="170" t="s">
        <v>21</v>
      </c>
      <c r="G349" s="168" t="s">
        <v>19</v>
      </c>
      <c r="H349" s="168">
        <v>1</v>
      </c>
      <c r="I349" s="171"/>
    </row>
    <row r="350" spans="1:9" s="173" customFormat="1">
      <c r="A350" s="166">
        <v>45943</v>
      </c>
      <c r="B350" s="167">
        <f>Table134[[#This Row],[Date]]</f>
        <v>45943</v>
      </c>
      <c r="C350" s="168" t="s">
        <v>16</v>
      </c>
      <c r="D350" s="168"/>
      <c r="E350" s="180" t="s">
        <v>101</v>
      </c>
      <c r="F350" s="168" t="s">
        <v>47</v>
      </c>
      <c r="G350" s="168" t="s">
        <v>19</v>
      </c>
      <c r="H350" s="168">
        <v>1</v>
      </c>
      <c r="I350" s="171"/>
    </row>
    <row r="351" spans="1:9" s="173" customFormat="1">
      <c r="A351" s="166">
        <v>45943</v>
      </c>
      <c r="B351" s="167">
        <f>Table134[[#This Row],[Date]]</f>
        <v>45943</v>
      </c>
      <c r="C351" s="168" t="s">
        <v>23</v>
      </c>
      <c r="D351" s="168"/>
      <c r="E351" s="177" t="s">
        <v>163</v>
      </c>
      <c r="F351" s="168" t="s">
        <v>18</v>
      </c>
      <c r="G351" s="168" t="s">
        <v>99</v>
      </c>
      <c r="H351" s="168">
        <v>1</v>
      </c>
      <c r="I351" s="171"/>
    </row>
    <row r="352" spans="1:9" s="173" customFormat="1">
      <c r="A352" s="166">
        <v>45943</v>
      </c>
      <c r="B352" s="167">
        <f>Table134[[#This Row],[Date]]</f>
        <v>45943</v>
      </c>
      <c r="C352" s="168" t="s">
        <v>23</v>
      </c>
      <c r="D352" s="168"/>
      <c r="E352" s="177" t="s">
        <v>164</v>
      </c>
      <c r="F352" s="168" t="s">
        <v>18</v>
      </c>
      <c r="G352" s="168" t="s">
        <v>99</v>
      </c>
      <c r="H352" s="168">
        <v>1</v>
      </c>
      <c r="I352" s="171"/>
    </row>
    <row r="353" spans="1:9" s="173" customFormat="1">
      <c r="A353" s="166">
        <v>45943</v>
      </c>
      <c r="B353" s="167">
        <f>Table134[[#This Row],[Date]]</f>
        <v>45943</v>
      </c>
      <c r="C353" s="168" t="s">
        <v>26</v>
      </c>
      <c r="D353" s="168"/>
      <c r="E353" s="177" t="s">
        <v>165</v>
      </c>
      <c r="F353" s="168" t="s">
        <v>18</v>
      </c>
      <c r="G353" s="168" t="s">
        <v>19</v>
      </c>
      <c r="H353" s="168">
        <v>1</v>
      </c>
      <c r="I353" s="171"/>
    </row>
    <row r="354" spans="1:9" s="173" customFormat="1">
      <c r="A354" s="166">
        <v>45943</v>
      </c>
      <c r="B354" s="167">
        <f>Table134[[#This Row],[Date]]</f>
        <v>45943</v>
      </c>
      <c r="C354" s="168" t="s">
        <v>26</v>
      </c>
      <c r="D354" s="168"/>
      <c r="E354" s="177" t="s">
        <v>165</v>
      </c>
      <c r="F354" s="168" t="s">
        <v>21</v>
      </c>
      <c r="G354" s="168" t="s">
        <v>19</v>
      </c>
      <c r="H354" s="168">
        <v>1</v>
      </c>
      <c r="I354" s="171"/>
    </row>
    <row r="355" spans="1:9" s="173" customFormat="1">
      <c r="A355" s="166">
        <v>45943</v>
      </c>
      <c r="B355" s="167">
        <f>Table134[[#This Row],[Date]]</f>
        <v>45943</v>
      </c>
      <c r="C355" s="168" t="s">
        <v>26</v>
      </c>
      <c r="D355" s="168"/>
      <c r="E355" s="177" t="s">
        <v>166</v>
      </c>
      <c r="F355" s="168" t="s">
        <v>18</v>
      </c>
      <c r="G355" s="168" t="s">
        <v>19</v>
      </c>
      <c r="H355" s="168">
        <v>1</v>
      </c>
      <c r="I355" s="171"/>
    </row>
    <row r="356" spans="1:9" s="173" customFormat="1">
      <c r="A356" s="166">
        <v>45943</v>
      </c>
      <c r="B356" s="167">
        <f>Table134[[#This Row],[Date]]</f>
        <v>45943</v>
      </c>
      <c r="C356" s="168" t="s">
        <v>26</v>
      </c>
      <c r="D356" s="168"/>
      <c r="E356" s="177" t="s">
        <v>166</v>
      </c>
      <c r="F356" s="168" t="s">
        <v>21</v>
      </c>
      <c r="G356" s="168" t="s">
        <v>19</v>
      </c>
      <c r="H356" s="168">
        <v>1</v>
      </c>
      <c r="I356" s="171"/>
    </row>
    <row r="357" spans="1:9" s="173" customFormat="1">
      <c r="A357" s="166">
        <v>45944</v>
      </c>
      <c r="B357" s="167">
        <f>Table134[[#This Row],[Date]]</f>
        <v>45944</v>
      </c>
      <c r="C357" s="168" t="s">
        <v>14</v>
      </c>
      <c r="D357" s="168"/>
      <c r="E357" s="180" t="s">
        <v>104</v>
      </c>
      <c r="F357" s="168" t="s">
        <v>59</v>
      </c>
      <c r="G357" s="168" t="s">
        <v>60</v>
      </c>
      <c r="H357" s="168">
        <v>1</v>
      </c>
      <c r="I357" s="171"/>
    </row>
    <row r="358" spans="1:9" s="173" customFormat="1">
      <c r="A358" s="166">
        <v>45944</v>
      </c>
      <c r="B358" s="167">
        <f>Table134[[#This Row],[Date]]</f>
        <v>45944</v>
      </c>
      <c r="C358" s="168" t="s">
        <v>14</v>
      </c>
      <c r="D358" s="168"/>
      <c r="E358" s="180" t="s">
        <v>104</v>
      </c>
      <c r="F358" s="168" t="s">
        <v>61</v>
      </c>
      <c r="G358" s="168" t="s">
        <v>60</v>
      </c>
      <c r="H358" s="168">
        <v>1</v>
      </c>
      <c r="I358" s="171"/>
    </row>
    <row r="359" spans="1:9" s="173" customFormat="1">
      <c r="A359" s="166">
        <v>45944</v>
      </c>
      <c r="B359" s="167">
        <f>Table134[[#This Row],[Date]]</f>
        <v>45944</v>
      </c>
      <c r="C359" s="168" t="s">
        <v>14</v>
      </c>
      <c r="D359" s="168"/>
      <c r="E359" s="177" t="s">
        <v>159</v>
      </c>
      <c r="F359" s="168" t="s">
        <v>18</v>
      </c>
      <c r="G359" s="168" t="s">
        <v>19</v>
      </c>
      <c r="H359" s="168">
        <v>1</v>
      </c>
      <c r="I359" s="171" t="s">
        <v>167</v>
      </c>
    </row>
    <row r="360" spans="1:9" s="173" customFormat="1">
      <c r="A360" s="166">
        <v>45944</v>
      </c>
      <c r="B360" s="167">
        <f>Table134[[#This Row],[Date]]</f>
        <v>45944</v>
      </c>
      <c r="C360" s="168" t="s">
        <v>4</v>
      </c>
      <c r="D360" s="168"/>
      <c r="E360" s="177" t="s">
        <v>32</v>
      </c>
      <c r="F360" s="168"/>
      <c r="G360" s="168"/>
      <c r="H360" s="168"/>
      <c r="I360" s="171"/>
    </row>
    <row r="361" spans="1:9" s="173" customFormat="1">
      <c r="A361" s="166">
        <v>45945</v>
      </c>
      <c r="B361" s="167">
        <f>Table134[[#This Row],[Date]]</f>
        <v>45945</v>
      </c>
      <c r="C361" s="168" t="s">
        <v>14</v>
      </c>
      <c r="D361" s="168"/>
      <c r="E361" s="177" t="s">
        <v>55</v>
      </c>
      <c r="F361" s="168" t="s">
        <v>18</v>
      </c>
      <c r="G361" s="168" t="s">
        <v>19</v>
      </c>
      <c r="H361" s="168">
        <v>1</v>
      </c>
      <c r="I361" s="171" t="s">
        <v>167</v>
      </c>
    </row>
    <row r="362" spans="1:9" s="173" customFormat="1">
      <c r="A362" s="166">
        <v>45945</v>
      </c>
      <c r="B362" s="167">
        <f>Table134[[#This Row],[Date]]</f>
        <v>45945</v>
      </c>
      <c r="C362" s="168" t="s">
        <v>14</v>
      </c>
      <c r="D362" s="168"/>
      <c r="E362" s="177" t="s">
        <v>55</v>
      </c>
      <c r="F362" s="168" t="s">
        <v>21</v>
      </c>
      <c r="G362" s="168" t="s">
        <v>19</v>
      </c>
      <c r="H362" s="168">
        <v>1</v>
      </c>
      <c r="I362" s="171" t="s">
        <v>167</v>
      </c>
    </row>
    <row r="363" spans="1:9" s="173" customFormat="1">
      <c r="A363" s="166">
        <v>45945</v>
      </c>
      <c r="B363" s="167">
        <f>Table134[[#This Row],[Date]]</f>
        <v>45945</v>
      </c>
      <c r="C363" s="168" t="s">
        <v>16</v>
      </c>
      <c r="D363" s="168"/>
      <c r="E363" s="180" t="s">
        <v>105</v>
      </c>
      <c r="F363" s="179" t="s">
        <v>18</v>
      </c>
      <c r="G363" s="168" t="s">
        <v>19</v>
      </c>
      <c r="H363" s="168">
        <v>1</v>
      </c>
      <c r="I363" s="171"/>
    </row>
    <row r="364" spans="1:9" s="173" customFormat="1">
      <c r="A364" s="166">
        <v>45945</v>
      </c>
      <c r="B364" s="167">
        <f>Table134[[#This Row],[Date]]</f>
        <v>45945</v>
      </c>
      <c r="C364" s="168" t="s">
        <v>16</v>
      </c>
      <c r="D364" s="168"/>
      <c r="E364" s="180" t="s">
        <v>105</v>
      </c>
      <c r="F364" s="179" t="s">
        <v>21</v>
      </c>
      <c r="G364" s="168" t="s">
        <v>19</v>
      </c>
      <c r="H364" s="168">
        <v>1</v>
      </c>
      <c r="I364" s="171"/>
    </row>
    <row r="365" spans="1:9" s="173" customFormat="1">
      <c r="A365" s="166">
        <v>45945</v>
      </c>
      <c r="B365" s="167">
        <f>Table134[[#This Row],[Date]]</f>
        <v>45945</v>
      </c>
      <c r="C365" s="168" t="s">
        <v>16</v>
      </c>
      <c r="D365" s="168"/>
      <c r="E365" s="180" t="s">
        <v>105</v>
      </c>
      <c r="F365" s="179" t="s">
        <v>49</v>
      </c>
      <c r="G365" s="168" t="s">
        <v>19</v>
      </c>
      <c r="H365" s="168">
        <v>1</v>
      </c>
      <c r="I365" s="171"/>
    </row>
    <row r="366" spans="1:9" s="173" customFormat="1">
      <c r="A366" s="166">
        <v>45945</v>
      </c>
      <c r="B366" s="167">
        <f>Table134[[#This Row],[Date]]</f>
        <v>45945</v>
      </c>
      <c r="C366" s="168" t="s">
        <v>23</v>
      </c>
      <c r="D366" s="168"/>
      <c r="E366" s="177" t="s">
        <v>106</v>
      </c>
      <c r="F366" s="170" t="s">
        <v>28</v>
      </c>
      <c r="G366" s="168" t="s">
        <v>19</v>
      </c>
      <c r="H366" s="168">
        <v>1</v>
      </c>
      <c r="I366" s="171"/>
    </row>
    <row r="367" spans="1:9" s="173" customFormat="1">
      <c r="A367" s="166">
        <v>45945</v>
      </c>
      <c r="B367" s="167">
        <f>Table134[[#This Row],[Date]]</f>
        <v>45945</v>
      </c>
      <c r="C367" s="168" t="s">
        <v>23</v>
      </c>
      <c r="D367" s="168"/>
      <c r="E367" s="177" t="s">
        <v>106</v>
      </c>
      <c r="F367" s="168" t="s">
        <v>107</v>
      </c>
      <c r="G367" s="168" t="s">
        <v>19</v>
      </c>
      <c r="H367" s="168">
        <v>1</v>
      </c>
      <c r="I367" s="171"/>
    </row>
    <row r="368" spans="1:9" s="173" customFormat="1">
      <c r="A368" s="166">
        <v>45945</v>
      </c>
      <c r="B368" s="167">
        <f>Table134[[#This Row],[Date]]</f>
        <v>45945</v>
      </c>
      <c r="C368" s="168" t="s">
        <v>23</v>
      </c>
      <c r="D368" s="168"/>
      <c r="E368" s="177" t="s">
        <v>106</v>
      </c>
      <c r="F368" s="170" t="s">
        <v>41</v>
      </c>
      <c r="G368" s="168" t="s">
        <v>19</v>
      </c>
      <c r="H368" s="168">
        <v>1</v>
      </c>
      <c r="I368" s="171"/>
    </row>
    <row r="369" spans="1:9" s="173" customFormat="1">
      <c r="A369" s="166">
        <v>45945</v>
      </c>
      <c r="B369" s="167">
        <f>Table134[[#This Row],[Date]]</f>
        <v>45945</v>
      </c>
      <c r="C369" s="168" t="s">
        <v>26</v>
      </c>
      <c r="D369" s="168"/>
      <c r="E369" s="177" t="s">
        <v>75</v>
      </c>
      <c r="F369" s="168" t="s">
        <v>18</v>
      </c>
      <c r="G369" s="168" t="s">
        <v>19</v>
      </c>
      <c r="H369" s="168">
        <v>1</v>
      </c>
      <c r="I369" s="171"/>
    </row>
    <row r="370" spans="1:9" s="173" customFormat="1">
      <c r="A370" s="166">
        <v>45945</v>
      </c>
      <c r="B370" s="167">
        <f>Table134[[#This Row],[Date]]</f>
        <v>45945</v>
      </c>
      <c r="C370" s="168" t="s">
        <v>26</v>
      </c>
      <c r="D370" s="168"/>
      <c r="E370" s="177" t="s">
        <v>75</v>
      </c>
      <c r="F370" s="168" t="s">
        <v>21</v>
      </c>
      <c r="G370" s="168" t="s">
        <v>19</v>
      </c>
      <c r="H370" s="168">
        <v>1</v>
      </c>
      <c r="I370" s="171"/>
    </row>
    <row r="371" spans="1:9" s="173" customFormat="1">
      <c r="A371" s="166">
        <v>45945</v>
      </c>
      <c r="B371" s="167">
        <f>Table134[[#This Row],[Date]]</f>
        <v>45945</v>
      </c>
      <c r="C371" s="168" t="s">
        <v>26</v>
      </c>
      <c r="D371" s="168"/>
      <c r="E371" s="177" t="s">
        <v>75</v>
      </c>
      <c r="F371" s="168" t="s">
        <v>28</v>
      </c>
      <c r="G371" s="168" t="s">
        <v>19</v>
      </c>
      <c r="H371" s="168">
        <v>1</v>
      </c>
      <c r="I371" s="171"/>
    </row>
    <row r="372" spans="1:9" s="173" customFormat="1">
      <c r="A372" s="166">
        <v>45946</v>
      </c>
      <c r="B372" s="167">
        <f>Table134[[#This Row],[Date]]</f>
        <v>45946</v>
      </c>
      <c r="C372" s="168" t="s">
        <v>14</v>
      </c>
      <c r="D372" s="168"/>
      <c r="E372" s="177" t="s">
        <v>166</v>
      </c>
      <c r="F372" s="168" t="s">
        <v>18</v>
      </c>
      <c r="G372" s="168" t="s">
        <v>19</v>
      </c>
      <c r="H372" s="168">
        <v>1</v>
      </c>
      <c r="I372" s="171" t="s">
        <v>167</v>
      </c>
    </row>
    <row r="373" spans="1:9" s="173" customFormat="1">
      <c r="A373" s="166">
        <v>45946</v>
      </c>
      <c r="B373" s="167">
        <f>Table134[[#This Row],[Date]]</f>
        <v>45946</v>
      </c>
      <c r="C373" s="168" t="s">
        <v>14</v>
      </c>
      <c r="D373" s="168"/>
      <c r="E373" s="177" t="s">
        <v>166</v>
      </c>
      <c r="F373" s="168" t="s">
        <v>21</v>
      </c>
      <c r="G373" s="168" t="s">
        <v>19</v>
      </c>
      <c r="H373" s="168">
        <v>1</v>
      </c>
      <c r="I373" s="171" t="s">
        <v>167</v>
      </c>
    </row>
    <row r="374" spans="1:9" s="173" customFormat="1">
      <c r="A374" s="166">
        <v>45946</v>
      </c>
      <c r="B374" s="167">
        <f>Table134[[#This Row],[Date]]</f>
        <v>45946</v>
      </c>
      <c r="C374" s="168" t="s">
        <v>16</v>
      </c>
      <c r="D374" s="168"/>
      <c r="E374" s="180" t="s">
        <v>105</v>
      </c>
      <c r="F374" s="179" t="s">
        <v>47</v>
      </c>
      <c r="G374" s="168" t="s">
        <v>19</v>
      </c>
      <c r="H374" s="168">
        <v>1</v>
      </c>
      <c r="I374" s="171"/>
    </row>
    <row r="375" spans="1:9" s="173" customFormat="1">
      <c r="A375" s="166">
        <v>45946</v>
      </c>
      <c r="B375" s="167">
        <f>Table134[[#This Row],[Date]]</f>
        <v>45946</v>
      </c>
      <c r="C375" s="168" t="s">
        <v>16</v>
      </c>
      <c r="D375" s="168"/>
      <c r="E375" s="180" t="s">
        <v>105</v>
      </c>
      <c r="F375" s="179" t="s">
        <v>53</v>
      </c>
      <c r="G375" s="168" t="s">
        <v>19</v>
      </c>
      <c r="H375" s="168">
        <v>1</v>
      </c>
      <c r="I375" s="171"/>
    </row>
    <row r="376" spans="1:9" s="173" customFormat="1">
      <c r="A376" s="166">
        <v>45946</v>
      </c>
      <c r="B376" s="167">
        <f>Table134[[#This Row],[Date]]</f>
        <v>45946</v>
      </c>
      <c r="C376" s="168" t="s">
        <v>16</v>
      </c>
      <c r="D376" s="168"/>
      <c r="E376" s="180" t="s">
        <v>105</v>
      </c>
      <c r="F376" s="179" t="s">
        <v>41</v>
      </c>
      <c r="G376" s="168" t="s">
        <v>19</v>
      </c>
      <c r="H376" s="168">
        <v>1</v>
      </c>
      <c r="I376" s="171"/>
    </row>
    <row r="377" spans="1:9" s="173" customFormat="1">
      <c r="A377" s="166">
        <v>45946</v>
      </c>
      <c r="B377" s="167">
        <f>Table134[[#This Row],[Date]]</f>
        <v>45946</v>
      </c>
      <c r="C377" s="168" t="s">
        <v>23</v>
      </c>
      <c r="D377" s="168"/>
      <c r="E377" s="180" t="s">
        <v>106</v>
      </c>
      <c r="F377" s="170" t="s">
        <v>18</v>
      </c>
      <c r="G377" s="168" t="s">
        <v>19</v>
      </c>
      <c r="H377" s="168">
        <v>1</v>
      </c>
      <c r="I377" s="171"/>
    </row>
    <row r="378" spans="1:9" s="173" customFormat="1">
      <c r="A378" s="166">
        <v>45946</v>
      </c>
      <c r="B378" s="167">
        <f>Table134[[#This Row],[Date]]</f>
        <v>45946</v>
      </c>
      <c r="C378" s="168" t="s">
        <v>23</v>
      </c>
      <c r="D378" s="168"/>
      <c r="E378" s="180" t="s">
        <v>106</v>
      </c>
      <c r="F378" s="170" t="s">
        <v>21</v>
      </c>
      <c r="G378" s="168" t="s">
        <v>19</v>
      </c>
      <c r="H378" s="168">
        <v>1</v>
      </c>
      <c r="I378" s="171"/>
    </row>
    <row r="379" spans="1:9" s="173" customFormat="1">
      <c r="A379" s="166">
        <v>45946</v>
      </c>
      <c r="B379" s="167">
        <f>Table134[[#This Row],[Date]]</f>
        <v>45946</v>
      </c>
      <c r="C379" s="168" t="s">
        <v>23</v>
      </c>
      <c r="D379" s="168"/>
      <c r="E379" s="180" t="s">
        <v>106</v>
      </c>
      <c r="F379" s="170" t="s">
        <v>49</v>
      </c>
      <c r="G379" s="168" t="s">
        <v>19</v>
      </c>
      <c r="H379" s="168">
        <v>1</v>
      </c>
      <c r="I379" s="171"/>
    </row>
    <row r="380" spans="1:9" s="173" customFormat="1">
      <c r="A380" s="166">
        <v>45946</v>
      </c>
      <c r="B380" s="167">
        <f>Table134[[#This Row],[Date]]</f>
        <v>45946</v>
      </c>
      <c r="C380" s="168" t="s">
        <v>26</v>
      </c>
      <c r="D380" s="168"/>
      <c r="E380" s="177" t="s">
        <v>78</v>
      </c>
      <c r="F380" s="168" t="s">
        <v>18</v>
      </c>
      <c r="G380" s="168" t="s">
        <v>19</v>
      </c>
      <c r="H380" s="168">
        <v>1</v>
      </c>
      <c r="I380" s="171"/>
    </row>
    <row r="381" spans="1:9" s="173" customFormat="1">
      <c r="A381" s="166">
        <v>45946</v>
      </c>
      <c r="B381" s="167">
        <f>Table134[[#This Row],[Date]]</f>
        <v>45946</v>
      </c>
      <c r="C381" s="168" t="s">
        <v>26</v>
      </c>
      <c r="D381" s="168"/>
      <c r="E381" s="177" t="s">
        <v>78</v>
      </c>
      <c r="F381" s="168" t="s">
        <v>21</v>
      </c>
      <c r="G381" s="168" t="s">
        <v>19</v>
      </c>
      <c r="H381" s="168">
        <v>1</v>
      </c>
      <c r="I381" s="171"/>
    </row>
    <row r="382" spans="1:9" s="173" customFormat="1">
      <c r="A382" s="166">
        <v>45946</v>
      </c>
      <c r="B382" s="167">
        <f>Table134[[#This Row],[Date]]</f>
        <v>45946</v>
      </c>
      <c r="C382" s="168" t="s">
        <v>26</v>
      </c>
      <c r="D382" s="168"/>
      <c r="E382" s="177" t="s">
        <v>78</v>
      </c>
      <c r="F382" s="168" t="s">
        <v>28</v>
      </c>
      <c r="G382" s="168" t="s">
        <v>19</v>
      </c>
      <c r="H382" s="168">
        <v>1</v>
      </c>
      <c r="I382" s="171"/>
    </row>
    <row r="383" spans="1:9" s="173" customFormat="1">
      <c r="A383" s="166">
        <v>45947</v>
      </c>
      <c r="B383" s="167">
        <f>Table134[[#This Row],[Date]]</f>
        <v>45947</v>
      </c>
      <c r="C383" s="168" t="s">
        <v>14</v>
      </c>
      <c r="D383" s="168"/>
      <c r="E383" s="177" t="s">
        <v>125</v>
      </c>
      <c r="F383" s="168" t="s">
        <v>18</v>
      </c>
      <c r="G383" s="168" t="s">
        <v>19</v>
      </c>
      <c r="H383" s="168">
        <v>1</v>
      </c>
      <c r="I383" s="171" t="s">
        <v>168</v>
      </c>
    </row>
    <row r="384" spans="1:9" s="173" customFormat="1">
      <c r="A384" s="166">
        <v>45947</v>
      </c>
      <c r="B384" s="167">
        <f>Table134[[#This Row],[Date]]</f>
        <v>45947</v>
      </c>
      <c r="C384" s="168" t="s">
        <v>14</v>
      </c>
      <c r="D384" s="168"/>
      <c r="E384" s="180" t="s">
        <v>111</v>
      </c>
      <c r="F384" s="168" t="s">
        <v>18</v>
      </c>
      <c r="G384" s="168" t="s">
        <v>99</v>
      </c>
      <c r="H384" s="168">
        <v>1</v>
      </c>
      <c r="I384" s="171"/>
    </row>
    <row r="385" spans="1:9" s="173" customFormat="1">
      <c r="A385" s="166">
        <v>45947</v>
      </c>
      <c r="B385" s="167">
        <f>Table134[[#This Row],[Date]]</f>
        <v>45947</v>
      </c>
      <c r="C385" s="168" t="s">
        <v>14</v>
      </c>
      <c r="D385" s="168"/>
      <c r="E385" s="180" t="s">
        <v>113</v>
      </c>
      <c r="F385" s="168" t="s">
        <v>18</v>
      </c>
      <c r="G385" s="168" t="s">
        <v>19</v>
      </c>
      <c r="H385" s="168">
        <v>1</v>
      </c>
      <c r="I385" s="171"/>
    </row>
    <row r="386" spans="1:9" s="173" customFormat="1">
      <c r="A386" s="166">
        <v>45947</v>
      </c>
      <c r="B386" s="167">
        <f>Table134[[#This Row],[Date]]</f>
        <v>45947</v>
      </c>
      <c r="C386" s="168" t="s">
        <v>16</v>
      </c>
      <c r="D386" s="168"/>
      <c r="E386" s="177" t="s">
        <v>160</v>
      </c>
      <c r="F386" s="168" t="s">
        <v>18</v>
      </c>
      <c r="G386" s="168" t="s">
        <v>19</v>
      </c>
      <c r="H386" s="168">
        <v>1</v>
      </c>
      <c r="I386" s="171" t="s">
        <v>167</v>
      </c>
    </row>
    <row r="387" spans="1:9" s="173" customFormat="1">
      <c r="A387" s="166">
        <v>45947</v>
      </c>
      <c r="B387" s="167">
        <f>Table134[[#This Row],[Date]]</f>
        <v>45947</v>
      </c>
      <c r="C387" s="168" t="s">
        <v>23</v>
      </c>
      <c r="D387" s="168"/>
      <c r="E387" s="180" t="s">
        <v>114</v>
      </c>
      <c r="F387" s="168" t="s">
        <v>18</v>
      </c>
      <c r="G387" s="168" t="s">
        <v>19</v>
      </c>
      <c r="H387" s="168">
        <v>1</v>
      </c>
      <c r="I387" s="171"/>
    </row>
    <row r="388" spans="1:9" s="173" customFormat="1">
      <c r="A388" s="166">
        <v>45947</v>
      </c>
      <c r="B388" s="167">
        <f>Table134[[#This Row],[Date]]</f>
        <v>45947</v>
      </c>
      <c r="C388" s="168" t="s">
        <v>23</v>
      </c>
      <c r="D388" s="168"/>
      <c r="E388" s="180" t="s">
        <v>114</v>
      </c>
      <c r="F388" s="168" t="s">
        <v>21</v>
      </c>
      <c r="G388" s="168" t="s">
        <v>19</v>
      </c>
      <c r="H388" s="168">
        <v>1</v>
      </c>
      <c r="I388" s="171"/>
    </row>
    <row r="389" spans="1:9" s="173" customFormat="1">
      <c r="A389" s="166">
        <v>45947</v>
      </c>
      <c r="B389" s="167">
        <f>Table134[[#This Row],[Date]]</f>
        <v>45947</v>
      </c>
      <c r="C389" s="168" t="s">
        <v>23</v>
      </c>
      <c r="D389" s="168"/>
      <c r="E389" s="177" t="s">
        <v>115</v>
      </c>
      <c r="F389" s="170" t="s">
        <v>18</v>
      </c>
      <c r="G389" s="168" t="s">
        <v>19</v>
      </c>
      <c r="H389" s="168">
        <v>1</v>
      </c>
      <c r="I389" s="171"/>
    </row>
    <row r="390" spans="1:9" s="173" customFormat="1">
      <c r="A390" s="166">
        <v>45947</v>
      </c>
      <c r="B390" s="167">
        <f>Table134[[#This Row],[Date]]</f>
        <v>45947</v>
      </c>
      <c r="C390" s="168" t="s">
        <v>26</v>
      </c>
      <c r="D390" s="168"/>
      <c r="E390" s="177" t="s">
        <v>85</v>
      </c>
      <c r="F390" s="179" t="s">
        <v>18</v>
      </c>
      <c r="G390" s="168" t="s">
        <v>19</v>
      </c>
      <c r="H390" s="168">
        <v>1</v>
      </c>
      <c r="I390" s="171"/>
    </row>
    <row r="391" spans="1:9" s="173" customFormat="1">
      <c r="A391" s="166">
        <v>45947</v>
      </c>
      <c r="B391" s="167">
        <f>Table134[[#This Row],[Date]]</f>
        <v>45947</v>
      </c>
      <c r="C391" s="168" t="s">
        <v>26</v>
      </c>
      <c r="D391" s="168"/>
      <c r="E391" s="177" t="s">
        <v>85</v>
      </c>
      <c r="F391" s="179" t="s">
        <v>21</v>
      </c>
      <c r="G391" s="168" t="s">
        <v>19</v>
      </c>
      <c r="H391" s="168">
        <v>1</v>
      </c>
      <c r="I391" s="171"/>
    </row>
    <row r="392" spans="1:9" s="173" customFormat="1">
      <c r="A392" s="166">
        <v>45948</v>
      </c>
      <c r="B392" s="167">
        <f>Table134[[#This Row],[Date]]</f>
        <v>45948</v>
      </c>
      <c r="C392" s="168" t="s">
        <v>26</v>
      </c>
      <c r="D392" s="168"/>
      <c r="E392" s="177" t="s">
        <v>102</v>
      </c>
      <c r="F392" s="170" t="s">
        <v>28</v>
      </c>
      <c r="G392" s="168" t="s">
        <v>19</v>
      </c>
      <c r="H392" s="168">
        <v>1</v>
      </c>
      <c r="I392" s="171"/>
    </row>
    <row r="393" spans="1:9" s="173" customFormat="1">
      <c r="A393" s="166">
        <v>45948</v>
      </c>
      <c r="B393" s="167">
        <f>Table134[[#This Row],[Date]]</f>
        <v>45948</v>
      </c>
      <c r="C393" s="168" t="s">
        <v>4</v>
      </c>
      <c r="D393" s="168"/>
      <c r="E393" s="180" t="s">
        <v>87</v>
      </c>
      <c r="F393" s="170" t="s">
        <v>72</v>
      </c>
      <c r="G393" s="168" t="s">
        <v>60</v>
      </c>
      <c r="H393" s="168">
        <v>1</v>
      </c>
      <c r="I393" s="171"/>
    </row>
    <row r="394" spans="1:9" s="173" customFormat="1">
      <c r="A394" s="166">
        <v>45948</v>
      </c>
      <c r="B394" s="167">
        <f>Table134[[#This Row],[Date]]</f>
        <v>45948</v>
      </c>
      <c r="C394" s="168" t="s">
        <v>4</v>
      </c>
      <c r="D394" s="168"/>
      <c r="E394" s="180" t="s">
        <v>87</v>
      </c>
      <c r="F394" s="170" t="s">
        <v>76</v>
      </c>
      <c r="G394" s="168" t="s">
        <v>60</v>
      </c>
      <c r="H394" s="168">
        <v>1</v>
      </c>
      <c r="I394" s="171"/>
    </row>
    <row r="395" spans="1:9" s="173" customFormat="1">
      <c r="A395" s="166">
        <v>45948</v>
      </c>
      <c r="B395" s="167">
        <f>Table134[[#This Row],[Date]]</f>
        <v>45948</v>
      </c>
      <c r="C395" s="168" t="s">
        <v>4</v>
      </c>
      <c r="D395" s="168"/>
      <c r="E395" s="180" t="s">
        <v>87</v>
      </c>
      <c r="F395" s="170" t="s">
        <v>28</v>
      </c>
      <c r="G395" s="168" t="s">
        <v>19</v>
      </c>
      <c r="H395" s="168">
        <v>1</v>
      </c>
      <c r="I395" s="171"/>
    </row>
    <row r="396" spans="1:9" s="173" customFormat="1">
      <c r="A396" s="166">
        <v>45948</v>
      </c>
      <c r="B396" s="167">
        <f>Table134[[#This Row],[Date]]</f>
        <v>45948</v>
      </c>
      <c r="C396" s="168" t="s">
        <v>4</v>
      </c>
      <c r="D396" s="168"/>
      <c r="E396" s="180" t="s">
        <v>87</v>
      </c>
      <c r="F396" s="170" t="s">
        <v>107</v>
      </c>
      <c r="G396" s="168" t="s">
        <v>19</v>
      </c>
      <c r="H396" s="168">
        <v>1</v>
      </c>
      <c r="I396" s="171"/>
    </row>
    <row r="397" spans="1:9" s="173" customFormat="1">
      <c r="A397" s="166">
        <v>45949</v>
      </c>
      <c r="B397" s="167">
        <f>Table134[[#This Row],[Date]]</f>
        <v>45949</v>
      </c>
      <c r="C397" s="168" t="s">
        <v>4</v>
      </c>
      <c r="D397" s="168"/>
      <c r="E397" s="180" t="s">
        <v>92</v>
      </c>
      <c r="F397" s="168" t="s">
        <v>118</v>
      </c>
      <c r="G397" s="168" t="s">
        <v>19</v>
      </c>
      <c r="H397" s="168">
        <v>1</v>
      </c>
      <c r="I397" s="171"/>
    </row>
    <row r="398" spans="1:9" s="173" customFormat="1">
      <c r="A398" s="166">
        <v>45949</v>
      </c>
      <c r="B398" s="167">
        <f>Table134[[#This Row],[Date]]</f>
        <v>45949</v>
      </c>
      <c r="C398" s="168" t="s">
        <v>4</v>
      </c>
      <c r="D398" s="168"/>
      <c r="E398" s="180" t="s">
        <v>92</v>
      </c>
      <c r="F398" s="168" t="s">
        <v>47</v>
      </c>
      <c r="G398" s="168" t="s">
        <v>19</v>
      </c>
      <c r="H398" s="168">
        <v>1</v>
      </c>
      <c r="I398" s="171"/>
    </row>
    <row r="399" spans="1:9" s="173" customFormat="1">
      <c r="A399" s="166">
        <v>45950</v>
      </c>
      <c r="B399" s="167">
        <f>Table134[[#This Row],[Date]]</f>
        <v>45950</v>
      </c>
      <c r="C399" s="168" t="s">
        <v>16</v>
      </c>
      <c r="D399" s="168"/>
      <c r="E399" s="180" t="s">
        <v>119</v>
      </c>
      <c r="F399" s="168" t="s">
        <v>47</v>
      </c>
      <c r="G399" s="168" t="s">
        <v>19</v>
      </c>
      <c r="H399" s="168">
        <v>1</v>
      </c>
      <c r="I399" s="171"/>
    </row>
    <row r="400" spans="1:9" s="173" customFormat="1">
      <c r="A400" s="166">
        <v>45950</v>
      </c>
      <c r="B400" s="167">
        <f>Table134[[#This Row],[Date]]</f>
        <v>45950</v>
      </c>
      <c r="C400" s="168" t="s">
        <v>16</v>
      </c>
      <c r="D400" s="168"/>
      <c r="E400" s="180" t="s">
        <v>119</v>
      </c>
      <c r="F400" s="168" t="s">
        <v>18</v>
      </c>
      <c r="G400" s="168" t="s">
        <v>19</v>
      </c>
      <c r="H400" s="168">
        <v>1</v>
      </c>
      <c r="I400" s="171"/>
    </row>
    <row r="401" spans="1:9" s="173" customFormat="1">
      <c r="A401" s="166">
        <v>45950</v>
      </c>
      <c r="B401" s="167">
        <f>Table134[[#This Row],[Date]]</f>
        <v>45950</v>
      </c>
      <c r="C401" s="168" t="s">
        <v>26</v>
      </c>
      <c r="D401" s="168"/>
      <c r="E401" s="177" t="s">
        <v>169</v>
      </c>
      <c r="F401" s="168" t="s">
        <v>18</v>
      </c>
      <c r="G401" s="168" t="s">
        <v>19</v>
      </c>
      <c r="H401" s="168">
        <v>1</v>
      </c>
      <c r="I401" s="171"/>
    </row>
    <row r="402" spans="1:9" s="173" customFormat="1">
      <c r="A402" s="166">
        <v>45950</v>
      </c>
      <c r="B402" s="167">
        <f>Table134[[#This Row],[Date]]</f>
        <v>45950</v>
      </c>
      <c r="C402" s="168" t="s">
        <v>26</v>
      </c>
      <c r="D402" s="168"/>
      <c r="E402" s="177" t="s">
        <v>103</v>
      </c>
      <c r="F402" s="168" t="s">
        <v>18</v>
      </c>
      <c r="G402" s="168" t="s">
        <v>19</v>
      </c>
      <c r="H402" s="168">
        <v>1</v>
      </c>
      <c r="I402" s="171"/>
    </row>
    <row r="403" spans="1:9" s="173" customFormat="1">
      <c r="A403" s="166">
        <v>45950</v>
      </c>
      <c r="B403" s="167">
        <f>Table134[[#This Row],[Date]]</f>
        <v>45950</v>
      </c>
      <c r="C403" s="168" t="s">
        <v>26</v>
      </c>
      <c r="D403" s="168"/>
      <c r="E403" s="177" t="s">
        <v>103</v>
      </c>
      <c r="F403" s="168" t="s">
        <v>21</v>
      </c>
      <c r="G403" s="168" t="s">
        <v>19</v>
      </c>
      <c r="H403" s="168">
        <v>1</v>
      </c>
      <c r="I403" s="171"/>
    </row>
    <row r="404" spans="1:9" s="173" customFormat="1">
      <c r="A404" s="166">
        <v>45950</v>
      </c>
      <c r="B404" s="167">
        <f>Table134[[#This Row],[Date]]</f>
        <v>45950</v>
      </c>
      <c r="C404" s="168"/>
      <c r="D404" s="168"/>
      <c r="E404" s="177" t="s">
        <v>170</v>
      </c>
      <c r="F404" s="168"/>
      <c r="G404" s="168"/>
      <c r="H404" s="168"/>
      <c r="I404" s="171"/>
    </row>
    <row r="405" spans="1:9" s="173" customFormat="1">
      <c r="A405" s="166">
        <v>45951</v>
      </c>
      <c r="B405" s="167">
        <f>Table134[[#This Row],[Date]]</f>
        <v>45951</v>
      </c>
      <c r="C405" s="168" t="s">
        <v>14</v>
      </c>
      <c r="D405" s="168"/>
      <c r="E405" s="180" t="s">
        <v>104</v>
      </c>
      <c r="F405" s="168" t="s">
        <v>72</v>
      </c>
      <c r="G405" s="168" t="s">
        <v>60</v>
      </c>
      <c r="H405" s="168">
        <v>1</v>
      </c>
      <c r="I405" s="171"/>
    </row>
    <row r="406" spans="1:9" s="173" customFormat="1">
      <c r="A406" s="166">
        <v>45951</v>
      </c>
      <c r="B406" s="167">
        <f>Table134[[#This Row],[Date]]</f>
        <v>45951</v>
      </c>
      <c r="C406" s="168" t="s">
        <v>14</v>
      </c>
      <c r="D406" s="168"/>
      <c r="E406" s="180" t="s">
        <v>104</v>
      </c>
      <c r="F406" s="168" t="s">
        <v>76</v>
      </c>
      <c r="G406" s="168" t="s">
        <v>60</v>
      </c>
      <c r="H406" s="168">
        <v>1</v>
      </c>
      <c r="I406" s="171"/>
    </row>
    <row r="407" spans="1:9" s="173" customFormat="1">
      <c r="A407" s="166">
        <v>45951</v>
      </c>
      <c r="B407" s="167">
        <f>Table134[[#This Row],[Date]]</f>
        <v>45951</v>
      </c>
      <c r="C407" s="168" t="s">
        <v>4</v>
      </c>
      <c r="D407" s="168"/>
      <c r="E407" s="177" t="s">
        <v>32</v>
      </c>
      <c r="F407" s="168"/>
      <c r="G407" s="168"/>
      <c r="H407" s="168"/>
      <c r="I407" s="171"/>
    </row>
    <row r="408" spans="1:9" s="173" customFormat="1">
      <c r="A408" s="166">
        <v>45952</v>
      </c>
      <c r="B408" s="167">
        <f>Table134[[#This Row],[Date]]</f>
        <v>45952</v>
      </c>
      <c r="C408" s="168" t="s">
        <v>14</v>
      </c>
      <c r="D408" s="168"/>
      <c r="E408" s="180" t="s">
        <v>124</v>
      </c>
      <c r="F408" s="168" t="s">
        <v>21</v>
      </c>
      <c r="G408" s="168" t="s">
        <v>19</v>
      </c>
      <c r="H408" s="168">
        <v>1</v>
      </c>
      <c r="I408" s="171"/>
    </row>
    <row r="409" spans="1:9" s="173" customFormat="1">
      <c r="A409" s="166">
        <v>45952</v>
      </c>
      <c r="B409" s="167">
        <f>Table134[[#This Row],[Date]]</f>
        <v>45952</v>
      </c>
      <c r="C409" s="168" t="s">
        <v>16</v>
      </c>
      <c r="D409" s="168"/>
      <c r="E409" s="180" t="s">
        <v>119</v>
      </c>
      <c r="F409" s="168" t="s">
        <v>21</v>
      </c>
      <c r="G409" s="168" t="s">
        <v>19</v>
      </c>
      <c r="H409" s="168">
        <v>1</v>
      </c>
      <c r="I409" s="171"/>
    </row>
    <row r="410" spans="1:9" s="173" customFormat="1">
      <c r="A410" s="166">
        <v>45952</v>
      </c>
      <c r="B410" s="167">
        <f>Table134[[#This Row],[Date]]</f>
        <v>45952</v>
      </c>
      <c r="C410" s="168" t="s">
        <v>26</v>
      </c>
      <c r="D410" s="168"/>
      <c r="E410" s="177" t="s">
        <v>108</v>
      </c>
      <c r="F410" s="168" t="s">
        <v>28</v>
      </c>
      <c r="G410" s="168" t="s">
        <v>19</v>
      </c>
      <c r="H410" s="168">
        <v>1</v>
      </c>
      <c r="I410" s="171"/>
    </row>
    <row r="411" spans="1:9" s="173" customFormat="1">
      <c r="A411" s="166">
        <v>45952</v>
      </c>
      <c r="B411" s="167">
        <f>Table134[[#This Row],[Date]]</f>
        <v>45952</v>
      </c>
      <c r="C411" s="168" t="s">
        <v>26</v>
      </c>
      <c r="D411" s="168"/>
      <c r="E411" s="177" t="s">
        <v>108</v>
      </c>
      <c r="F411" s="168" t="s">
        <v>107</v>
      </c>
      <c r="G411" s="168" t="s">
        <v>19</v>
      </c>
      <c r="H411" s="168">
        <v>1</v>
      </c>
      <c r="I411" s="171"/>
    </row>
    <row r="412" spans="1:9" s="173" customFormat="1">
      <c r="A412" s="166">
        <v>45952</v>
      </c>
      <c r="B412" s="167">
        <f>Table134[[#This Row],[Date]]</f>
        <v>45952</v>
      </c>
      <c r="C412" s="168" t="s">
        <v>26</v>
      </c>
      <c r="D412" s="168"/>
      <c r="E412" s="177" t="s">
        <v>108</v>
      </c>
      <c r="F412" s="168" t="s">
        <v>35</v>
      </c>
      <c r="G412" s="168" t="s">
        <v>19</v>
      </c>
      <c r="H412" s="168">
        <v>1</v>
      </c>
      <c r="I412" s="171"/>
    </row>
    <row r="413" spans="1:9" s="173" customFormat="1">
      <c r="A413" s="166">
        <v>45952</v>
      </c>
      <c r="B413" s="167">
        <f>Table134[[#This Row],[Date]]</f>
        <v>45952</v>
      </c>
      <c r="C413" s="168" t="s">
        <v>26</v>
      </c>
      <c r="D413" s="168"/>
      <c r="E413" s="177" t="s">
        <v>108</v>
      </c>
      <c r="F413" s="168" t="s">
        <v>109</v>
      </c>
      <c r="G413" s="168" t="s">
        <v>19</v>
      </c>
      <c r="H413" s="168">
        <v>1</v>
      </c>
      <c r="I413" s="171"/>
    </row>
    <row r="414" spans="1:9" s="173" customFormat="1">
      <c r="A414" s="166">
        <v>45953</v>
      </c>
      <c r="B414" s="167">
        <f>Table134[[#This Row],[Date]]</f>
        <v>45953</v>
      </c>
      <c r="C414" s="168" t="s">
        <v>14</v>
      </c>
      <c r="D414" s="168"/>
      <c r="E414" s="177" t="s">
        <v>98</v>
      </c>
      <c r="F414" s="168" t="s">
        <v>18</v>
      </c>
      <c r="G414" s="168" t="s">
        <v>99</v>
      </c>
      <c r="H414" s="168">
        <v>1</v>
      </c>
      <c r="I414" s="171"/>
    </row>
    <row r="415" spans="1:9" s="173" customFormat="1">
      <c r="A415" s="166">
        <v>45953</v>
      </c>
      <c r="B415" s="167">
        <f>Table134[[#This Row],[Date]]</f>
        <v>45953</v>
      </c>
      <c r="C415" s="168" t="s">
        <v>16</v>
      </c>
      <c r="D415" s="168"/>
      <c r="E415" s="180" t="s">
        <v>133</v>
      </c>
      <c r="F415" s="168" t="s">
        <v>21</v>
      </c>
      <c r="G415" s="168" t="s">
        <v>19</v>
      </c>
      <c r="H415" s="168">
        <v>1</v>
      </c>
      <c r="I415" s="171"/>
    </row>
    <row r="416" spans="1:9" s="173" customFormat="1">
      <c r="A416" s="166">
        <v>45953</v>
      </c>
      <c r="B416" s="167">
        <f>Table134[[#This Row],[Date]]</f>
        <v>45953</v>
      </c>
      <c r="C416" s="168" t="s">
        <v>16</v>
      </c>
      <c r="D416" s="168"/>
      <c r="E416" s="180" t="s">
        <v>134</v>
      </c>
      <c r="F416" s="168" t="s">
        <v>18</v>
      </c>
      <c r="G416" s="168" t="s">
        <v>19</v>
      </c>
      <c r="H416" s="168">
        <v>1</v>
      </c>
      <c r="I416" s="171"/>
    </row>
    <row r="417" spans="1:9" s="173" customFormat="1">
      <c r="A417" s="166">
        <v>45953</v>
      </c>
      <c r="B417" s="167">
        <f>Table134[[#This Row],[Date]]</f>
        <v>45953</v>
      </c>
      <c r="C417" s="168" t="s">
        <v>16</v>
      </c>
      <c r="D417" s="168"/>
      <c r="E417" s="180" t="s">
        <v>135</v>
      </c>
      <c r="F417" s="179" t="s">
        <v>47</v>
      </c>
      <c r="G417" s="168" t="s">
        <v>19</v>
      </c>
      <c r="H417" s="168">
        <v>1</v>
      </c>
      <c r="I417" s="171"/>
    </row>
    <row r="418" spans="1:9" s="173" customFormat="1">
      <c r="A418" s="166">
        <v>45953</v>
      </c>
      <c r="B418" s="167">
        <f>Table134[[#This Row],[Date]]</f>
        <v>45953</v>
      </c>
      <c r="C418" s="168" t="s">
        <v>16</v>
      </c>
      <c r="D418" s="168"/>
      <c r="E418" s="180" t="s">
        <v>135</v>
      </c>
      <c r="F418" s="179" t="s">
        <v>53</v>
      </c>
      <c r="G418" s="168" t="s">
        <v>19</v>
      </c>
      <c r="H418" s="168">
        <v>1</v>
      </c>
      <c r="I418" s="171"/>
    </row>
    <row r="419" spans="1:9" s="173" customFormat="1">
      <c r="A419" s="166">
        <v>45953</v>
      </c>
      <c r="B419" s="167">
        <f>Table134[[#This Row],[Date]]</f>
        <v>45953</v>
      </c>
      <c r="C419" s="168" t="s">
        <v>26</v>
      </c>
      <c r="D419" s="168"/>
      <c r="E419" s="180" t="s">
        <v>110</v>
      </c>
      <c r="F419" s="168" t="s">
        <v>18</v>
      </c>
      <c r="G419" s="168" t="s">
        <v>19</v>
      </c>
      <c r="H419" s="168">
        <v>1</v>
      </c>
      <c r="I419" s="171"/>
    </row>
    <row r="420" spans="1:9" s="173" customFormat="1">
      <c r="A420" s="166">
        <v>45953</v>
      </c>
      <c r="B420" s="167">
        <f>Table134[[#This Row],[Date]]</f>
        <v>45953</v>
      </c>
      <c r="C420" s="168" t="s">
        <v>26</v>
      </c>
      <c r="D420" s="168"/>
      <c r="E420" s="180" t="s">
        <v>110</v>
      </c>
      <c r="F420" s="168" t="s">
        <v>21</v>
      </c>
      <c r="G420" s="168" t="s">
        <v>19</v>
      </c>
      <c r="H420" s="168">
        <v>1</v>
      </c>
      <c r="I420" s="171"/>
    </row>
    <row r="421" spans="1:9" s="173" customFormat="1">
      <c r="A421" s="166">
        <v>45954</v>
      </c>
      <c r="B421" s="167">
        <f>Table134[[#This Row],[Date]]</f>
        <v>45954</v>
      </c>
      <c r="C421" s="168" t="s">
        <v>16</v>
      </c>
      <c r="D421" s="168"/>
      <c r="E421" s="180" t="s">
        <v>136</v>
      </c>
      <c r="F421" s="168" t="s">
        <v>18</v>
      </c>
      <c r="G421" s="168" t="s">
        <v>19</v>
      </c>
      <c r="H421" s="168">
        <v>1</v>
      </c>
      <c r="I421" s="171"/>
    </row>
    <row r="422" spans="1:9" s="173" customFormat="1">
      <c r="A422" s="166">
        <v>45954</v>
      </c>
      <c r="B422" s="167">
        <f>Table134[[#This Row],[Date]]</f>
        <v>45954</v>
      </c>
      <c r="C422" s="168" t="s">
        <v>16</v>
      </c>
      <c r="D422" s="168"/>
      <c r="E422" s="180" t="s">
        <v>137</v>
      </c>
      <c r="F422" s="168" t="s">
        <v>18</v>
      </c>
      <c r="G422" s="168" t="s">
        <v>19</v>
      </c>
      <c r="H422" s="168">
        <v>1</v>
      </c>
      <c r="I422" s="171"/>
    </row>
    <row r="423" spans="1:9" s="173" customFormat="1">
      <c r="A423" s="166">
        <v>45954</v>
      </c>
      <c r="B423" s="167">
        <f>Table134[[#This Row],[Date]]</f>
        <v>45954</v>
      </c>
      <c r="C423" s="168" t="s">
        <v>16</v>
      </c>
      <c r="D423" s="168"/>
      <c r="E423" s="180" t="s">
        <v>138</v>
      </c>
      <c r="F423" s="168" t="s">
        <v>18</v>
      </c>
      <c r="G423" s="168" t="s">
        <v>19</v>
      </c>
      <c r="H423" s="168">
        <v>1</v>
      </c>
      <c r="I423" s="171"/>
    </row>
    <row r="424" spans="1:9" s="173" customFormat="1">
      <c r="A424" s="166">
        <v>45954</v>
      </c>
      <c r="B424" s="167">
        <f>Table134[[#This Row],[Date]]</f>
        <v>45954</v>
      </c>
      <c r="C424" s="168" t="s">
        <v>23</v>
      </c>
      <c r="D424" s="168"/>
      <c r="E424" s="180" t="s">
        <v>139</v>
      </c>
      <c r="F424" s="168" t="s">
        <v>28</v>
      </c>
      <c r="G424" s="168" t="s">
        <v>19</v>
      </c>
      <c r="H424" s="168">
        <v>1</v>
      </c>
      <c r="I424" s="171"/>
    </row>
    <row r="425" spans="1:9" s="173" customFormat="1">
      <c r="A425" s="166">
        <v>45954</v>
      </c>
      <c r="B425" s="167">
        <f>Table134[[#This Row],[Date]]</f>
        <v>45954</v>
      </c>
      <c r="C425" s="168" t="s">
        <v>23</v>
      </c>
      <c r="D425" s="168"/>
      <c r="E425" s="180" t="s">
        <v>140</v>
      </c>
      <c r="F425" s="168" t="s">
        <v>28</v>
      </c>
      <c r="G425" s="168" t="s">
        <v>19</v>
      </c>
      <c r="H425" s="168">
        <v>1</v>
      </c>
      <c r="I425" s="171"/>
    </row>
    <row r="426" spans="1:9" s="173" customFormat="1">
      <c r="A426" s="166">
        <v>45954</v>
      </c>
      <c r="B426" s="167">
        <f>Table134[[#This Row],[Date]]</f>
        <v>45954</v>
      </c>
      <c r="C426" s="168" t="s">
        <v>23</v>
      </c>
      <c r="D426" s="168"/>
      <c r="E426" s="180" t="s">
        <v>141</v>
      </c>
      <c r="F426" s="168" t="s">
        <v>18</v>
      </c>
      <c r="G426" s="168" t="s">
        <v>19</v>
      </c>
      <c r="H426" s="168">
        <v>1</v>
      </c>
      <c r="I426" s="171"/>
    </row>
    <row r="427" spans="1:9" s="173" customFormat="1">
      <c r="A427" s="166">
        <v>45954</v>
      </c>
      <c r="B427" s="167">
        <f>Table134[[#This Row],[Date]]</f>
        <v>45954</v>
      </c>
      <c r="C427" s="168" t="s">
        <v>23</v>
      </c>
      <c r="D427" s="168"/>
      <c r="E427" s="180" t="s">
        <v>142</v>
      </c>
      <c r="F427" s="168" t="s">
        <v>18</v>
      </c>
      <c r="G427" s="168" t="s">
        <v>19</v>
      </c>
      <c r="H427" s="168">
        <v>1</v>
      </c>
      <c r="I427" s="171"/>
    </row>
    <row r="428" spans="1:9" s="173" customFormat="1">
      <c r="A428" s="166">
        <v>45954</v>
      </c>
      <c r="B428" s="167">
        <f>Table134[[#This Row],[Date]]</f>
        <v>45954</v>
      </c>
      <c r="C428" s="168" t="s">
        <v>26</v>
      </c>
      <c r="D428" s="168"/>
      <c r="E428" s="177" t="s">
        <v>123</v>
      </c>
      <c r="F428" s="168" t="s">
        <v>18</v>
      </c>
      <c r="G428" s="168" t="s">
        <v>19</v>
      </c>
      <c r="H428" s="168">
        <v>1</v>
      </c>
      <c r="I428" s="171"/>
    </row>
    <row r="429" spans="1:9" s="173" customFormat="1">
      <c r="A429" s="166">
        <v>45954</v>
      </c>
      <c r="B429" s="167">
        <f>Table134[[#This Row],[Date]]</f>
        <v>45954</v>
      </c>
      <c r="C429" s="168" t="s">
        <v>26</v>
      </c>
      <c r="D429" s="168"/>
      <c r="E429" s="177" t="s">
        <v>123</v>
      </c>
      <c r="F429" s="168" t="s">
        <v>21</v>
      </c>
      <c r="G429" s="168" t="s">
        <v>19</v>
      </c>
      <c r="H429" s="168">
        <v>1</v>
      </c>
      <c r="I429" s="171"/>
    </row>
    <row r="430" spans="1:9" s="173" customFormat="1">
      <c r="A430" s="166">
        <v>45954</v>
      </c>
      <c r="B430" s="167">
        <f>Table134[[#This Row],[Date]]</f>
        <v>45954</v>
      </c>
      <c r="C430" s="168" t="s">
        <v>26</v>
      </c>
      <c r="D430" s="168"/>
      <c r="E430" s="177" t="s">
        <v>123</v>
      </c>
      <c r="F430" s="168" t="s">
        <v>47</v>
      </c>
      <c r="G430" s="168" t="s">
        <v>19</v>
      </c>
      <c r="H430" s="168">
        <v>1</v>
      </c>
      <c r="I430" s="171"/>
    </row>
    <row r="431" spans="1:9" s="173" customFormat="1">
      <c r="A431" s="166">
        <v>45954</v>
      </c>
      <c r="B431" s="167">
        <f>Table134[[#This Row],[Date]]</f>
        <v>45954</v>
      </c>
      <c r="C431" s="168" t="s">
        <v>26</v>
      </c>
      <c r="D431" s="168"/>
      <c r="E431" s="177" t="s">
        <v>115</v>
      </c>
      <c r="F431" s="170" t="s">
        <v>18</v>
      </c>
      <c r="G431" s="168" t="s">
        <v>19</v>
      </c>
      <c r="H431" s="168">
        <v>1</v>
      </c>
      <c r="I431" s="171"/>
    </row>
    <row r="432" spans="1:9" s="173" customFormat="1">
      <c r="A432" s="166">
        <v>45955</v>
      </c>
      <c r="B432" s="167">
        <f>Table134[[#This Row],[Date]]</f>
        <v>45955</v>
      </c>
      <c r="C432" s="168" t="s">
        <v>23</v>
      </c>
      <c r="D432" s="168"/>
      <c r="E432" s="180" t="s">
        <v>143</v>
      </c>
      <c r="F432" s="168" t="s">
        <v>41</v>
      </c>
      <c r="G432" s="168" t="s">
        <v>19</v>
      </c>
      <c r="H432" s="168">
        <v>1</v>
      </c>
      <c r="I432" s="171"/>
    </row>
    <row r="433" spans="1:9" s="173" customFormat="1">
      <c r="A433" s="166">
        <v>45955</v>
      </c>
      <c r="B433" s="167">
        <f>Table134[[#This Row],[Date]]</f>
        <v>45955</v>
      </c>
      <c r="C433" s="168" t="s">
        <v>23</v>
      </c>
      <c r="D433" s="168"/>
      <c r="E433" s="180" t="s">
        <v>143</v>
      </c>
      <c r="F433" s="168" t="s">
        <v>42</v>
      </c>
      <c r="G433" s="168" t="s">
        <v>19</v>
      </c>
      <c r="H433" s="168">
        <v>1</v>
      </c>
      <c r="I433" s="171"/>
    </row>
    <row r="434" spans="1:9" s="173" customFormat="1">
      <c r="A434" s="166">
        <v>45956</v>
      </c>
      <c r="B434" s="167">
        <f>Table134[[#This Row],[Date]]</f>
        <v>45956</v>
      </c>
      <c r="C434" s="168" t="s">
        <v>14</v>
      </c>
      <c r="D434" s="168"/>
      <c r="E434" s="180" t="s">
        <v>144</v>
      </c>
      <c r="F434" s="168" t="s">
        <v>18</v>
      </c>
      <c r="G434" s="168" t="s">
        <v>19</v>
      </c>
      <c r="H434" s="168">
        <v>1</v>
      </c>
      <c r="I434" s="171"/>
    </row>
    <row r="435" spans="1:9" s="173" customFormat="1">
      <c r="A435" s="166">
        <v>45956</v>
      </c>
      <c r="B435" s="167">
        <f>Table134[[#This Row],[Date]]</f>
        <v>45956</v>
      </c>
      <c r="C435" s="168" t="s">
        <v>14</v>
      </c>
      <c r="D435" s="168"/>
      <c r="E435" s="180" t="s">
        <v>144</v>
      </c>
      <c r="F435" s="168" t="s">
        <v>21</v>
      </c>
      <c r="G435" s="168" t="s">
        <v>19</v>
      </c>
      <c r="H435" s="168">
        <v>1</v>
      </c>
      <c r="I435" s="171"/>
    </row>
    <row r="436" spans="1:9" s="173" customFormat="1">
      <c r="A436" s="166">
        <v>45957</v>
      </c>
      <c r="B436" s="167">
        <f>Table134[[#This Row],[Date]]</f>
        <v>45957</v>
      </c>
      <c r="C436" s="168" t="s">
        <v>14</v>
      </c>
      <c r="D436" s="168"/>
      <c r="E436" s="180" t="s">
        <v>130</v>
      </c>
      <c r="F436" s="168" t="s">
        <v>18</v>
      </c>
      <c r="G436" s="168" t="s">
        <v>19</v>
      </c>
      <c r="H436" s="168">
        <v>1</v>
      </c>
      <c r="I436" s="171"/>
    </row>
    <row r="437" spans="1:9" s="173" customFormat="1">
      <c r="A437" s="166">
        <v>45957</v>
      </c>
      <c r="B437" s="167">
        <f>Table134[[#This Row],[Date]]</f>
        <v>45957</v>
      </c>
      <c r="C437" s="168" t="s">
        <v>14</v>
      </c>
      <c r="D437" s="168"/>
      <c r="E437" s="180" t="s">
        <v>131</v>
      </c>
      <c r="F437" s="170" t="s">
        <v>18</v>
      </c>
      <c r="G437" s="168" t="s">
        <v>19</v>
      </c>
      <c r="H437" s="168">
        <v>1</v>
      </c>
      <c r="I437" s="171"/>
    </row>
    <row r="438" spans="1:9" s="173" customFormat="1">
      <c r="A438" s="166">
        <v>45957</v>
      </c>
      <c r="B438" s="167">
        <f>Table134[[#This Row],[Date]]</f>
        <v>45957</v>
      </c>
      <c r="C438" s="168" t="s">
        <v>16</v>
      </c>
      <c r="D438" s="168"/>
      <c r="E438" s="180" t="s">
        <v>172</v>
      </c>
      <c r="F438" s="168" t="s">
        <v>18</v>
      </c>
      <c r="G438" s="168" t="s">
        <v>19</v>
      </c>
      <c r="H438" s="168">
        <v>1</v>
      </c>
      <c r="I438" s="171"/>
    </row>
    <row r="439" spans="1:9" s="173" customFormat="1">
      <c r="A439" s="166">
        <v>45957</v>
      </c>
      <c r="B439" s="167">
        <f>Table134[[#This Row],[Date]]</f>
        <v>45957</v>
      </c>
      <c r="C439" s="168" t="s">
        <v>16</v>
      </c>
      <c r="D439" s="168"/>
      <c r="E439" s="194" t="s">
        <v>122</v>
      </c>
      <c r="F439" s="168" t="s">
        <v>18</v>
      </c>
      <c r="G439" s="168" t="s">
        <v>19</v>
      </c>
      <c r="H439" s="168">
        <v>1</v>
      </c>
      <c r="I439" s="171"/>
    </row>
    <row r="440" spans="1:9" s="173" customFormat="1">
      <c r="A440" s="166">
        <v>45957</v>
      </c>
      <c r="B440" s="167">
        <f>Table134[[#This Row],[Date]]</f>
        <v>45957</v>
      </c>
      <c r="C440" s="168" t="s">
        <v>23</v>
      </c>
      <c r="D440" s="168"/>
      <c r="E440" s="180" t="s">
        <v>146</v>
      </c>
      <c r="F440" s="168" t="s">
        <v>18</v>
      </c>
      <c r="G440" s="168" t="s">
        <v>19</v>
      </c>
      <c r="H440" s="168">
        <v>1</v>
      </c>
      <c r="I440" s="171"/>
    </row>
    <row r="441" spans="1:9" s="173" customFormat="1">
      <c r="A441" s="166">
        <v>45957</v>
      </c>
      <c r="B441" s="167">
        <f>Table134[[#This Row],[Date]]</f>
        <v>45957</v>
      </c>
      <c r="C441" s="168" t="s">
        <v>23</v>
      </c>
      <c r="D441" s="168"/>
      <c r="E441" s="180" t="s">
        <v>146</v>
      </c>
      <c r="F441" s="168" t="s">
        <v>21</v>
      </c>
      <c r="G441" s="168" t="s">
        <v>19</v>
      </c>
      <c r="H441" s="168">
        <v>1</v>
      </c>
      <c r="I441" s="171"/>
    </row>
    <row r="442" spans="1:9" s="173" customFormat="1">
      <c r="A442" s="166">
        <v>45957</v>
      </c>
      <c r="B442" s="167">
        <f>Table134[[#This Row],[Date]]</f>
        <v>45957</v>
      </c>
      <c r="C442" s="168" t="s">
        <v>23</v>
      </c>
      <c r="D442" s="168"/>
      <c r="E442" s="180" t="s">
        <v>146</v>
      </c>
      <c r="F442" s="168" t="s">
        <v>147</v>
      </c>
      <c r="G442" s="168" t="s">
        <v>19</v>
      </c>
      <c r="H442" s="168">
        <v>1</v>
      </c>
      <c r="I442" s="171"/>
    </row>
    <row r="443" spans="1:9" s="173" customFormat="1">
      <c r="A443" s="166">
        <v>45957</v>
      </c>
      <c r="B443" s="167">
        <f>Table134[[#This Row],[Date]]</f>
        <v>45957</v>
      </c>
      <c r="C443" s="168" t="s">
        <v>23</v>
      </c>
      <c r="D443" s="168"/>
      <c r="E443" s="180" t="s">
        <v>146</v>
      </c>
      <c r="F443" s="168" t="s">
        <v>148</v>
      </c>
      <c r="G443" s="168" t="s">
        <v>19</v>
      </c>
      <c r="H443" s="168">
        <v>1</v>
      </c>
      <c r="I443" s="171"/>
    </row>
    <row r="444" spans="1:9" s="173" customFormat="1">
      <c r="A444" s="166">
        <v>45957</v>
      </c>
      <c r="B444" s="167">
        <f>Table134[[#This Row],[Date]]</f>
        <v>45957</v>
      </c>
      <c r="C444" s="168" t="s">
        <v>26</v>
      </c>
      <c r="D444" s="168"/>
      <c r="E444" s="180" t="s">
        <v>128</v>
      </c>
      <c r="F444" s="168" t="s">
        <v>18</v>
      </c>
      <c r="G444" s="168" t="s">
        <v>19</v>
      </c>
      <c r="H444" s="168">
        <v>1</v>
      </c>
      <c r="I444" s="171"/>
    </row>
    <row r="445" spans="1:9" s="173" customFormat="1">
      <c r="A445" s="166">
        <v>45957</v>
      </c>
      <c r="B445" s="167">
        <f>Table134[[#This Row],[Date]]</f>
        <v>45957</v>
      </c>
      <c r="C445" s="168" t="s">
        <v>26</v>
      </c>
      <c r="D445" s="168"/>
      <c r="E445" s="180" t="s">
        <v>129</v>
      </c>
      <c r="F445" s="168" t="s">
        <v>21</v>
      </c>
      <c r="G445" s="168" t="s">
        <v>19</v>
      </c>
      <c r="H445" s="168">
        <v>1</v>
      </c>
      <c r="I445" s="171"/>
    </row>
    <row r="446" spans="1:9" s="173" customFormat="1">
      <c r="A446" s="166">
        <v>45958</v>
      </c>
      <c r="B446" s="167">
        <f>Table134[[#This Row],[Date]]</f>
        <v>45958</v>
      </c>
      <c r="C446" s="168" t="s">
        <v>14</v>
      </c>
      <c r="D446" s="168"/>
      <c r="E446" s="180" t="s">
        <v>104</v>
      </c>
      <c r="F446" s="168" t="s">
        <v>18</v>
      </c>
      <c r="G446" s="168" t="s">
        <v>19</v>
      </c>
      <c r="H446" s="168">
        <v>1</v>
      </c>
      <c r="I446" s="171"/>
    </row>
    <row r="447" spans="1:9" s="173" customFormat="1">
      <c r="A447" s="166">
        <v>45958</v>
      </c>
      <c r="B447" s="167">
        <f>Table134[[#This Row],[Date]]</f>
        <v>45958</v>
      </c>
      <c r="C447" s="168" t="s">
        <v>14</v>
      </c>
      <c r="D447" s="168"/>
      <c r="E447" s="180" t="s">
        <v>104</v>
      </c>
      <c r="F447" s="168" t="s">
        <v>21</v>
      </c>
      <c r="G447" s="168" t="s">
        <v>19</v>
      </c>
      <c r="H447" s="168">
        <v>1</v>
      </c>
      <c r="I447" s="171"/>
    </row>
    <row r="448" spans="1:9" s="173" customFormat="1">
      <c r="A448" s="166">
        <v>45958</v>
      </c>
      <c r="B448" s="167">
        <f>Table134[[#This Row],[Date]]</f>
        <v>45958</v>
      </c>
      <c r="C448" s="168" t="s">
        <v>149</v>
      </c>
      <c r="D448" s="168"/>
      <c r="E448" s="177" t="s">
        <v>150</v>
      </c>
      <c r="F448" s="168"/>
      <c r="G448" s="168"/>
      <c r="H448" s="168"/>
      <c r="I448" s="171"/>
    </row>
    <row r="449" spans="1:9" s="173" customFormat="1">
      <c r="A449" s="166">
        <v>45959</v>
      </c>
      <c r="B449" s="167">
        <f>Table134[[#This Row],[Date]]</f>
        <v>45959</v>
      </c>
      <c r="C449" s="168" t="s">
        <v>4</v>
      </c>
      <c r="D449" s="168"/>
      <c r="E449" s="180" t="s">
        <v>79</v>
      </c>
      <c r="F449" s="170" t="s">
        <v>18</v>
      </c>
      <c r="G449" s="168" t="s">
        <v>19</v>
      </c>
      <c r="H449" s="168">
        <v>1</v>
      </c>
      <c r="I449" s="171"/>
    </row>
    <row r="450" spans="1:9" s="173" customFormat="1">
      <c r="A450" s="166">
        <v>45959</v>
      </c>
      <c r="B450" s="167">
        <f>Table134[[#This Row],[Date]]</f>
        <v>45959</v>
      </c>
      <c r="C450" s="168" t="s">
        <v>4</v>
      </c>
      <c r="D450" s="168"/>
      <c r="E450" s="180" t="s">
        <v>79</v>
      </c>
      <c r="F450" s="168" t="s">
        <v>21</v>
      </c>
      <c r="G450" s="168" t="s">
        <v>19</v>
      </c>
      <c r="H450" s="168">
        <v>1</v>
      </c>
      <c r="I450" s="171"/>
    </row>
    <row r="451" spans="1:9" s="173" customFormat="1">
      <c r="A451" s="166">
        <v>45959</v>
      </c>
      <c r="B451" s="167">
        <f>Table134[[#This Row],[Date]]</f>
        <v>45959</v>
      </c>
      <c r="C451" s="168" t="s">
        <v>4</v>
      </c>
      <c r="D451" s="168"/>
      <c r="E451" s="180" t="s">
        <v>80</v>
      </c>
      <c r="F451" s="170" t="s">
        <v>18</v>
      </c>
      <c r="G451" s="168" t="s">
        <v>19</v>
      </c>
      <c r="H451" s="168">
        <v>1</v>
      </c>
      <c r="I451" s="171"/>
    </row>
    <row r="452" spans="1:9" s="173" customFormat="1">
      <c r="A452" s="166">
        <v>45959</v>
      </c>
      <c r="B452" s="167">
        <f>Table134[[#This Row],[Date]]</f>
        <v>45959</v>
      </c>
      <c r="C452" s="168" t="s">
        <v>4</v>
      </c>
      <c r="D452" s="168"/>
      <c r="E452" s="180" t="s">
        <v>80</v>
      </c>
      <c r="F452" s="168" t="s">
        <v>21</v>
      </c>
      <c r="G452" s="168" t="s">
        <v>19</v>
      </c>
      <c r="H452" s="168">
        <v>1</v>
      </c>
      <c r="I452" s="171"/>
    </row>
    <row r="453" spans="1:9" s="173" customFormat="1">
      <c r="A453" s="166">
        <v>45960</v>
      </c>
      <c r="B453" s="167">
        <f>Table134[[#This Row],[Date]]</f>
        <v>45960</v>
      </c>
      <c r="C453" s="168" t="s">
        <v>4</v>
      </c>
      <c r="D453" s="168"/>
      <c r="E453" s="180" t="s">
        <v>71</v>
      </c>
      <c r="F453" s="168" t="s">
        <v>59</v>
      </c>
      <c r="G453" s="168" t="s">
        <v>60</v>
      </c>
      <c r="H453" s="168">
        <v>1</v>
      </c>
      <c r="I453" s="171"/>
    </row>
    <row r="454" spans="1:9" s="173" customFormat="1">
      <c r="A454" s="166">
        <v>45960</v>
      </c>
      <c r="B454" s="167">
        <f>Table134[[#This Row],[Date]]</f>
        <v>45960</v>
      </c>
      <c r="C454" s="168" t="s">
        <v>4</v>
      </c>
      <c r="D454" s="168"/>
      <c r="E454" s="180" t="s">
        <v>71</v>
      </c>
      <c r="F454" s="168" t="s">
        <v>72</v>
      </c>
      <c r="G454" s="168" t="s">
        <v>60</v>
      </c>
      <c r="H454" s="168">
        <v>1</v>
      </c>
      <c r="I454" s="171"/>
    </row>
    <row r="455" spans="1:9" s="173" customFormat="1">
      <c r="A455" s="166">
        <v>45960</v>
      </c>
      <c r="B455" s="167">
        <f>Table134[[#This Row],[Date]]</f>
        <v>45960</v>
      </c>
      <c r="C455" s="168" t="s">
        <v>4</v>
      </c>
      <c r="D455" s="168"/>
      <c r="E455" s="180" t="s">
        <v>71</v>
      </c>
      <c r="F455" s="168" t="s">
        <v>73</v>
      </c>
      <c r="G455" s="168" t="s">
        <v>60</v>
      </c>
      <c r="H455" s="168">
        <v>1</v>
      </c>
      <c r="I455" s="171"/>
    </row>
    <row r="456" spans="1:9" s="173" customFormat="1">
      <c r="A456" s="166">
        <v>45961</v>
      </c>
      <c r="B456" s="167">
        <f>Table134[[#This Row],[Date]]</f>
        <v>45961</v>
      </c>
      <c r="C456" s="168" t="s">
        <v>14</v>
      </c>
      <c r="D456" s="168"/>
      <c r="E456" s="180" t="s">
        <v>145</v>
      </c>
      <c r="F456" s="168" t="s">
        <v>18</v>
      </c>
      <c r="G456" s="168" t="s">
        <v>19</v>
      </c>
      <c r="H456" s="168">
        <v>1</v>
      </c>
      <c r="I456" s="171"/>
    </row>
    <row r="457" spans="1:9" s="173" customFormat="1">
      <c r="A457" s="166">
        <v>45961</v>
      </c>
      <c r="B457" s="167">
        <f>Table134[[#This Row],[Date]]</f>
        <v>45961</v>
      </c>
      <c r="C457" s="168" t="s">
        <v>4</v>
      </c>
      <c r="D457" s="168"/>
      <c r="E457" s="180" t="s">
        <v>71</v>
      </c>
      <c r="F457" s="168" t="s">
        <v>61</v>
      </c>
      <c r="G457" s="168" t="s">
        <v>60</v>
      </c>
      <c r="H457" s="168">
        <v>1</v>
      </c>
      <c r="I457" s="171"/>
    </row>
    <row r="458" spans="1:9" s="173" customFormat="1">
      <c r="A458" s="166">
        <v>45961</v>
      </c>
      <c r="B458" s="167">
        <f>Table134[[#This Row],[Date]]</f>
        <v>45961</v>
      </c>
      <c r="C458" s="168" t="s">
        <v>4</v>
      </c>
      <c r="D458" s="168"/>
      <c r="E458" s="180" t="s">
        <v>71</v>
      </c>
      <c r="F458" s="168" t="s">
        <v>76</v>
      </c>
      <c r="G458" s="168" t="s">
        <v>60</v>
      </c>
      <c r="H458" s="168">
        <v>1</v>
      </c>
      <c r="I458" s="171"/>
    </row>
    <row r="459" spans="1:9" s="173" customFormat="1">
      <c r="A459" s="166">
        <v>45961</v>
      </c>
      <c r="B459" s="167">
        <f>Table134[[#This Row],[Date]]</f>
        <v>45961</v>
      </c>
      <c r="C459" s="168" t="s">
        <v>4</v>
      </c>
      <c r="D459" s="168"/>
      <c r="E459" s="180" t="s">
        <v>71</v>
      </c>
      <c r="F459" s="168" t="s">
        <v>77</v>
      </c>
      <c r="G459" s="168" t="s">
        <v>60</v>
      </c>
      <c r="H459" s="168">
        <v>1</v>
      </c>
      <c r="I459" s="171"/>
    </row>
    <row r="460" spans="1:9" s="173" customFormat="1">
      <c r="A460" s="166">
        <v>45962</v>
      </c>
      <c r="B460" s="167">
        <f>Table134[[#This Row],[Date]]</f>
        <v>45962</v>
      </c>
      <c r="C460" s="168" t="s">
        <v>14</v>
      </c>
      <c r="D460" s="168"/>
      <c r="E460" s="180" t="s">
        <v>56</v>
      </c>
      <c r="F460" s="168" t="s">
        <v>18</v>
      </c>
      <c r="G460" s="168" t="s">
        <v>19</v>
      </c>
      <c r="H460" s="168">
        <v>1</v>
      </c>
      <c r="I460" s="171"/>
    </row>
    <row r="461" spans="1:9" s="173" customFormat="1">
      <c r="A461" s="166">
        <v>45962</v>
      </c>
      <c r="B461" s="167">
        <f>Table134[[#This Row],[Date]]</f>
        <v>45962</v>
      </c>
      <c r="C461" s="168" t="s">
        <v>14</v>
      </c>
      <c r="D461" s="168"/>
      <c r="E461" s="180" t="s">
        <v>57</v>
      </c>
      <c r="F461" s="168" t="s">
        <v>18</v>
      </c>
      <c r="G461" s="168" t="s">
        <v>19</v>
      </c>
      <c r="H461" s="168">
        <v>1</v>
      </c>
      <c r="I461" s="171"/>
    </row>
    <row r="462" spans="1:9" s="173" customFormat="1">
      <c r="A462" s="166">
        <v>45962</v>
      </c>
      <c r="B462" s="167">
        <f>Table134[[#This Row],[Date]]</f>
        <v>45962</v>
      </c>
      <c r="C462" s="168" t="s">
        <v>4</v>
      </c>
      <c r="D462" s="168"/>
      <c r="E462" s="180" t="s">
        <v>58</v>
      </c>
      <c r="F462" s="168" t="s">
        <v>59</v>
      </c>
      <c r="G462" s="168" t="s">
        <v>60</v>
      </c>
      <c r="H462" s="168">
        <v>1</v>
      </c>
      <c r="I462" s="171"/>
    </row>
    <row r="463" spans="1:9" s="173" customFormat="1">
      <c r="A463" s="166">
        <v>45962</v>
      </c>
      <c r="B463" s="167">
        <f>Table134[[#This Row],[Date]]</f>
        <v>45962</v>
      </c>
      <c r="C463" s="168" t="s">
        <v>4</v>
      </c>
      <c r="D463" s="168"/>
      <c r="E463" s="180" t="s">
        <v>58</v>
      </c>
      <c r="F463" s="168" t="s">
        <v>61</v>
      </c>
      <c r="G463" s="168" t="s">
        <v>60</v>
      </c>
      <c r="H463" s="168">
        <v>1</v>
      </c>
      <c r="I463" s="171"/>
    </row>
    <row r="464" spans="1:9" s="173" customFormat="1">
      <c r="A464" s="166">
        <v>45962</v>
      </c>
      <c r="B464" s="167">
        <f>Table134[[#This Row],[Date]]</f>
        <v>45962</v>
      </c>
      <c r="C464" s="168" t="s">
        <v>4</v>
      </c>
      <c r="D464" s="168"/>
      <c r="E464" s="180" t="s">
        <v>58</v>
      </c>
      <c r="F464" s="170" t="s">
        <v>18</v>
      </c>
      <c r="G464" s="168" t="s">
        <v>19</v>
      </c>
      <c r="H464" s="168">
        <v>1</v>
      </c>
      <c r="I464" s="171"/>
    </row>
    <row r="465" spans="1:9" s="173" customFormat="1">
      <c r="A465" s="166">
        <v>45962</v>
      </c>
      <c r="B465" s="167">
        <f>Table134[[#This Row],[Date]]</f>
        <v>45962</v>
      </c>
      <c r="C465" s="168" t="s">
        <v>4</v>
      </c>
      <c r="D465" s="168"/>
      <c r="E465" s="180" t="s">
        <v>58</v>
      </c>
      <c r="F465" s="170" t="s">
        <v>21</v>
      </c>
      <c r="G465" s="168" t="s">
        <v>19</v>
      </c>
      <c r="H465" s="168">
        <v>1</v>
      </c>
      <c r="I465" s="171"/>
    </row>
    <row r="466" spans="1:9" s="173" customFormat="1">
      <c r="A466" s="166">
        <v>45962</v>
      </c>
      <c r="B466" s="167">
        <f>Table134[[#This Row],[Date]]</f>
        <v>45962</v>
      </c>
      <c r="C466" s="168" t="s">
        <v>4</v>
      </c>
      <c r="D466" s="168"/>
      <c r="E466" s="180" t="s">
        <v>58</v>
      </c>
      <c r="F466" s="170" t="s">
        <v>49</v>
      </c>
      <c r="G466" s="168" t="s">
        <v>19</v>
      </c>
      <c r="H466" s="168">
        <v>1</v>
      </c>
      <c r="I466" s="171"/>
    </row>
    <row r="467" spans="1:9" s="173" customFormat="1">
      <c r="A467" s="166">
        <v>45962</v>
      </c>
      <c r="B467" s="167">
        <f>Table134[[#This Row],[Date]]</f>
        <v>45962</v>
      </c>
      <c r="C467" s="168" t="s">
        <v>4</v>
      </c>
      <c r="D467" s="168"/>
      <c r="E467" s="180" t="s">
        <v>58</v>
      </c>
      <c r="F467" s="170" t="s">
        <v>41</v>
      </c>
      <c r="G467" s="168" t="s">
        <v>19</v>
      </c>
      <c r="H467" s="168">
        <v>1</v>
      </c>
      <c r="I467" s="171"/>
    </row>
    <row r="468" spans="1:9" s="173" customFormat="1" ht="28.9">
      <c r="A468" s="166">
        <v>45963</v>
      </c>
      <c r="B468" s="167">
        <f>Table134[[#This Row],[Date]]</f>
        <v>45963</v>
      </c>
      <c r="C468" s="168" t="s">
        <v>16</v>
      </c>
      <c r="D468" s="168"/>
      <c r="E468" s="180" t="s">
        <v>62</v>
      </c>
      <c r="F468" s="168" t="s">
        <v>18</v>
      </c>
      <c r="G468" s="168" t="s">
        <v>19</v>
      </c>
      <c r="H468" s="168">
        <v>1</v>
      </c>
      <c r="I468" s="171"/>
    </row>
    <row r="469" spans="1:9" s="173" customFormat="1">
      <c r="A469" s="166">
        <v>45963</v>
      </c>
      <c r="B469" s="167">
        <f>Table134[[#This Row],[Date]]</f>
        <v>45963</v>
      </c>
      <c r="C469" s="168" t="s">
        <v>16</v>
      </c>
      <c r="D469" s="168"/>
      <c r="E469" s="180" t="s">
        <v>63</v>
      </c>
      <c r="F469" s="168" t="s">
        <v>18</v>
      </c>
      <c r="G469" s="168" t="s">
        <v>19</v>
      </c>
      <c r="H469" s="168">
        <v>1</v>
      </c>
      <c r="I469" s="171"/>
    </row>
    <row r="470" spans="1:9" s="173" customFormat="1">
      <c r="A470" s="166">
        <v>45963</v>
      </c>
      <c r="B470" s="167">
        <f>Table134[[#This Row],[Date]]</f>
        <v>45963</v>
      </c>
      <c r="C470" s="168" t="s">
        <v>4</v>
      </c>
      <c r="D470" s="168"/>
      <c r="E470" s="183" t="s">
        <v>58</v>
      </c>
      <c r="F470" s="170" t="s">
        <v>42</v>
      </c>
      <c r="G470" s="168" t="s">
        <v>19</v>
      </c>
      <c r="H470" s="168">
        <v>1</v>
      </c>
      <c r="I470" s="171"/>
    </row>
    <row r="471" spans="1:9" s="173" customFormat="1">
      <c r="A471" s="166">
        <v>45963</v>
      </c>
      <c r="B471" s="167">
        <f>Table134[[#This Row],[Date]]</f>
        <v>45963</v>
      </c>
      <c r="C471" s="168" t="s">
        <v>4</v>
      </c>
      <c r="D471" s="168"/>
      <c r="E471" s="180" t="s">
        <v>58</v>
      </c>
      <c r="F471" s="168" t="s">
        <v>64</v>
      </c>
      <c r="G471" s="168" t="s">
        <v>19</v>
      </c>
      <c r="H471" s="168">
        <v>1</v>
      </c>
      <c r="I471" s="171"/>
    </row>
    <row r="472" spans="1:9" s="173" customFormat="1">
      <c r="A472" s="166">
        <v>45963</v>
      </c>
      <c r="B472" s="167">
        <f>Table134[[#This Row],[Date]]</f>
        <v>45963</v>
      </c>
      <c r="C472" s="168" t="s">
        <v>4</v>
      </c>
      <c r="D472" s="168"/>
      <c r="E472" s="177" t="s">
        <v>58</v>
      </c>
      <c r="F472" s="168" t="s">
        <v>34</v>
      </c>
      <c r="G472" s="168" t="s">
        <v>19</v>
      </c>
      <c r="H472" s="168">
        <v>1</v>
      </c>
      <c r="I472" s="171"/>
    </row>
    <row r="473" spans="1:9" s="173" customFormat="1">
      <c r="A473" s="166">
        <v>45963</v>
      </c>
      <c r="B473" s="167">
        <f>Table134[[#This Row],[Date]]</f>
        <v>45963</v>
      </c>
      <c r="C473" s="168" t="s">
        <v>4</v>
      </c>
      <c r="D473" s="168"/>
      <c r="E473" s="177" t="s">
        <v>58</v>
      </c>
      <c r="F473" s="168" t="s">
        <v>43</v>
      </c>
      <c r="G473" s="168" t="s">
        <v>19</v>
      </c>
      <c r="H473" s="168">
        <v>1</v>
      </c>
      <c r="I473" s="171"/>
    </row>
    <row r="474" spans="1:9" s="173" customFormat="1">
      <c r="A474" s="166">
        <v>45964</v>
      </c>
      <c r="B474" s="167">
        <f>Table134[[#This Row],[Date]]</f>
        <v>45964</v>
      </c>
      <c r="C474" s="168"/>
      <c r="D474" s="168"/>
      <c r="E474" s="180" t="s">
        <v>173</v>
      </c>
      <c r="F474" s="168"/>
      <c r="G474" s="168"/>
      <c r="H474" s="168"/>
      <c r="I474" s="171"/>
    </row>
    <row r="475" spans="1:9" s="173" customFormat="1">
      <c r="A475" s="166">
        <v>45965</v>
      </c>
      <c r="B475" s="167">
        <f>Table134[[#This Row],[Date]]</f>
        <v>45965</v>
      </c>
      <c r="C475" s="168"/>
      <c r="D475" s="168"/>
      <c r="E475" s="177" t="s">
        <v>174</v>
      </c>
      <c r="F475" s="168"/>
      <c r="G475" s="168"/>
      <c r="H475" s="168"/>
      <c r="I475" s="171"/>
    </row>
    <row r="476" spans="1:9" s="173" customFormat="1">
      <c r="A476" s="166">
        <v>45966</v>
      </c>
      <c r="B476" s="167">
        <f>Table134[[#This Row],[Date]]</f>
        <v>45966</v>
      </c>
      <c r="C476" s="168" t="s">
        <v>14</v>
      </c>
      <c r="D476" s="168"/>
      <c r="E476" s="178" t="s">
        <v>33</v>
      </c>
      <c r="F476" s="179" t="s">
        <v>18</v>
      </c>
      <c r="G476" s="168" t="s">
        <v>19</v>
      </c>
      <c r="H476" s="168">
        <v>1</v>
      </c>
      <c r="I476" s="171"/>
    </row>
    <row r="477" spans="1:9" s="173" customFormat="1">
      <c r="A477" s="166">
        <v>45966</v>
      </c>
      <c r="B477" s="167">
        <f>Table134[[#This Row],[Date]]</f>
        <v>45966</v>
      </c>
      <c r="C477" s="168" t="s">
        <v>14</v>
      </c>
      <c r="D477" s="168"/>
      <c r="E477" s="178" t="s">
        <v>33</v>
      </c>
      <c r="F477" s="168" t="s">
        <v>21</v>
      </c>
      <c r="G477" s="168" t="s">
        <v>19</v>
      </c>
      <c r="H477" s="168">
        <v>1</v>
      </c>
      <c r="I477" s="171"/>
    </row>
    <row r="478" spans="1:9" s="173" customFormat="1">
      <c r="A478" s="166">
        <v>45966</v>
      </c>
      <c r="B478" s="167">
        <f>Table134[[#This Row],[Date]]</f>
        <v>45966</v>
      </c>
      <c r="C478" s="168" t="s">
        <v>14</v>
      </c>
      <c r="D478" s="168"/>
      <c r="E478" s="178" t="s">
        <v>33</v>
      </c>
      <c r="F478" s="179" t="s">
        <v>34</v>
      </c>
      <c r="G478" s="168" t="s">
        <v>19</v>
      </c>
      <c r="H478" s="168">
        <v>1</v>
      </c>
      <c r="I478" s="171"/>
    </row>
    <row r="479" spans="1:9" s="173" customFormat="1">
      <c r="A479" s="166">
        <v>45966</v>
      </c>
      <c r="B479" s="167">
        <f>Table134[[#This Row],[Date]]</f>
        <v>45966</v>
      </c>
      <c r="C479" s="168" t="s">
        <v>14</v>
      </c>
      <c r="D479" s="168"/>
      <c r="E479" s="178" t="s">
        <v>33</v>
      </c>
      <c r="F479" s="179" t="s">
        <v>35</v>
      </c>
      <c r="G479" s="168" t="s">
        <v>19</v>
      </c>
      <c r="H479" s="168">
        <v>1</v>
      </c>
      <c r="I479" s="171"/>
    </row>
    <row r="480" spans="1:9" s="173" customFormat="1">
      <c r="A480" s="166">
        <v>45966</v>
      </c>
      <c r="B480" s="167">
        <f>Table134[[#This Row],[Date]]</f>
        <v>45966</v>
      </c>
      <c r="C480" s="168" t="s">
        <v>16</v>
      </c>
      <c r="D480" s="168"/>
      <c r="E480" s="177" t="s">
        <v>17</v>
      </c>
      <c r="F480" s="168" t="s">
        <v>18</v>
      </c>
      <c r="G480" s="168" t="s">
        <v>19</v>
      </c>
      <c r="H480" s="168">
        <v>1</v>
      </c>
      <c r="I480" s="171"/>
    </row>
    <row r="481" spans="1:9" s="173" customFormat="1">
      <c r="A481" s="166">
        <v>45966</v>
      </c>
      <c r="B481" s="167">
        <f>Table134[[#This Row],[Date]]</f>
        <v>45966</v>
      </c>
      <c r="C481" s="168" t="s">
        <v>16</v>
      </c>
      <c r="D481" s="168"/>
      <c r="E481" s="180" t="s">
        <v>20</v>
      </c>
      <c r="F481" s="168" t="s">
        <v>21</v>
      </c>
      <c r="G481" s="168" t="s">
        <v>19</v>
      </c>
      <c r="H481" s="168">
        <v>1</v>
      </c>
      <c r="I481" s="171"/>
    </row>
    <row r="482" spans="1:9" s="173" customFormat="1">
      <c r="A482" s="166">
        <v>45966</v>
      </c>
      <c r="B482" s="167">
        <f>Table134[[#This Row],[Date]]</f>
        <v>45966</v>
      </c>
      <c r="C482" s="168" t="s">
        <v>16</v>
      </c>
      <c r="D482" s="168"/>
      <c r="E482" s="178" t="s">
        <v>22</v>
      </c>
      <c r="F482" s="170" t="s">
        <v>21</v>
      </c>
      <c r="G482" s="168" t="s">
        <v>19</v>
      </c>
      <c r="H482" s="168">
        <v>2</v>
      </c>
      <c r="I482" s="171"/>
    </row>
    <row r="483" spans="1:9" s="173" customFormat="1">
      <c r="A483" s="166">
        <v>45966</v>
      </c>
      <c r="B483" s="167">
        <f>Table134[[#This Row],[Date]]</f>
        <v>45966</v>
      </c>
      <c r="C483" s="168" t="s">
        <v>23</v>
      </c>
      <c r="D483" s="168"/>
      <c r="E483" s="180" t="s">
        <v>36</v>
      </c>
      <c r="F483" s="168" t="s">
        <v>18</v>
      </c>
      <c r="G483" s="168" t="s">
        <v>19</v>
      </c>
      <c r="H483" s="168">
        <v>1</v>
      </c>
      <c r="I483" s="171"/>
    </row>
    <row r="484" spans="1:9" s="173" customFormat="1">
      <c r="A484" s="166">
        <v>45966</v>
      </c>
      <c r="B484" s="167">
        <f>Table134[[#This Row],[Date]]</f>
        <v>45966</v>
      </c>
      <c r="C484" s="168" t="s">
        <v>23</v>
      </c>
      <c r="D484" s="168"/>
      <c r="E484" s="180" t="s">
        <v>37</v>
      </c>
      <c r="F484" s="168" t="s">
        <v>21</v>
      </c>
      <c r="G484" s="168" t="s">
        <v>19</v>
      </c>
      <c r="H484" s="168">
        <v>2</v>
      </c>
      <c r="I484" s="171"/>
    </row>
    <row r="485" spans="1:9" s="173" customFormat="1">
      <c r="A485" s="166">
        <v>45966</v>
      </c>
      <c r="B485" s="167">
        <f>Table134[[#This Row],[Date]]</f>
        <v>45966</v>
      </c>
      <c r="C485" s="168" t="s">
        <v>23</v>
      </c>
      <c r="D485" s="168"/>
      <c r="E485" s="180" t="s">
        <v>38</v>
      </c>
      <c r="F485" s="168" t="s">
        <v>21</v>
      </c>
      <c r="G485" s="168" t="s">
        <v>19</v>
      </c>
      <c r="H485" s="168">
        <v>2</v>
      </c>
      <c r="I485" s="171"/>
    </row>
    <row r="486" spans="1:9" s="173" customFormat="1">
      <c r="A486" s="166">
        <v>45966</v>
      </c>
      <c r="B486" s="167">
        <f>Table134[[#This Row],[Date]]</f>
        <v>45966</v>
      </c>
      <c r="C486" s="168" t="s">
        <v>26</v>
      </c>
      <c r="D486" s="168"/>
      <c r="E486" s="176" t="s">
        <v>27</v>
      </c>
      <c r="F486" s="168" t="s">
        <v>18</v>
      </c>
      <c r="G486" s="168" t="s">
        <v>19</v>
      </c>
      <c r="H486" s="168">
        <v>1</v>
      </c>
      <c r="I486" s="171"/>
    </row>
    <row r="487" spans="1:9" s="173" customFormat="1">
      <c r="A487" s="166">
        <v>45966</v>
      </c>
      <c r="B487" s="167">
        <f>Table134[[#This Row],[Date]]</f>
        <v>45966</v>
      </c>
      <c r="C487" s="168" t="s">
        <v>26</v>
      </c>
      <c r="D487" s="168"/>
      <c r="E487" s="176" t="s">
        <v>27</v>
      </c>
      <c r="F487" s="168" t="s">
        <v>28</v>
      </c>
      <c r="G487" s="168" t="s">
        <v>19</v>
      </c>
      <c r="H487" s="168">
        <v>1</v>
      </c>
      <c r="I487" s="171"/>
    </row>
    <row r="488" spans="1:9" s="173" customFormat="1">
      <c r="A488" s="166">
        <v>45966</v>
      </c>
      <c r="B488" s="167">
        <f>Table134[[#This Row],[Date]]</f>
        <v>45966</v>
      </c>
      <c r="C488" s="168" t="s">
        <v>26</v>
      </c>
      <c r="D488" s="168"/>
      <c r="E488" s="176" t="s">
        <v>29</v>
      </c>
      <c r="F488" s="168" t="s">
        <v>18</v>
      </c>
      <c r="G488" s="168" t="s">
        <v>19</v>
      </c>
      <c r="H488" s="168">
        <v>1</v>
      </c>
      <c r="I488" s="171"/>
    </row>
    <row r="489" spans="1:9" s="173" customFormat="1">
      <c r="A489" s="166">
        <v>45966</v>
      </c>
      <c r="B489" s="167">
        <f>Table134[[#This Row],[Date]]</f>
        <v>45966</v>
      </c>
      <c r="C489" s="168" t="s">
        <v>26</v>
      </c>
      <c r="D489" s="168"/>
      <c r="E489" s="176" t="s">
        <v>29</v>
      </c>
      <c r="F489" s="168" t="s">
        <v>28</v>
      </c>
      <c r="G489" s="168" t="s">
        <v>19</v>
      </c>
      <c r="H489" s="168">
        <v>1</v>
      </c>
      <c r="I489" s="171"/>
    </row>
    <row r="490" spans="1:9" s="173" customFormat="1">
      <c r="A490" s="166">
        <v>45967</v>
      </c>
      <c r="B490" s="167">
        <f>Table134[[#This Row],[Date]]</f>
        <v>45967</v>
      </c>
      <c r="C490" s="168" t="s">
        <v>14</v>
      </c>
      <c r="D490" s="168"/>
      <c r="E490" s="178" t="s">
        <v>33</v>
      </c>
      <c r="F490" s="170" t="s">
        <v>41</v>
      </c>
      <c r="G490" s="168" t="s">
        <v>19</v>
      </c>
      <c r="H490" s="168">
        <v>1</v>
      </c>
      <c r="I490" s="171"/>
    </row>
    <row r="491" spans="1:9" s="173" customFormat="1">
      <c r="A491" s="166">
        <v>45967</v>
      </c>
      <c r="B491" s="167">
        <f>Table134[[#This Row],[Date]]</f>
        <v>45967</v>
      </c>
      <c r="C491" s="168" t="s">
        <v>14</v>
      </c>
      <c r="D491" s="168"/>
      <c r="E491" s="178" t="s">
        <v>33</v>
      </c>
      <c r="F491" s="168" t="s">
        <v>42</v>
      </c>
      <c r="G491" s="168" t="s">
        <v>19</v>
      </c>
      <c r="H491" s="168">
        <v>1</v>
      </c>
      <c r="I491" s="171"/>
    </row>
    <row r="492" spans="1:9" s="173" customFormat="1">
      <c r="A492" s="166">
        <v>45967</v>
      </c>
      <c r="B492" s="167">
        <f>Table134[[#This Row],[Date]]</f>
        <v>45967</v>
      </c>
      <c r="C492" s="168" t="s">
        <v>14</v>
      </c>
      <c r="D492" s="168"/>
      <c r="E492" s="178" t="s">
        <v>33</v>
      </c>
      <c r="F492" s="168" t="s">
        <v>43</v>
      </c>
      <c r="G492" s="168" t="s">
        <v>19</v>
      </c>
      <c r="H492" s="168">
        <v>1</v>
      </c>
      <c r="I492" s="171"/>
    </row>
    <row r="493" spans="1:9" s="173" customFormat="1">
      <c r="A493" s="166">
        <v>45967</v>
      </c>
      <c r="B493" s="167">
        <f>Table134[[#This Row],[Date]]</f>
        <v>45967</v>
      </c>
      <c r="C493" s="168" t="s">
        <v>14</v>
      </c>
      <c r="D493" s="168"/>
      <c r="E493" s="178" t="s">
        <v>33</v>
      </c>
      <c r="F493" s="170" t="s">
        <v>44</v>
      </c>
      <c r="G493" s="168" t="s">
        <v>19</v>
      </c>
      <c r="H493" s="168">
        <v>1</v>
      </c>
      <c r="I493" s="171"/>
    </row>
    <row r="494" spans="1:9" s="173" customFormat="1">
      <c r="A494" s="166">
        <v>45967</v>
      </c>
      <c r="B494" s="167">
        <f>Table134[[#This Row],[Date]]</f>
        <v>45967</v>
      </c>
      <c r="C494" s="168" t="s">
        <v>14</v>
      </c>
      <c r="D494" s="168"/>
      <c r="E494" s="178" t="s">
        <v>33</v>
      </c>
      <c r="F494" s="170" t="s">
        <v>45</v>
      </c>
      <c r="G494" s="168" t="s">
        <v>19</v>
      </c>
      <c r="H494" s="168">
        <v>1</v>
      </c>
      <c r="I494" s="171"/>
    </row>
    <row r="495" spans="1:9" s="173" customFormat="1">
      <c r="A495" s="166">
        <v>45967</v>
      </c>
      <c r="B495" s="167">
        <f>Table134[[#This Row],[Date]]</f>
        <v>45967</v>
      </c>
      <c r="C495" s="168" t="s">
        <v>16</v>
      </c>
      <c r="D495" s="168"/>
      <c r="E495" s="180" t="s">
        <v>46</v>
      </c>
      <c r="F495" s="170" t="s">
        <v>18</v>
      </c>
      <c r="G495" s="168" t="s">
        <v>19</v>
      </c>
      <c r="H495" s="168">
        <v>1</v>
      </c>
      <c r="I495" s="171"/>
    </row>
    <row r="496" spans="1:9" s="173" customFormat="1">
      <c r="A496" s="166">
        <v>45967</v>
      </c>
      <c r="B496" s="167">
        <f>Table134[[#This Row],[Date]]</f>
        <v>45967</v>
      </c>
      <c r="C496" s="168" t="s">
        <v>16</v>
      </c>
      <c r="D496" s="168"/>
      <c r="E496" s="180" t="s">
        <v>46</v>
      </c>
      <c r="F496" s="170" t="s">
        <v>21</v>
      </c>
      <c r="G496" s="168" t="s">
        <v>19</v>
      </c>
      <c r="H496" s="168">
        <v>1</v>
      </c>
      <c r="I496" s="171"/>
    </row>
    <row r="497" spans="1:9" s="173" customFormat="1">
      <c r="A497" s="166">
        <v>45967</v>
      </c>
      <c r="B497" s="167">
        <f>Table134[[#This Row],[Date]]</f>
        <v>45967</v>
      </c>
      <c r="C497" s="168" t="s">
        <v>16</v>
      </c>
      <c r="D497" s="168"/>
      <c r="E497" s="180" t="s">
        <v>46</v>
      </c>
      <c r="F497" s="170" t="s">
        <v>47</v>
      </c>
      <c r="G497" s="168" t="s">
        <v>19</v>
      </c>
      <c r="H497" s="168">
        <v>1</v>
      </c>
      <c r="I497" s="171"/>
    </row>
    <row r="498" spans="1:9" s="173" customFormat="1">
      <c r="A498" s="166">
        <v>45967</v>
      </c>
      <c r="B498" s="167">
        <f>Table134[[#This Row],[Date]]</f>
        <v>45967</v>
      </c>
      <c r="C498" s="168" t="s">
        <v>23</v>
      </c>
      <c r="D498" s="168"/>
      <c r="E498" s="178" t="s">
        <v>24</v>
      </c>
      <c r="F498" s="170" t="s">
        <v>18</v>
      </c>
      <c r="G498" s="168" t="s">
        <v>19</v>
      </c>
      <c r="H498" s="168">
        <v>1</v>
      </c>
      <c r="I498" s="171"/>
    </row>
    <row r="499" spans="1:9" s="173" customFormat="1">
      <c r="A499" s="166">
        <v>45967</v>
      </c>
      <c r="B499" s="167">
        <f>Table134[[#This Row],[Date]]</f>
        <v>45967</v>
      </c>
      <c r="C499" s="168" t="s">
        <v>23</v>
      </c>
      <c r="D499" s="168"/>
      <c r="E499" s="178" t="s">
        <v>25</v>
      </c>
      <c r="F499" s="170" t="s">
        <v>18</v>
      </c>
      <c r="G499" s="168" t="s">
        <v>19</v>
      </c>
      <c r="H499" s="168">
        <v>1</v>
      </c>
      <c r="I499" s="171"/>
    </row>
    <row r="500" spans="1:9" s="173" customFormat="1">
      <c r="A500" s="166">
        <v>45967</v>
      </c>
      <c r="B500" s="167">
        <f>Table134[[#This Row],[Date]]</f>
        <v>45967</v>
      </c>
      <c r="C500" s="168" t="s">
        <v>23</v>
      </c>
      <c r="D500" s="168"/>
      <c r="E500" s="178" t="s">
        <v>25</v>
      </c>
      <c r="F500" s="170" t="s">
        <v>21</v>
      </c>
      <c r="G500" s="168" t="s">
        <v>19</v>
      </c>
      <c r="H500" s="168">
        <v>1</v>
      </c>
      <c r="I500" s="171"/>
    </row>
    <row r="501" spans="1:9" s="173" customFormat="1">
      <c r="A501" s="166">
        <v>45967</v>
      </c>
      <c r="B501" s="167">
        <f>Table134[[#This Row],[Date]]</f>
        <v>45967</v>
      </c>
      <c r="C501" s="168" t="s">
        <v>26</v>
      </c>
      <c r="D501" s="168"/>
      <c r="E501" s="176" t="s">
        <v>30</v>
      </c>
      <c r="F501" s="168" t="s">
        <v>18</v>
      </c>
      <c r="G501" s="168" t="s">
        <v>19</v>
      </c>
      <c r="H501" s="168">
        <v>1</v>
      </c>
      <c r="I501" s="171"/>
    </row>
    <row r="502" spans="1:9" s="173" customFormat="1">
      <c r="A502" s="166">
        <v>45967</v>
      </c>
      <c r="B502" s="167">
        <f>Table134[[#This Row],[Date]]</f>
        <v>45967</v>
      </c>
      <c r="C502" s="168" t="s">
        <v>26</v>
      </c>
      <c r="D502" s="168"/>
      <c r="E502" s="176" t="s">
        <v>30</v>
      </c>
      <c r="F502" s="168" t="s">
        <v>28</v>
      </c>
      <c r="G502" s="168" t="s">
        <v>19</v>
      </c>
      <c r="H502" s="168">
        <v>1</v>
      </c>
      <c r="I502" s="171"/>
    </row>
    <row r="503" spans="1:9" s="173" customFormat="1">
      <c r="A503" s="166">
        <v>45967</v>
      </c>
      <c r="B503" s="167">
        <f>Table134[[#This Row],[Date]]</f>
        <v>45967</v>
      </c>
      <c r="C503" s="168" t="s">
        <v>26</v>
      </c>
      <c r="D503" s="168"/>
      <c r="E503" s="176" t="s">
        <v>31</v>
      </c>
      <c r="F503" s="168" t="s">
        <v>18</v>
      </c>
      <c r="G503" s="168" t="s">
        <v>19</v>
      </c>
      <c r="H503" s="168">
        <v>1</v>
      </c>
      <c r="I503" s="171"/>
    </row>
    <row r="504" spans="1:9" s="173" customFormat="1">
      <c r="A504" s="166">
        <v>45967</v>
      </c>
      <c r="B504" s="167">
        <f>Table134[[#This Row],[Date]]</f>
        <v>45967</v>
      </c>
      <c r="C504" s="168" t="s">
        <v>26</v>
      </c>
      <c r="D504" s="168"/>
      <c r="E504" s="176" t="s">
        <v>31</v>
      </c>
      <c r="F504" s="168" t="s">
        <v>28</v>
      </c>
      <c r="G504" s="168" t="s">
        <v>19</v>
      </c>
      <c r="H504" s="168">
        <v>1</v>
      </c>
      <c r="I504" s="171"/>
    </row>
    <row r="505" spans="1:9" s="173" customFormat="1">
      <c r="A505" s="166">
        <v>45968</v>
      </c>
      <c r="B505" s="167">
        <f>Table134[[#This Row],[Date]]</f>
        <v>45968</v>
      </c>
      <c r="C505" s="168" t="s">
        <v>16</v>
      </c>
      <c r="D505" s="168"/>
      <c r="E505" s="181" t="s">
        <v>50</v>
      </c>
      <c r="F505" s="170" t="s">
        <v>47</v>
      </c>
      <c r="G505" s="168" t="s">
        <v>19</v>
      </c>
      <c r="H505" s="168">
        <v>1</v>
      </c>
      <c r="I505" s="171"/>
    </row>
    <row r="506" spans="1:9" s="173" customFormat="1">
      <c r="A506" s="166">
        <v>45968</v>
      </c>
      <c r="B506" s="167">
        <f>Table134[[#This Row],[Date]]</f>
        <v>45968</v>
      </c>
      <c r="C506" s="168" t="s">
        <v>16</v>
      </c>
      <c r="D506" s="168"/>
      <c r="E506" s="181" t="s">
        <v>50</v>
      </c>
      <c r="F506" s="170" t="s">
        <v>18</v>
      </c>
      <c r="G506" s="168" t="s">
        <v>19</v>
      </c>
      <c r="H506" s="168">
        <v>1</v>
      </c>
      <c r="I506" s="171"/>
    </row>
    <row r="507" spans="1:9" s="173" customFormat="1">
      <c r="A507" s="166">
        <v>45968</v>
      </c>
      <c r="B507" s="167">
        <f>Table134[[#This Row],[Date]]</f>
        <v>45968</v>
      </c>
      <c r="C507" s="168" t="s">
        <v>16</v>
      </c>
      <c r="D507" s="168"/>
      <c r="E507" s="181" t="s">
        <v>50</v>
      </c>
      <c r="F507" s="170" t="s">
        <v>21</v>
      </c>
      <c r="G507" s="168" t="s">
        <v>19</v>
      </c>
      <c r="H507" s="168">
        <v>1</v>
      </c>
      <c r="I507" s="171"/>
    </row>
    <row r="508" spans="1:9" s="173" customFormat="1">
      <c r="A508" s="166">
        <v>45968</v>
      </c>
      <c r="B508" s="167">
        <f>Table134[[#This Row],[Date]]</f>
        <v>45968</v>
      </c>
      <c r="C508" s="168" t="s">
        <v>16</v>
      </c>
      <c r="D508" s="168"/>
      <c r="E508" s="180" t="s">
        <v>51</v>
      </c>
      <c r="F508" s="168" t="s">
        <v>18</v>
      </c>
      <c r="G508" s="168" t="s">
        <v>19</v>
      </c>
      <c r="H508" s="168">
        <v>1</v>
      </c>
      <c r="I508" s="171"/>
    </row>
    <row r="509" spans="1:9" s="173" customFormat="1">
      <c r="A509" s="166">
        <v>45968</v>
      </c>
      <c r="B509" s="167">
        <f>Table134[[#This Row],[Date]]</f>
        <v>45968</v>
      </c>
      <c r="C509" s="168" t="s">
        <v>23</v>
      </c>
      <c r="D509" s="168"/>
      <c r="E509" s="182" t="s">
        <v>52</v>
      </c>
      <c r="F509" s="170" t="s">
        <v>47</v>
      </c>
      <c r="G509" s="168" t="s">
        <v>19</v>
      </c>
      <c r="H509" s="168">
        <v>1</v>
      </c>
      <c r="I509" s="171"/>
    </row>
    <row r="510" spans="1:9" s="173" customFormat="1">
      <c r="A510" s="166">
        <v>45968</v>
      </c>
      <c r="B510" s="167">
        <f>Table134[[#This Row],[Date]]</f>
        <v>45968</v>
      </c>
      <c r="C510" s="168" t="s">
        <v>23</v>
      </c>
      <c r="D510" s="168"/>
      <c r="E510" s="182" t="s">
        <v>52</v>
      </c>
      <c r="F510" s="170" t="s">
        <v>53</v>
      </c>
      <c r="G510" s="168" t="s">
        <v>19</v>
      </c>
      <c r="H510" s="168">
        <v>1</v>
      </c>
      <c r="I510" s="171"/>
    </row>
    <row r="511" spans="1:9" s="173" customFormat="1">
      <c r="A511" s="166">
        <v>45968</v>
      </c>
      <c r="B511" s="167">
        <f>Table134[[#This Row],[Date]]</f>
        <v>45968</v>
      </c>
      <c r="C511" s="168" t="s">
        <v>23</v>
      </c>
      <c r="D511" s="168"/>
      <c r="E511" s="178" t="s">
        <v>54</v>
      </c>
      <c r="F511" s="170" t="s">
        <v>18</v>
      </c>
      <c r="G511" s="168" t="s">
        <v>19</v>
      </c>
      <c r="H511" s="168">
        <v>1</v>
      </c>
      <c r="I511" s="171"/>
    </row>
    <row r="512" spans="1:9" s="173" customFormat="1">
      <c r="A512" s="166">
        <v>45968</v>
      </c>
      <c r="B512" s="167">
        <f>Table134[[#This Row],[Date]]</f>
        <v>45968</v>
      </c>
      <c r="C512" s="168" t="s">
        <v>23</v>
      </c>
      <c r="D512" s="168"/>
      <c r="E512" s="178" t="s">
        <v>54</v>
      </c>
      <c r="F512" s="170" t="s">
        <v>21</v>
      </c>
      <c r="G512" s="168" t="s">
        <v>19</v>
      </c>
      <c r="H512" s="168">
        <v>1</v>
      </c>
      <c r="I512" s="171"/>
    </row>
    <row r="513" spans="1:9" s="173" customFormat="1">
      <c r="A513" s="166">
        <v>45968</v>
      </c>
      <c r="B513" s="167">
        <f>Table134[[#This Row],[Date]]</f>
        <v>45968</v>
      </c>
      <c r="C513" s="168" t="s">
        <v>26</v>
      </c>
      <c r="D513" s="168"/>
      <c r="E513" s="176" t="s">
        <v>39</v>
      </c>
      <c r="F513" s="168" t="s">
        <v>18</v>
      </c>
      <c r="G513" s="168" t="s">
        <v>19</v>
      </c>
      <c r="H513" s="168">
        <v>1</v>
      </c>
      <c r="I513" s="171"/>
    </row>
    <row r="514" spans="1:9" s="173" customFormat="1">
      <c r="A514" s="166">
        <v>45968</v>
      </c>
      <c r="B514" s="167">
        <f>Table134[[#This Row],[Date]]</f>
        <v>45968</v>
      </c>
      <c r="C514" s="168" t="s">
        <v>26</v>
      </c>
      <c r="D514" s="168"/>
      <c r="E514" s="176" t="s">
        <v>39</v>
      </c>
      <c r="F514" s="168" t="s">
        <v>28</v>
      </c>
      <c r="G514" s="168" t="s">
        <v>19</v>
      </c>
      <c r="H514" s="168">
        <v>1</v>
      </c>
      <c r="I514" s="171"/>
    </row>
    <row r="515" spans="1:9" s="173" customFormat="1">
      <c r="A515" s="166">
        <v>45968</v>
      </c>
      <c r="B515" s="167">
        <f>Table134[[#This Row],[Date]]</f>
        <v>45968</v>
      </c>
      <c r="C515" s="168" t="s">
        <v>26</v>
      </c>
      <c r="D515" s="168"/>
      <c r="E515" s="176" t="s">
        <v>40</v>
      </c>
      <c r="F515" s="168" t="s">
        <v>18</v>
      </c>
      <c r="G515" s="168" t="s">
        <v>19</v>
      </c>
      <c r="H515" s="168">
        <v>1</v>
      </c>
      <c r="I515" s="171"/>
    </row>
    <row r="516" spans="1:9" s="173" customFormat="1">
      <c r="A516" s="166">
        <v>45968</v>
      </c>
      <c r="B516" s="167">
        <f>Table134[[#This Row],[Date]]</f>
        <v>45968</v>
      </c>
      <c r="C516" s="168" t="s">
        <v>26</v>
      </c>
      <c r="D516" s="168"/>
      <c r="E516" s="176" t="s">
        <v>40</v>
      </c>
      <c r="F516" s="168" t="s">
        <v>28</v>
      </c>
      <c r="G516" s="168" t="s">
        <v>19</v>
      </c>
      <c r="H516" s="168">
        <v>1</v>
      </c>
      <c r="I516" s="171"/>
    </row>
    <row r="517" spans="1:9" s="173" customFormat="1">
      <c r="A517" s="166">
        <v>45969</v>
      </c>
      <c r="B517" s="167">
        <f>Table134[[#This Row],[Date]]</f>
        <v>45969</v>
      </c>
      <c r="C517" s="168" t="s">
        <v>4</v>
      </c>
      <c r="D517" s="168"/>
      <c r="E517" s="183" t="s">
        <v>87</v>
      </c>
      <c r="F517" s="168" t="s">
        <v>88</v>
      </c>
      <c r="G517" s="168" t="s">
        <v>19</v>
      </c>
      <c r="H517" s="168">
        <v>1</v>
      </c>
      <c r="I517" s="171"/>
    </row>
    <row r="518" spans="1:9" s="173" customFormat="1">
      <c r="A518" s="166">
        <v>45969</v>
      </c>
      <c r="B518" s="167">
        <f>Table134[[#This Row],[Date]]</f>
        <v>45969</v>
      </c>
      <c r="C518" s="168" t="s">
        <v>4</v>
      </c>
      <c r="D518" s="168"/>
      <c r="E518" s="183" t="s">
        <v>87</v>
      </c>
      <c r="F518" s="168" t="s">
        <v>89</v>
      </c>
      <c r="G518" s="168" t="s">
        <v>19</v>
      </c>
      <c r="H518" s="168">
        <v>1</v>
      </c>
      <c r="I518" s="171"/>
    </row>
    <row r="519" spans="1:9" s="173" customFormat="1">
      <c r="A519" s="166">
        <v>45969</v>
      </c>
      <c r="B519" s="167">
        <f>Table134[[#This Row],[Date]]</f>
        <v>45969</v>
      </c>
      <c r="C519" s="168" t="s">
        <v>4</v>
      </c>
      <c r="D519" s="168"/>
      <c r="E519" s="183" t="s">
        <v>87</v>
      </c>
      <c r="F519" s="168" t="s">
        <v>90</v>
      </c>
      <c r="G519" s="168" t="s">
        <v>19</v>
      </c>
      <c r="H519" s="168">
        <v>1</v>
      </c>
      <c r="I519" s="171"/>
    </row>
    <row r="520" spans="1:9" s="173" customFormat="1">
      <c r="A520" s="166">
        <v>45969</v>
      </c>
      <c r="B520" s="167">
        <f>Table134[[#This Row],[Date]]</f>
        <v>45969</v>
      </c>
      <c r="C520" s="168" t="s">
        <v>4</v>
      </c>
      <c r="D520" s="168"/>
      <c r="E520" s="183" t="s">
        <v>87</v>
      </c>
      <c r="F520" s="168" t="s">
        <v>91</v>
      </c>
      <c r="G520" s="168" t="s">
        <v>19</v>
      </c>
      <c r="H520" s="168">
        <v>1</v>
      </c>
      <c r="I520" s="171"/>
    </row>
    <row r="521" spans="1:9" s="173" customFormat="1">
      <c r="A521" s="166">
        <v>45971</v>
      </c>
      <c r="B521" s="167">
        <f>Table134[[#This Row],[Date]]</f>
        <v>45971</v>
      </c>
      <c r="C521" s="168" t="s">
        <v>14</v>
      </c>
      <c r="D521" s="168"/>
      <c r="E521" s="180" t="s">
        <v>65</v>
      </c>
      <c r="F521" s="168" t="s">
        <v>18</v>
      </c>
      <c r="G521" s="168" t="s">
        <v>19</v>
      </c>
      <c r="H521" s="168">
        <v>1</v>
      </c>
      <c r="I521" s="171"/>
    </row>
    <row r="522" spans="1:9" s="173" customFormat="1">
      <c r="A522" s="166">
        <v>45971</v>
      </c>
      <c r="B522" s="167">
        <f>Table134[[#This Row],[Date]]</f>
        <v>45971</v>
      </c>
      <c r="C522" s="168" t="s">
        <v>14</v>
      </c>
      <c r="D522" s="168"/>
      <c r="E522" s="178" t="s">
        <v>66</v>
      </c>
      <c r="F522" s="168" t="s">
        <v>18</v>
      </c>
      <c r="G522" s="168" t="s">
        <v>19</v>
      </c>
      <c r="H522" s="168">
        <v>1</v>
      </c>
      <c r="I522" s="171"/>
    </row>
    <row r="523" spans="1:9" s="173" customFormat="1">
      <c r="A523" s="166">
        <v>45971</v>
      </c>
      <c r="B523" s="167">
        <f>Table134[[#This Row],[Date]]</f>
        <v>45971</v>
      </c>
      <c r="C523" s="168" t="s">
        <v>23</v>
      </c>
      <c r="D523" s="168"/>
      <c r="E523" s="180" t="s">
        <v>68</v>
      </c>
      <c r="F523" s="170" t="s">
        <v>18</v>
      </c>
      <c r="G523" s="168" t="s">
        <v>19</v>
      </c>
      <c r="H523" s="168">
        <v>1</v>
      </c>
      <c r="I523" s="171"/>
    </row>
    <row r="524" spans="1:9" s="173" customFormat="1">
      <c r="A524" s="166">
        <v>45971</v>
      </c>
      <c r="B524" s="167">
        <f>Table134[[#This Row],[Date]]</f>
        <v>45971</v>
      </c>
      <c r="C524" s="168" t="s">
        <v>23</v>
      </c>
      <c r="D524" s="168"/>
      <c r="E524" s="180" t="s">
        <v>68</v>
      </c>
      <c r="F524" s="170" t="s">
        <v>21</v>
      </c>
      <c r="G524" s="168" t="s">
        <v>19</v>
      </c>
      <c r="H524" s="168">
        <v>1</v>
      </c>
      <c r="I524" s="171"/>
    </row>
    <row r="525" spans="1:9" s="173" customFormat="1">
      <c r="A525" s="166">
        <v>45971</v>
      </c>
      <c r="B525" s="167">
        <f>Table134[[#This Row],[Date]]</f>
        <v>45971</v>
      </c>
      <c r="C525" s="168" t="s">
        <v>23</v>
      </c>
      <c r="D525" s="168"/>
      <c r="E525" s="180" t="s">
        <v>68</v>
      </c>
      <c r="F525" s="170" t="s">
        <v>49</v>
      </c>
      <c r="G525" s="168" t="s">
        <v>19</v>
      </c>
      <c r="H525" s="168">
        <v>1</v>
      </c>
      <c r="I525" s="171"/>
    </row>
    <row r="526" spans="1:9" s="173" customFormat="1">
      <c r="A526" s="166">
        <v>45971</v>
      </c>
      <c r="B526" s="167">
        <f>Table134[[#This Row],[Date]]</f>
        <v>45971</v>
      </c>
      <c r="C526" s="168" t="s">
        <v>23</v>
      </c>
      <c r="D526" s="168"/>
      <c r="E526" s="180" t="s">
        <v>68</v>
      </c>
      <c r="F526" s="170" t="s">
        <v>41</v>
      </c>
      <c r="G526" s="168" t="s">
        <v>19</v>
      </c>
      <c r="H526" s="168">
        <v>1</v>
      </c>
      <c r="I526" s="171"/>
    </row>
    <row r="527" spans="1:9" s="173" customFormat="1">
      <c r="A527" s="166">
        <v>45971</v>
      </c>
      <c r="B527" s="167">
        <f>Table134[[#This Row],[Date]]</f>
        <v>45971</v>
      </c>
      <c r="C527" s="168" t="s">
        <v>26</v>
      </c>
      <c r="D527" s="168"/>
      <c r="E527" s="177" t="s">
        <v>48</v>
      </c>
      <c r="F527" s="170" t="s">
        <v>18</v>
      </c>
      <c r="G527" s="168" t="s">
        <v>19</v>
      </c>
      <c r="H527" s="168">
        <v>1</v>
      </c>
      <c r="I527" s="171"/>
    </row>
    <row r="528" spans="1:9" s="173" customFormat="1">
      <c r="A528" s="166">
        <v>45971</v>
      </c>
      <c r="B528" s="167">
        <f>Table134[[#This Row],[Date]]</f>
        <v>45971</v>
      </c>
      <c r="C528" s="168" t="s">
        <v>26</v>
      </c>
      <c r="D528" s="172"/>
      <c r="E528" s="169" t="s">
        <v>48</v>
      </c>
      <c r="F528" s="170" t="s">
        <v>21</v>
      </c>
      <c r="G528" s="168" t="s">
        <v>19</v>
      </c>
      <c r="H528" s="168">
        <v>1</v>
      </c>
      <c r="I528" s="171"/>
    </row>
    <row r="529" spans="1:9" s="173" customFormat="1">
      <c r="A529" s="166">
        <v>45971</v>
      </c>
      <c r="B529" s="167">
        <f>Table134[[#This Row],[Date]]</f>
        <v>45971</v>
      </c>
      <c r="C529" s="168" t="s">
        <v>26</v>
      </c>
      <c r="D529" s="168"/>
      <c r="E529" s="177" t="s">
        <v>48</v>
      </c>
      <c r="F529" s="170" t="s">
        <v>49</v>
      </c>
      <c r="G529" s="168" t="s">
        <v>19</v>
      </c>
      <c r="H529" s="168">
        <v>1</v>
      </c>
      <c r="I529" s="171"/>
    </row>
    <row r="530" spans="1:9" s="173" customFormat="1">
      <c r="A530" s="166">
        <v>45971</v>
      </c>
      <c r="B530" s="167">
        <f>Table134[[#This Row],[Date]]</f>
        <v>45971</v>
      </c>
      <c r="C530" s="168" t="s">
        <v>26</v>
      </c>
      <c r="D530" s="168"/>
      <c r="E530" s="177" t="s">
        <v>48</v>
      </c>
      <c r="F530" s="170" t="s">
        <v>41</v>
      </c>
      <c r="G530" s="168" t="s">
        <v>19</v>
      </c>
      <c r="H530" s="168">
        <v>1</v>
      </c>
      <c r="I530" s="171"/>
    </row>
    <row r="531" spans="1:9" s="173" customFormat="1">
      <c r="A531" s="166">
        <v>45972</v>
      </c>
      <c r="B531" s="167">
        <f>Table134[[#This Row],[Date]]</f>
        <v>45972</v>
      </c>
      <c r="C531" s="168" t="s">
        <v>14</v>
      </c>
      <c r="D531" s="168"/>
      <c r="E531" s="180" t="s">
        <v>67</v>
      </c>
      <c r="F531" s="168" t="s">
        <v>18</v>
      </c>
      <c r="G531" s="168" t="s">
        <v>19</v>
      </c>
      <c r="H531" s="168">
        <v>1</v>
      </c>
      <c r="I531" s="171"/>
    </row>
    <row r="532" spans="1:9" s="173" customFormat="1">
      <c r="A532" s="166">
        <v>45972</v>
      </c>
      <c r="B532" s="167">
        <f>Table134[[#This Row],[Date]]</f>
        <v>45972</v>
      </c>
      <c r="C532" s="168" t="s">
        <v>14</v>
      </c>
      <c r="D532" s="168"/>
      <c r="E532" s="180" t="s">
        <v>104</v>
      </c>
      <c r="F532" s="168" t="s">
        <v>59</v>
      </c>
      <c r="G532" s="168" t="s">
        <v>60</v>
      </c>
      <c r="H532" s="168">
        <v>1</v>
      </c>
      <c r="I532" s="171"/>
    </row>
    <row r="533" spans="1:9" s="173" customFormat="1">
      <c r="A533" s="166">
        <v>45972</v>
      </c>
      <c r="B533" s="167">
        <f>Table134[[#This Row],[Date]]</f>
        <v>45972</v>
      </c>
      <c r="C533" s="168" t="s">
        <v>14</v>
      </c>
      <c r="D533" s="168"/>
      <c r="E533" s="180" t="s">
        <v>104</v>
      </c>
      <c r="F533" s="168" t="s">
        <v>61</v>
      </c>
      <c r="G533" s="168" t="s">
        <v>60</v>
      </c>
      <c r="H533" s="168">
        <v>1</v>
      </c>
      <c r="I533" s="171"/>
    </row>
    <row r="534" spans="1:9" s="173" customFormat="1">
      <c r="A534" s="166">
        <v>45972</v>
      </c>
      <c r="B534" s="167">
        <f>Table134[[#This Row],[Date]]</f>
        <v>45972</v>
      </c>
      <c r="C534" s="168" t="s">
        <v>14</v>
      </c>
      <c r="D534" s="168"/>
      <c r="E534" s="177" t="s">
        <v>112</v>
      </c>
      <c r="F534" s="168" t="s">
        <v>18</v>
      </c>
      <c r="G534" s="168" t="s">
        <v>99</v>
      </c>
      <c r="H534" s="168">
        <v>1</v>
      </c>
      <c r="I534" s="171"/>
    </row>
    <row r="535" spans="1:9" s="173" customFormat="1">
      <c r="A535" s="166">
        <v>45972</v>
      </c>
      <c r="B535" s="167">
        <f>Table134[[#This Row],[Date]]</f>
        <v>45972</v>
      </c>
      <c r="C535" s="168" t="s">
        <v>26</v>
      </c>
      <c r="D535" s="168"/>
      <c r="E535" s="177" t="s">
        <v>55</v>
      </c>
      <c r="F535" s="170" t="s">
        <v>18</v>
      </c>
      <c r="G535" s="168" t="s">
        <v>19</v>
      </c>
      <c r="H535" s="168">
        <v>1</v>
      </c>
      <c r="I535" s="171"/>
    </row>
    <row r="536" spans="1:9" s="173" customFormat="1">
      <c r="A536" s="166">
        <v>45972</v>
      </c>
      <c r="B536" s="167">
        <f>Table134[[#This Row],[Date]]</f>
        <v>45972</v>
      </c>
      <c r="C536" s="168" t="s">
        <v>26</v>
      </c>
      <c r="D536" s="168"/>
      <c r="E536" s="177" t="s">
        <v>55</v>
      </c>
      <c r="F536" s="170" t="s">
        <v>21</v>
      </c>
      <c r="G536" s="168" t="s">
        <v>19</v>
      </c>
      <c r="H536" s="168">
        <v>1</v>
      </c>
      <c r="I536" s="171"/>
    </row>
    <row r="537" spans="1:9" s="24" customFormat="1">
      <c r="A537" s="48">
        <v>45972</v>
      </c>
      <c r="B537" s="49">
        <f>Table134[[#This Row],[Date]]</f>
        <v>45972</v>
      </c>
      <c r="C537" s="50" t="s">
        <v>4</v>
      </c>
      <c r="D537" s="50"/>
      <c r="E537" s="51" t="s">
        <v>32</v>
      </c>
      <c r="F537" s="50"/>
      <c r="G537" s="50"/>
      <c r="H537" s="50"/>
      <c r="I537" s="52"/>
    </row>
    <row r="538" spans="1:9" ht="19.149999999999999" customHeight="1">
      <c r="A538" s="15">
        <v>45973</v>
      </c>
      <c r="B538" s="17">
        <f>Table134[[#This Row],[Date]]</f>
        <v>45973</v>
      </c>
      <c r="C538" s="1" t="s">
        <v>332</v>
      </c>
      <c r="D538" s="1" t="s">
        <v>333</v>
      </c>
      <c r="E538" s="135" t="s">
        <v>74</v>
      </c>
      <c r="F538" s="1" t="s">
        <v>18</v>
      </c>
      <c r="G538" s="1" t="s">
        <v>19</v>
      </c>
      <c r="H538" s="1">
        <v>1</v>
      </c>
      <c r="I538" s="3"/>
    </row>
    <row r="539" spans="1:9" ht="18.600000000000001" customHeight="1">
      <c r="A539" s="15">
        <v>45973</v>
      </c>
      <c r="B539" s="17">
        <f>Table134[[#This Row],[Date]]</f>
        <v>45973</v>
      </c>
      <c r="C539" s="1" t="s">
        <v>332</v>
      </c>
      <c r="D539" s="1" t="s">
        <v>333</v>
      </c>
      <c r="E539" s="135" t="s">
        <v>74</v>
      </c>
      <c r="F539" s="1" t="s">
        <v>21</v>
      </c>
      <c r="G539" s="1" t="s">
        <v>19</v>
      </c>
      <c r="H539" s="1">
        <v>1</v>
      </c>
      <c r="I539" s="3"/>
    </row>
    <row r="540" spans="1:9" ht="19.899999999999999" customHeight="1">
      <c r="A540" s="15">
        <v>45973</v>
      </c>
      <c r="B540" s="17">
        <f>Table134[[#This Row],[Date]]</f>
        <v>45973</v>
      </c>
      <c r="C540" s="1" t="s">
        <v>334</v>
      </c>
      <c r="D540" s="1" t="s">
        <v>335</v>
      </c>
      <c r="E540" s="135" t="s">
        <v>74</v>
      </c>
      <c r="F540" s="150" t="s">
        <v>49</v>
      </c>
      <c r="G540" s="1" t="s">
        <v>19</v>
      </c>
      <c r="H540" s="1">
        <v>1</v>
      </c>
      <c r="I540" s="3"/>
    </row>
    <row r="541" spans="1:9" ht="18.600000000000001" customHeight="1">
      <c r="A541" s="15">
        <v>45973</v>
      </c>
      <c r="B541" s="17">
        <f>Table134[[#This Row],[Date]]</f>
        <v>45973</v>
      </c>
      <c r="C541" s="1" t="s">
        <v>334</v>
      </c>
      <c r="D541" s="1" t="s">
        <v>335</v>
      </c>
      <c r="E541" s="135" t="s">
        <v>74</v>
      </c>
      <c r="F541" s="1" t="s">
        <v>41</v>
      </c>
      <c r="G541" s="1" t="s">
        <v>19</v>
      </c>
      <c r="H541" s="1">
        <v>1</v>
      </c>
      <c r="I541" s="3"/>
    </row>
    <row r="542" spans="1:9">
      <c r="A542" s="15">
        <v>45973</v>
      </c>
      <c r="B542" s="17">
        <f>Table134[[#This Row],[Date]]</f>
        <v>45973</v>
      </c>
      <c r="C542" s="1" t="s">
        <v>336</v>
      </c>
      <c r="D542" s="1"/>
      <c r="E542" s="135" t="s">
        <v>68</v>
      </c>
      <c r="F542" s="150" t="s">
        <v>47</v>
      </c>
      <c r="G542" s="1" t="s">
        <v>19</v>
      </c>
      <c r="H542" s="1">
        <v>1</v>
      </c>
      <c r="I542" s="3"/>
    </row>
    <row r="543" spans="1:9">
      <c r="A543" s="15">
        <v>45973</v>
      </c>
      <c r="B543" s="17">
        <f>Table134[[#This Row],[Date]]</f>
        <v>45973</v>
      </c>
      <c r="C543" s="1" t="s">
        <v>337</v>
      </c>
      <c r="D543" s="1" t="s">
        <v>338</v>
      </c>
      <c r="E543" s="2" t="s">
        <v>69</v>
      </c>
      <c r="F543" s="204" t="s">
        <v>18</v>
      </c>
      <c r="G543" s="1" t="s">
        <v>19</v>
      </c>
      <c r="H543" s="1">
        <v>1</v>
      </c>
      <c r="I543" s="3"/>
    </row>
    <row r="544" spans="1:9">
      <c r="A544" s="15">
        <v>45973</v>
      </c>
      <c r="B544" s="17">
        <f>Table134[[#This Row],[Date]]</f>
        <v>45973</v>
      </c>
      <c r="C544" s="1" t="s">
        <v>337</v>
      </c>
      <c r="D544" s="1" t="s">
        <v>338</v>
      </c>
      <c r="E544" s="2" t="s">
        <v>69</v>
      </c>
      <c r="F544" s="205" t="s">
        <v>21</v>
      </c>
      <c r="G544" s="1" t="s">
        <v>19</v>
      </c>
      <c r="H544" s="1">
        <v>1</v>
      </c>
      <c r="I544" s="3"/>
    </row>
    <row r="545" spans="1:9">
      <c r="A545" s="15">
        <v>45973</v>
      </c>
      <c r="B545" s="17">
        <f>Table134[[#This Row],[Date]]</f>
        <v>45973</v>
      </c>
      <c r="C545" s="1" t="s">
        <v>337</v>
      </c>
      <c r="D545" s="1" t="s">
        <v>338</v>
      </c>
      <c r="E545" s="2" t="s">
        <v>69</v>
      </c>
      <c r="F545" s="204" t="s">
        <v>49</v>
      </c>
      <c r="G545" s="1" t="s">
        <v>19</v>
      </c>
      <c r="H545" s="1">
        <v>1</v>
      </c>
      <c r="I545" s="3"/>
    </row>
    <row r="546" spans="1:9">
      <c r="A546" s="15">
        <v>45973</v>
      </c>
      <c r="B546" s="17">
        <f>Table134[[#This Row],[Date]]</f>
        <v>45973</v>
      </c>
      <c r="C546" s="1" t="s">
        <v>337</v>
      </c>
      <c r="D546" s="1" t="s">
        <v>338</v>
      </c>
      <c r="E546" s="2" t="s">
        <v>69</v>
      </c>
      <c r="F546" s="204" t="s">
        <v>41</v>
      </c>
      <c r="G546" s="1" t="s">
        <v>19</v>
      </c>
      <c r="H546" s="1">
        <v>1</v>
      </c>
      <c r="I546" s="3"/>
    </row>
    <row r="547" spans="1:9">
      <c r="A547" s="15">
        <v>45973</v>
      </c>
      <c r="B547" s="17">
        <f>Table134[[#This Row],[Date]]</f>
        <v>45973</v>
      </c>
      <c r="C547" s="1" t="s">
        <v>339</v>
      </c>
      <c r="D547" s="55"/>
      <c r="E547" s="2" t="s">
        <v>37</v>
      </c>
      <c r="F547" s="1" t="s">
        <v>18</v>
      </c>
      <c r="G547" s="1" t="s">
        <v>19</v>
      </c>
      <c r="H547" s="1">
        <v>1</v>
      </c>
      <c r="I547" s="3" t="s">
        <v>340</v>
      </c>
    </row>
    <row r="548" spans="1:9" ht="20.45" customHeight="1">
      <c r="A548" s="15">
        <v>45974</v>
      </c>
      <c r="B548" s="17">
        <f>Table134[[#This Row],[Date]]</f>
        <v>45974</v>
      </c>
      <c r="C548" s="1" t="s">
        <v>332</v>
      </c>
      <c r="D548" s="1" t="s">
        <v>333</v>
      </c>
      <c r="E548" s="135" t="s">
        <v>74</v>
      </c>
      <c r="F548" s="1" t="s">
        <v>42</v>
      </c>
      <c r="G548" s="1" t="s">
        <v>19</v>
      </c>
      <c r="H548" s="1">
        <v>1</v>
      </c>
      <c r="I548" s="3"/>
    </row>
    <row r="549" spans="1:9" ht="15.6" customHeight="1">
      <c r="A549" s="15">
        <v>45974</v>
      </c>
      <c r="B549" s="17">
        <f>Table134[[#This Row],[Date]]</f>
        <v>45974</v>
      </c>
      <c r="C549" s="1" t="s">
        <v>332</v>
      </c>
      <c r="D549" s="1" t="s">
        <v>333</v>
      </c>
      <c r="E549" s="135" t="s">
        <v>74</v>
      </c>
      <c r="F549" s="1" t="s">
        <v>47</v>
      </c>
      <c r="G549" s="1" t="s">
        <v>19</v>
      </c>
      <c r="H549" s="1">
        <v>1</v>
      </c>
      <c r="I549" s="3"/>
    </row>
    <row r="550" spans="1:9" ht="16.149999999999999" customHeight="1">
      <c r="A550" s="15">
        <v>45974</v>
      </c>
      <c r="B550" s="17">
        <f>Table134[[#This Row],[Date]]</f>
        <v>45974</v>
      </c>
      <c r="C550" s="1" t="s">
        <v>332</v>
      </c>
      <c r="D550" s="1" t="s">
        <v>333</v>
      </c>
      <c r="E550" s="135" t="s">
        <v>74</v>
      </c>
      <c r="F550" s="1" t="s">
        <v>53</v>
      </c>
      <c r="G550" s="1" t="s">
        <v>19</v>
      </c>
      <c r="H550" s="1">
        <v>1</v>
      </c>
      <c r="I550" s="3"/>
    </row>
    <row r="551" spans="1:9" ht="16.149999999999999" customHeight="1">
      <c r="A551" s="15">
        <v>45974</v>
      </c>
      <c r="B551" s="17">
        <f>Table134[[#This Row],[Date]]</f>
        <v>45974</v>
      </c>
      <c r="C551" s="1" t="s">
        <v>341</v>
      </c>
      <c r="D551" s="1" t="s">
        <v>342</v>
      </c>
      <c r="E551" s="2" t="s">
        <v>343</v>
      </c>
      <c r="F551" s="1"/>
      <c r="G551" s="1"/>
      <c r="H551" s="1"/>
      <c r="I551" s="3" t="s">
        <v>344</v>
      </c>
    </row>
    <row r="552" spans="1:9" s="24" customFormat="1">
      <c r="A552" s="15">
        <v>45974</v>
      </c>
      <c r="B552" s="17">
        <f>Table134[[#This Row],[Date]]</f>
        <v>45974</v>
      </c>
      <c r="C552" s="1" t="s">
        <v>337</v>
      </c>
      <c r="D552" s="1" t="s">
        <v>345</v>
      </c>
      <c r="E552" s="2" t="s">
        <v>70</v>
      </c>
      <c r="F552" s="205" t="s">
        <v>18</v>
      </c>
      <c r="G552" s="1" t="s">
        <v>19</v>
      </c>
      <c r="H552" s="1">
        <v>1</v>
      </c>
      <c r="I552" s="3"/>
    </row>
    <row r="553" spans="1:9" s="24" customFormat="1">
      <c r="A553" s="15">
        <v>45974</v>
      </c>
      <c r="B553" s="17">
        <f>Table134[[#This Row],[Date]]</f>
        <v>45974</v>
      </c>
      <c r="C553" s="1" t="s">
        <v>337</v>
      </c>
      <c r="D553" s="1" t="s">
        <v>345</v>
      </c>
      <c r="E553" s="2" t="s">
        <v>70</v>
      </c>
      <c r="F553" s="204" t="s">
        <v>21</v>
      </c>
      <c r="G553" s="1" t="s">
        <v>19</v>
      </c>
      <c r="H553" s="1">
        <v>1</v>
      </c>
      <c r="I553" s="3"/>
    </row>
    <row r="554" spans="1:9" s="24" customFormat="1">
      <c r="A554" s="15">
        <v>45974</v>
      </c>
      <c r="B554" s="17">
        <f>Table134[[#This Row],[Date]]</f>
        <v>45974</v>
      </c>
      <c r="C554" s="1" t="s">
        <v>337</v>
      </c>
      <c r="D554" s="1" t="s">
        <v>345</v>
      </c>
      <c r="E554" s="2" t="s">
        <v>70</v>
      </c>
      <c r="F554" s="204" t="s">
        <v>49</v>
      </c>
      <c r="G554" s="1" t="s">
        <v>19</v>
      </c>
      <c r="H554" s="1">
        <v>1</v>
      </c>
      <c r="I554" s="3"/>
    </row>
    <row r="555" spans="1:9" s="24" customFormat="1">
      <c r="A555" s="15">
        <v>45974</v>
      </c>
      <c r="B555" s="17">
        <f>Table134[[#This Row],[Date]]</f>
        <v>45974</v>
      </c>
      <c r="C555" s="1" t="s">
        <v>337</v>
      </c>
      <c r="D555" s="1" t="s">
        <v>345</v>
      </c>
      <c r="E555" s="2" t="s">
        <v>70</v>
      </c>
      <c r="F555" s="204" t="s">
        <v>41</v>
      </c>
      <c r="G555" s="1" t="s">
        <v>19</v>
      </c>
      <c r="H555" s="1">
        <v>1</v>
      </c>
      <c r="I555" s="3"/>
    </row>
    <row r="556" spans="1:9" s="24" customFormat="1">
      <c r="A556" s="41">
        <v>45975</v>
      </c>
      <c r="B556" s="42">
        <f>Table134[[#This Row],[Date]]</f>
        <v>45975</v>
      </c>
      <c r="C556" s="43"/>
      <c r="D556" s="43"/>
      <c r="E556" s="44" t="s">
        <v>175</v>
      </c>
      <c r="F556" s="43"/>
      <c r="G556" s="43"/>
      <c r="H556" s="43"/>
      <c r="I556" s="45"/>
    </row>
    <row r="557" spans="1:9" s="24" customFormat="1">
      <c r="A557" s="16">
        <v>45976</v>
      </c>
      <c r="B557" s="18">
        <f>Table134[[#This Row],[Date]]</f>
        <v>45976</v>
      </c>
      <c r="C557" s="10" t="s">
        <v>23</v>
      </c>
      <c r="D557" s="10"/>
      <c r="E557" s="9" t="s">
        <v>86</v>
      </c>
      <c r="F557" s="10" t="s">
        <v>18</v>
      </c>
      <c r="G557" s="10" t="s">
        <v>19</v>
      </c>
      <c r="H557" s="10">
        <v>1</v>
      </c>
      <c r="I557" s="13"/>
    </row>
    <row r="558" spans="1:9" s="24" customFormat="1">
      <c r="A558" s="16">
        <v>45976</v>
      </c>
      <c r="B558" s="18">
        <f>Table134[[#This Row],[Date]]</f>
        <v>45976</v>
      </c>
      <c r="C558" s="10" t="s">
        <v>23</v>
      </c>
      <c r="D558" s="10"/>
      <c r="E558" s="9" t="s">
        <v>86</v>
      </c>
      <c r="F558" s="10" t="s">
        <v>21</v>
      </c>
      <c r="G558" s="10" t="s">
        <v>19</v>
      </c>
      <c r="H558" s="10">
        <v>1</v>
      </c>
      <c r="I558" s="13"/>
    </row>
    <row r="559" spans="1:9" s="24" customFormat="1">
      <c r="A559" s="16">
        <v>45976</v>
      </c>
      <c r="B559" s="18">
        <f>Table134[[#This Row],[Date]]</f>
        <v>45976</v>
      </c>
      <c r="C559" s="10" t="s">
        <v>23</v>
      </c>
      <c r="D559" s="10"/>
      <c r="E559" s="9" t="s">
        <v>86</v>
      </c>
      <c r="F559" s="10" t="s">
        <v>49</v>
      </c>
      <c r="G559" s="10" t="s">
        <v>19</v>
      </c>
      <c r="H559" s="10">
        <v>1</v>
      </c>
      <c r="I559" s="13"/>
    </row>
    <row r="560" spans="1:9" s="24" customFormat="1">
      <c r="A560" s="16">
        <v>45976</v>
      </c>
      <c r="B560" s="18">
        <f>Table134[[#This Row],[Date]]</f>
        <v>45976</v>
      </c>
      <c r="C560" s="10" t="s">
        <v>4</v>
      </c>
      <c r="D560" s="10"/>
      <c r="E560" s="9" t="s">
        <v>87</v>
      </c>
      <c r="F560" s="8" t="s">
        <v>72</v>
      </c>
      <c r="G560" s="10" t="s">
        <v>60</v>
      </c>
      <c r="H560" s="10">
        <v>1</v>
      </c>
      <c r="I560" s="13"/>
    </row>
    <row r="561" spans="1:9" s="24" customFormat="1">
      <c r="A561" s="16">
        <v>45976</v>
      </c>
      <c r="B561" s="18">
        <f>Table134[[#This Row],[Date]]</f>
        <v>45976</v>
      </c>
      <c r="C561" s="10" t="s">
        <v>4</v>
      </c>
      <c r="D561" s="10"/>
      <c r="E561" s="9" t="s">
        <v>87</v>
      </c>
      <c r="F561" s="8" t="s">
        <v>76</v>
      </c>
      <c r="G561" s="10" t="s">
        <v>60</v>
      </c>
      <c r="H561" s="10">
        <v>1</v>
      </c>
      <c r="I561" s="13"/>
    </row>
    <row r="562" spans="1:9" s="24" customFormat="1">
      <c r="A562" s="16">
        <v>45976</v>
      </c>
      <c r="B562" s="18">
        <f>Table134[[#This Row],[Date]]</f>
        <v>45976</v>
      </c>
      <c r="C562" s="10" t="s">
        <v>4</v>
      </c>
      <c r="D562" s="10"/>
      <c r="E562" s="9" t="s">
        <v>87</v>
      </c>
      <c r="F562" s="8" t="s">
        <v>28</v>
      </c>
      <c r="G562" s="10" t="s">
        <v>19</v>
      </c>
      <c r="H562" s="10">
        <v>1</v>
      </c>
      <c r="I562" s="13"/>
    </row>
    <row r="563" spans="1:9" s="24" customFormat="1">
      <c r="A563" s="16">
        <v>45976</v>
      </c>
      <c r="B563" s="18">
        <f>Table134[[#This Row],[Date]]</f>
        <v>45976</v>
      </c>
      <c r="C563" s="10" t="s">
        <v>4</v>
      </c>
      <c r="D563" s="10"/>
      <c r="E563" s="9" t="s">
        <v>87</v>
      </c>
      <c r="F563" s="8" t="s">
        <v>107</v>
      </c>
      <c r="G563" s="10" t="s">
        <v>19</v>
      </c>
      <c r="H563" s="10">
        <v>1</v>
      </c>
      <c r="I563" s="13"/>
    </row>
    <row r="564" spans="1:9" s="24" customFormat="1">
      <c r="A564" s="16">
        <v>45977</v>
      </c>
      <c r="B564" s="18">
        <f>Table134[[#This Row],[Date]]</f>
        <v>45977</v>
      </c>
      <c r="C564" s="10" t="s">
        <v>4</v>
      </c>
      <c r="D564" s="10"/>
      <c r="E564" s="9" t="s">
        <v>92</v>
      </c>
      <c r="F564" s="10" t="s">
        <v>118</v>
      </c>
      <c r="G564" s="10" t="s">
        <v>19</v>
      </c>
      <c r="H564" s="10">
        <v>1</v>
      </c>
      <c r="I564" s="13"/>
    </row>
    <row r="565" spans="1:9" s="24" customFormat="1">
      <c r="A565" s="16">
        <v>45977</v>
      </c>
      <c r="B565" s="18">
        <f>Table134[[#This Row],[Date]]</f>
        <v>45977</v>
      </c>
      <c r="C565" s="10" t="s">
        <v>4</v>
      </c>
      <c r="D565" s="10"/>
      <c r="E565" s="9" t="s">
        <v>92</v>
      </c>
      <c r="F565" s="10" t="s">
        <v>47</v>
      </c>
      <c r="G565" s="10" t="s">
        <v>19</v>
      </c>
      <c r="H565" s="10">
        <v>1</v>
      </c>
      <c r="I565" s="13"/>
    </row>
    <row r="566" spans="1:9" s="24" customFormat="1">
      <c r="A566" s="53">
        <v>45978</v>
      </c>
      <c r="B566" s="54">
        <f>Table134[[#This Row],[Date]]</f>
        <v>45978</v>
      </c>
      <c r="C566" s="55" t="s">
        <v>23</v>
      </c>
      <c r="D566" s="55"/>
      <c r="E566" s="59" t="s">
        <v>81</v>
      </c>
      <c r="F566" s="55" t="s">
        <v>18</v>
      </c>
      <c r="G566" s="55" t="s">
        <v>19</v>
      </c>
      <c r="H566" s="55">
        <v>1</v>
      </c>
      <c r="I566" s="57"/>
    </row>
    <row r="567" spans="1:9" s="24" customFormat="1">
      <c r="A567" s="53">
        <v>45978</v>
      </c>
      <c r="B567" s="54">
        <f>Table134[[#This Row],[Date]]</f>
        <v>45978</v>
      </c>
      <c r="C567" s="55" t="s">
        <v>23</v>
      </c>
      <c r="D567" s="55"/>
      <c r="E567" s="59" t="s">
        <v>82</v>
      </c>
      <c r="F567" s="55" t="s">
        <v>18</v>
      </c>
      <c r="G567" s="55" t="s">
        <v>19</v>
      </c>
      <c r="H567" s="55">
        <v>1</v>
      </c>
      <c r="I567" s="57"/>
    </row>
    <row r="568" spans="1:9" s="24" customFormat="1">
      <c r="A568" s="53">
        <v>45978</v>
      </c>
      <c r="B568" s="54">
        <f>Table134[[#This Row],[Date]]</f>
        <v>45978</v>
      </c>
      <c r="C568" s="55" t="s">
        <v>23</v>
      </c>
      <c r="D568" s="55"/>
      <c r="E568" s="59" t="s">
        <v>83</v>
      </c>
      <c r="F568" s="55" t="s">
        <v>18</v>
      </c>
      <c r="G568" s="55" t="s">
        <v>19</v>
      </c>
      <c r="H568" s="55">
        <v>1</v>
      </c>
      <c r="I568" s="57"/>
    </row>
    <row r="569" spans="1:9" s="24" customFormat="1">
      <c r="A569" s="53">
        <v>45978</v>
      </c>
      <c r="B569" s="54">
        <f>Table134[[#This Row],[Date]]</f>
        <v>45978</v>
      </c>
      <c r="C569" s="55" t="s">
        <v>26</v>
      </c>
      <c r="D569" s="55"/>
      <c r="E569" s="61" t="s">
        <v>75</v>
      </c>
      <c r="F569" s="55" t="s">
        <v>18</v>
      </c>
      <c r="G569" s="55" t="s">
        <v>19</v>
      </c>
      <c r="H569" s="55">
        <v>1</v>
      </c>
      <c r="I569" s="57"/>
    </row>
    <row r="570" spans="1:9" s="24" customFormat="1">
      <c r="A570" s="53">
        <v>45978</v>
      </c>
      <c r="B570" s="54">
        <f>Table134[[#This Row],[Date]]</f>
        <v>45978</v>
      </c>
      <c r="C570" s="55" t="s">
        <v>26</v>
      </c>
      <c r="D570" s="55"/>
      <c r="E570" s="61" t="s">
        <v>75</v>
      </c>
      <c r="F570" s="55" t="s">
        <v>21</v>
      </c>
      <c r="G570" s="55" t="s">
        <v>19</v>
      </c>
      <c r="H570" s="55">
        <v>1</v>
      </c>
      <c r="I570" s="57"/>
    </row>
    <row r="571" spans="1:9" s="24" customFormat="1">
      <c r="A571" s="53">
        <v>45978</v>
      </c>
      <c r="B571" s="54">
        <f>Table134[[#This Row],[Date]]</f>
        <v>45978</v>
      </c>
      <c r="C571" s="55" t="s">
        <v>26</v>
      </c>
      <c r="D571" s="55"/>
      <c r="E571" s="61" t="s">
        <v>75</v>
      </c>
      <c r="F571" s="55" t="s">
        <v>28</v>
      </c>
      <c r="G571" s="55" t="s">
        <v>19</v>
      </c>
      <c r="H571" s="55">
        <v>1</v>
      </c>
      <c r="I571" s="57"/>
    </row>
    <row r="572" spans="1:9" s="24" customFormat="1">
      <c r="A572" s="53">
        <v>45978</v>
      </c>
      <c r="B572" s="54">
        <f>Table134[[#This Row],[Date]]</f>
        <v>45978</v>
      </c>
      <c r="C572" s="63" t="s">
        <v>14</v>
      </c>
      <c r="D572" s="63"/>
      <c r="E572" s="79" t="s">
        <v>96</v>
      </c>
      <c r="F572" s="55" t="s">
        <v>18</v>
      </c>
      <c r="G572" s="55" t="s">
        <v>19</v>
      </c>
      <c r="H572" s="55">
        <v>1</v>
      </c>
      <c r="I572" s="57"/>
    </row>
    <row r="573" spans="1:9" s="24" customFormat="1">
      <c r="A573" s="53">
        <v>45978</v>
      </c>
      <c r="B573" s="54">
        <f>Table134[[#This Row],[Date]]</f>
        <v>45978</v>
      </c>
      <c r="C573" s="55" t="s">
        <v>14</v>
      </c>
      <c r="D573" s="63"/>
      <c r="E573" s="79" t="s">
        <v>97</v>
      </c>
      <c r="F573" s="55" t="s">
        <v>18</v>
      </c>
      <c r="G573" s="55" t="s">
        <v>19</v>
      </c>
      <c r="H573" s="55">
        <v>1</v>
      </c>
      <c r="I573" s="57"/>
    </row>
    <row r="574" spans="1:9" s="24" customFormat="1">
      <c r="A574" s="53">
        <v>45978</v>
      </c>
      <c r="B574" s="54">
        <f>Table134[[#This Row],[Date]]</f>
        <v>45978</v>
      </c>
      <c r="C574" s="55" t="s">
        <v>14</v>
      </c>
      <c r="D574" s="63"/>
      <c r="E574" s="157" t="s">
        <v>100</v>
      </c>
      <c r="F574" s="55" t="s">
        <v>18</v>
      </c>
      <c r="G574" s="55" t="s">
        <v>19</v>
      </c>
      <c r="H574" s="55">
        <v>1</v>
      </c>
      <c r="I574" s="57"/>
    </row>
    <row r="575" spans="1:9" s="24" customFormat="1">
      <c r="A575" s="53">
        <v>45978</v>
      </c>
      <c r="B575" s="54">
        <f>Table134[[#This Row],[Date]]</f>
        <v>45978</v>
      </c>
      <c r="C575" s="55" t="s">
        <v>16</v>
      </c>
      <c r="D575" s="55"/>
      <c r="E575" s="59" t="s">
        <v>101</v>
      </c>
      <c r="F575" s="64" t="s">
        <v>18</v>
      </c>
      <c r="G575" s="55" t="s">
        <v>19</v>
      </c>
      <c r="H575" s="55">
        <v>1</v>
      </c>
      <c r="I575" s="57"/>
    </row>
    <row r="576" spans="1:9" s="24" customFormat="1">
      <c r="A576" s="53">
        <v>45978</v>
      </c>
      <c r="B576" s="54">
        <f>Table134[[#This Row],[Date]]</f>
        <v>45978</v>
      </c>
      <c r="C576" s="55" t="s">
        <v>16</v>
      </c>
      <c r="D576" s="55"/>
      <c r="E576" s="59" t="s">
        <v>101</v>
      </c>
      <c r="F576" s="64" t="s">
        <v>21</v>
      </c>
      <c r="G576" s="55" t="s">
        <v>19</v>
      </c>
      <c r="H576" s="55">
        <v>1</v>
      </c>
      <c r="I576" s="57"/>
    </row>
    <row r="577" spans="1:9" s="24" customFormat="1">
      <c r="A577" s="53">
        <v>45978</v>
      </c>
      <c r="B577" s="54">
        <f>Table134[[#This Row],[Date]]</f>
        <v>45978</v>
      </c>
      <c r="C577" s="55" t="s">
        <v>16</v>
      </c>
      <c r="D577" s="57"/>
      <c r="E577" s="69" t="s">
        <v>101</v>
      </c>
      <c r="F577" s="55" t="s">
        <v>47</v>
      </c>
      <c r="G577" s="55" t="s">
        <v>19</v>
      </c>
      <c r="H577" s="55">
        <v>1</v>
      </c>
      <c r="I577" s="57"/>
    </row>
    <row r="578" spans="1:9" s="24" customFormat="1">
      <c r="A578" s="53">
        <v>45978</v>
      </c>
      <c r="B578" s="54">
        <f>Table134[[#This Row],[Date]]</f>
        <v>45978</v>
      </c>
      <c r="C578" s="55" t="s">
        <v>26</v>
      </c>
      <c r="D578" s="63"/>
      <c r="E578" s="78" t="s">
        <v>78</v>
      </c>
      <c r="F578" s="63" t="s">
        <v>18</v>
      </c>
      <c r="G578" s="55" t="s">
        <v>19</v>
      </c>
      <c r="H578" s="55">
        <v>1</v>
      </c>
      <c r="I578" s="57"/>
    </row>
    <row r="579" spans="1:9" s="24" customFormat="1">
      <c r="A579" s="53">
        <v>45978</v>
      </c>
      <c r="B579" s="54">
        <f>Table134[[#This Row],[Date]]</f>
        <v>45978</v>
      </c>
      <c r="C579" s="55" t="s">
        <v>26</v>
      </c>
      <c r="D579" s="63"/>
      <c r="E579" s="78" t="s">
        <v>78</v>
      </c>
      <c r="F579" s="55" t="s">
        <v>21</v>
      </c>
      <c r="G579" s="55" t="s">
        <v>19</v>
      </c>
      <c r="H579" s="55">
        <v>1</v>
      </c>
      <c r="I579" s="57"/>
    </row>
    <row r="580" spans="1:9" s="24" customFormat="1">
      <c r="A580" s="53">
        <v>45978</v>
      </c>
      <c r="B580" s="54">
        <f>Table134[[#This Row],[Date]]</f>
        <v>45978</v>
      </c>
      <c r="C580" s="55" t="s">
        <v>26</v>
      </c>
      <c r="D580" s="55"/>
      <c r="E580" s="61" t="s">
        <v>78</v>
      </c>
      <c r="F580" s="63" t="s">
        <v>28</v>
      </c>
      <c r="G580" s="55" t="s">
        <v>19</v>
      </c>
      <c r="H580" s="55">
        <v>1</v>
      </c>
      <c r="I580" s="57"/>
    </row>
    <row r="581" spans="1:9" s="24" customFormat="1">
      <c r="A581" s="53">
        <v>45979</v>
      </c>
      <c r="B581" s="54">
        <f>Table134[[#This Row],[Date]]</f>
        <v>45979</v>
      </c>
      <c r="C581" s="55" t="s">
        <v>14</v>
      </c>
      <c r="D581" s="55"/>
      <c r="E581" s="59" t="s">
        <v>104</v>
      </c>
      <c r="F581" s="55" t="s">
        <v>72</v>
      </c>
      <c r="G581" s="55" t="s">
        <v>60</v>
      </c>
      <c r="H581" s="55">
        <v>1</v>
      </c>
      <c r="I581" s="57"/>
    </row>
    <row r="582" spans="1:9" s="24" customFormat="1">
      <c r="A582" s="53">
        <v>45979</v>
      </c>
      <c r="B582" s="54">
        <f>Table134[[#This Row],[Date]]</f>
        <v>45979</v>
      </c>
      <c r="C582" s="55" t="s">
        <v>14</v>
      </c>
      <c r="D582" s="55"/>
      <c r="E582" s="59" t="s">
        <v>104</v>
      </c>
      <c r="F582" s="63" t="s">
        <v>76</v>
      </c>
      <c r="G582" s="55" t="s">
        <v>60</v>
      </c>
      <c r="H582" s="55">
        <v>1</v>
      </c>
      <c r="I582" s="57"/>
    </row>
    <row r="583" spans="1:9" s="24" customFormat="1">
      <c r="A583" s="103">
        <v>45979</v>
      </c>
      <c r="B583" s="104">
        <f>Table134[[#This Row],[Date]]</f>
        <v>45979</v>
      </c>
      <c r="C583" s="105" t="s">
        <v>26</v>
      </c>
      <c r="D583" s="105"/>
      <c r="E583" s="106" t="s">
        <v>85</v>
      </c>
      <c r="F583" s="133" t="s">
        <v>18</v>
      </c>
      <c r="G583" s="105" t="s">
        <v>19</v>
      </c>
      <c r="H583" s="105">
        <v>1</v>
      </c>
      <c r="I583" s="108"/>
    </row>
    <row r="584" spans="1:9" s="24" customFormat="1">
      <c r="A584" s="103">
        <v>45979</v>
      </c>
      <c r="B584" s="104">
        <f>Table134[[#This Row],[Date]]</f>
        <v>45979</v>
      </c>
      <c r="C584" s="105" t="s">
        <v>26</v>
      </c>
      <c r="D584" s="105"/>
      <c r="E584" s="106" t="s">
        <v>85</v>
      </c>
      <c r="F584" s="164" t="s">
        <v>21</v>
      </c>
      <c r="G584" s="105" t="s">
        <v>19</v>
      </c>
      <c r="H584" s="105">
        <v>1</v>
      </c>
      <c r="I584" s="108"/>
    </row>
    <row r="585" spans="1:9" s="24" customFormat="1">
      <c r="A585" s="48">
        <v>45979</v>
      </c>
      <c r="B585" s="49">
        <f>Table134[[#This Row],[Date]]</f>
        <v>45979</v>
      </c>
      <c r="C585" s="50" t="s">
        <v>4</v>
      </c>
      <c r="D585" s="84"/>
      <c r="E585" s="211" t="s">
        <v>32</v>
      </c>
      <c r="F585" s="50"/>
      <c r="G585" s="50"/>
      <c r="H585" s="50"/>
      <c r="I585" s="52"/>
    </row>
    <row r="586" spans="1:9" s="24" customFormat="1">
      <c r="A586" s="53">
        <v>45980</v>
      </c>
      <c r="B586" s="54">
        <f>Table134[[#This Row],[Date]]</f>
        <v>45980</v>
      </c>
      <c r="C586" s="55" t="s">
        <v>16</v>
      </c>
      <c r="D586" s="55"/>
      <c r="E586" s="59" t="s">
        <v>105</v>
      </c>
      <c r="F586" s="77" t="s">
        <v>18</v>
      </c>
      <c r="G586" s="55" t="s">
        <v>19</v>
      </c>
      <c r="H586" s="55">
        <v>1</v>
      </c>
      <c r="I586" s="57"/>
    </row>
    <row r="587" spans="1:9" s="24" customFormat="1">
      <c r="A587" s="53">
        <v>45980</v>
      </c>
      <c r="B587" s="54">
        <f>Table134[[#This Row],[Date]]</f>
        <v>45980</v>
      </c>
      <c r="C587" s="55" t="s">
        <v>16</v>
      </c>
      <c r="D587" s="55"/>
      <c r="E587" s="59" t="s">
        <v>105</v>
      </c>
      <c r="F587" s="77" t="s">
        <v>21</v>
      </c>
      <c r="G587" s="55" t="s">
        <v>19</v>
      </c>
      <c r="H587" s="55">
        <v>1</v>
      </c>
      <c r="I587" s="57"/>
    </row>
    <row r="588" spans="1:9" s="24" customFormat="1">
      <c r="A588" s="53">
        <v>45980</v>
      </c>
      <c r="B588" s="54">
        <f>Table134[[#This Row],[Date]]</f>
        <v>45980</v>
      </c>
      <c r="C588" s="55" t="s">
        <v>16</v>
      </c>
      <c r="D588" s="55"/>
      <c r="E588" s="59" t="s">
        <v>105</v>
      </c>
      <c r="F588" s="76" t="s">
        <v>49</v>
      </c>
      <c r="G588" s="55" t="s">
        <v>19</v>
      </c>
      <c r="H588" s="55">
        <v>1</v>
      </c>
      <c r="I588" s="57"/>
    </row>
    <row r="589" spans="1:9" s="24" customFormat="1">
      <c r="A589" s="53">
        <v>45980</v>
      </c>
      <c r="B589" s="54">
        <f>Table134[[#This Row],[Date]]</f>
        <v>45980</v>
      </c>
      <c r="C589" s="55" t="s">
        <v>23</v>
      </c>
      <c r="D589" s="55"/>
      <c r="E589" s="61" t="s">
        <v>106</v>
      </c>
      <c r="F589" s="64" t="s">
        <v>28</v>
      </c>
      <c r="G589" s="55" t="s">
        <v>19</v>
      </c>
      <c r="H589" s="55">
        <v>1</v>
      </c>
      <c r="I589" s="57"/>
    </row>
    <row r="590" spans="1:9" s="24" customFormat="1">
      <c r="A590" s="53">
        <v>45980</v>
      </c>
      <c r="B590" s="54">
        <f>Table134[[#This Row],[Date]]</f>
        <v>45980</v>
      </c>
      <c r="C590" s="55" t="s">
        <v>23</v>
      </c>
      <c r="D590" s="57"/>
      <c r="E590" s="68" t="s">
        <v>106</v>
      </c>
      <c r="F590" s="63" t="s">
        <v>107</v>
      </c>
      <c r="G590" s="55" t="s">
        <v>19</v>
      </c>
      <c r="H590" s="55">
        <v>1</v>
      </c>
      <c r="I590" s="57"/>
    </row>
    <row r="591" spans="1:9" s="24" customFormat="1">
      <c r="A591" s="53">
        <v>45980</v>
      </c>
      <c r="B591" s="54">
        <f>Table134[[#This Row],[Date]]</f>
        <v>45980</v>
      </c>
      <c r="C591" s="55" t="s">
        <v>23</v>
      </c>
      <c r="D591" s="57"/>
      <c r="E591" s="68" t="s">
        <v>106</v>
      </c>
      <c r="F591" s="64" t="s">
        <v>41</v>
      </c>
      <c r="G591" s="55" t="s">
        <v>19</v>
      </c>
      <c r="H591" s="55">
        <v>1</v>
      </c>
      <c r="I591" s="57"/>
    </row>
    <row r="592" spans="1:9" s="24" customFormat="1">
      <c r="A592" s="53">
        <v>45980</v>
      </c>
      <c r="B592" s="54">
        <f>Table134[[#This Row],[Date]]</f>
        <v>45980</v>
      </c>
      <c r="C592" s="55" t="s">
        <v>26</v>
      </c>
      <c r="D592" s="57"/>
      <c r="E592" s="68" t="s">
        <v>102</v>
      </c>
      <c r="F592" s="64" t="s">
        <v>18</v>
      </c>
      <c r="G592" s="55" t="s">
        <v>19</v>
      </c>
      <c r="H592" s="55">
        <v>1</v>
      </c>
      <c r="I592" s="57"/>
    </row>
    <row r="593" spans="1:9" s="24" customFormat="1">
      <c r="A593" s="53">
        <v>45980</v>
      </c>
      <c r="B593" s="54">
        <f>Table134[[#This Row],[Date]]</f>
        <v>45980</v>
      </c>
      <c r="C593" s="55" t="s">
        <v>26</v>
      </c>
      <c r="D593" s="55"/>
      <c r="E593" s="61" t="s">
        <v>103</v>
      </c>
      <c r="F593" s="55" t="s">
        <v>18</v>
      </c>
      <c r="G593" s="55" t="s">
        <v>19</v>
      </c>
      <c r="H593" s="55">
        <v>1</v>
      </c>
      <c r="I593" s="57"/>
    </row>
    <row r="594" spans="1:9" s="24" customFormat="1">
      <c r="A594" s="53">
        <v>45980</v>
      </c>
      <c r="B594" s="54">
        <f>Table134[[#This Row],[Date]]</f>
        <v>45980</v>
      </c>
      <c r="C594" s="55" t="s">
        <v>26</v>
      </c>
      <c r="D594" s="55"/>
      <c r="E594" s="61" t="s">
        <v>103</v>
      </c>
      <c r="F594" s="55" t="s">
        <v>21</v>
      </c>
      <c r="G594" s="55" t="s">
        <v>19</v>
      </c>
      <c r="H594" s="55">
        <v>1</v>
      </c>
      <c r="I594" s="57"/>
    </row>
    <row r="595" spans="1:9" s="24" customFormat="1">
      <c r="A595" s="53">
        <v>45980</v>
      </c>
      <c r="B595" s="54">
        <f>Table134[[#This Row],[Date]]</f>
        <v>45980</v>
      </c>
      <c r="C595" s="55" t="s">
        <v>26</v>
      </c>
      <c r="D595" s="55"/>
      <c r="E595" s="61" t="s">
        <v>84</v>
      </c>
      <c r="F595" s="63" t="s">
        <v>47</v>
      </c>
      <c r="G595" s="55" t="s">
        <v>19</v>
      </c>
      <c r="H595" s="55">
        <v>1</v>
      </c>
      <c r="I595" s="57"/>
    </row>
    <row r="596" spans="1:9" s="24" customFormat="1">
      <c r="A596" s="53">
        <v>45981</v>
      </c>
      <c r="B596" s="54">
        <f>Table134[[#This Row],[Date]]</f>
        <v>45981</v>
      </c>
      <c r="C596" s="55" t="s">
        <v>14</v>
      </c>
      <c r="D596" s="55"/>
      <c r="E596" s="59" t="s">
        <v>105</v>
      </c>
      <c r="F596" s="55" t="s">
        <v>59</v>
      </c>
      <c r="G596" s="55" t="s">
        <v>60</v>
      </c>
      <c r="H596" s="55">
        <v>1</v>
      </c>
      <c r="I596" s="57"/>
    </row>
    <row r="597" spans="1:9" s="24" customFormat="1">
      <c r="A597" s="53">
        <v>45981</v>
      </c>
      <c r="B597" s="54">
        <f>Table134[[#This Row],[Date]]</f>
        <v>45981</v>
      </c>
      <c r="C597" s="55" t="s">
        <v>14</v>
      </c>
      <c r="D597" s="55"/>
      <c r="E597" s="59" t="s">
        <v>105</v>
      </c>
      <c r="F597" s="76" t="s">
        <v>61</v>
      </c>
      <c r="G597" s="55" t="s">
        <v>60</v>
      </c>
      <c r="H597" s="55">
        <v>1</v>
      </c>
      <c r="I597" s="57"/>
    </row>
    <row r="598" spans="1:9" s="24" customFormat="1">
      <c r="A598" s="53">
        <v>45981</v>
      </c>
      <c r="B598" s="54">
        <f>Table134[[#This Row],[Date]]</f>
        <v>45981</v>
      </c>
      <c r="C598" s="55" t="s">
        <v>14</v>
      </c>
      <c r="D598" s="55"/>
      <c r="E598" s="59" t="s">
        <v>105</v>
      </c>
      <c r="F598" s="77" t="s">
        <v>72</v>
      </c>
      <c r="G598" s="55" t="s">
        <v>60</v>
      </c>
      <c r="H598" s="55">
        <v>1</v>
      </c>
      <c r="I598" s="57"/>
    </row>
    <row r="599" spans="1:9" s="24" customFormat="1">
      <c r="A599" s="53">
        <v>45981</v>
      </c>
      <c r="B599" s="54">
        <f>Table134[[#This Row],[Date]]</f>
        <v>45981</v>
      </c>
      <c r="C599" s="55" t="s">
        <v>14</v>
      </c>
      <c r="D599" s="55"/>
      <c r="E599" s="59" t="s">
        <v>105</v>
      </c>
      <c r="F599" s="77" t="s">
        <v>76</v>
      </c>
      <c r="G599" s="55" t="s">
        <v>60</v>
      </c>
      <c r="H599" s="55">
        <v>1</v>
      </c>
      <c r="I599" s="57"/>
    </row>
    <row r="600" spans="1:9" s="24" customFormat="1">
      <c r="A600" s="53">
        <v>45981</v>
      </c>
      <c r="B600" s="54">
        <f>Table134[[#This Row],[Date]]</f>
        <v>45981</v>
      </c>
      <c r="C600" s="55" t="s">
        <v>23</v>
      </c>
      <c r="D600" s="55"/>
      <c r="E600" s="59" t="s">
        <v>106</v>
      </c>
      <c r="F600" s="64" t="s">
        <v>18</v>
      </c>
      <c r="G600" s="55" t="s">
        <v>19</v>
      </c>
      <c r="H600" s="55">
        <v>1</v>
      </c>
      <c r="I600" s="57"/>
    </row>
    <row r="601" spans="1:9" s="24" customFormat="1">
      <c r="A601" s="53">
        <v>45981</v>
      </c>
      <c r="B601" s="54">
        <f>Table134[[#This Row],[Date]]</f>
        <v>45981</v>
      </c>
      <c r="C601" s="55" t="s">
        <v>23</v>
      </c>
      <c r="D601" s="55"/>
      <c r="E601" s="59" t="s">
        <v>106</v>
      </c>
      <c r="F601" s="65" t="s">
        <v>21</v>
      </c>
      <c r="G601" s="55" t="s">
        <v>19</v>
      </c>
      <c r="H601" s="55">
        <v>1</v>
      </c>
      <c r="I601" s="57"/>
    </row>
    <row r="602" spans="1:9" s="24" customFormat="1">
      <c r="A602" s="53">
        <v>45981</v>
      </c>
      <c r="B602" s="54">
        <f>Table134[[#This Row],[Date]]</f>
        <v>45981</v>
      </c>
      <c r="C602" s="55" t="s">
        <v>23</v>
      </c>
      <c r="D602" s="55"/>
      <c r="E602" s="59" t="s">
        <v>106</v>
      </c>
      <c r="F602" s="64" t="s">
        <v>49</v>
      </c>
      <c r="G602" s="55" t="s">
        <v>19</v>
      </c>
      <c r="H602" s="55">
        <v>1</v>
      </c>
      <c r="I602" s="57"/>
    </row>
    <row r="603" spans="1:9" s="24" customFormat="1">
      <c r="A603" s="53">
        <v>45981</v>
      </c>
      <c r="B603" s="54">
        <f>Table134[[#This Row],[Date]]</f>
        <v>45981</v>
      </c>
      <c r="C603" s="55" t="s">
        <v>26</v>
      </c>
      <c r="D603" s="55"/>
      <c r="E603" s="61" t="s">
        <v>108</v>
      </c>
      <c r="F603" s="55" t="s">
        <v>28</v>
      </c>
      <c r="G603" s="55" t="s">
        <v>19</v>
      </c>
      <c r="H603" s="55">
        <v>1</v>
      </c>
      <c r="I603" s="57"/>
    </row>
    <row r="604" spans="1:9" s="24" customFormat="1">
      <c r="A604" s="53">
        <v>45981</v>
      </c>
      <c r="B604" s="54">
        <f>Table134[[#This Row],[Date]]</f>
        <v>45981</v>
      </c>
      <c r="C604" s="55" t="s">
        <v>26</v>
      </c>
      <c r="D604" s="55"/>
      <c r="E604" s="61" t="s">
        <v>108</v>
      </c>
      <c r="F604" s="55" t="s">
        <v>107</v>
      </c>
      <c r="G604" s="55" t="s">
        <v>19</v>
      </c>
      <c r="H604" s="55">
        <v>1</v>
      </c>
      <c r="I604" s="57"/>
    </row>
    <row r="605" spans="1:9" s="24" customFormat="1">
      <c r="A605" s="53">
        <v>45981</v>
      </c>
      <c r="B605" s="54">
        <f>Table134[[#This Row],[Date]]</f>
        <v>45981</v>
      </c>
      <c r="C605" s="55" t="s">
        <v>26</v>
      </c>
      <c r="D605" s="55"/>
      <c r="E605" s="61" t="s">
        <v>108</v>
      </c>
      <c r="F605" s="55" t="s">
        <v>35</v>
      </c>
      <c r="G605" s="55" t="s">
        <v>19</v>
      </c>
      <c r="H605" s="55">
        <v>1</v>
      </c>
      <c r="I605" s="57"/>
    </row>
    <row r="606" spans="1:9" s="24" customFormat="1">
      <c r="A606" s="53">
        <v>45981</v>
      </c>
      <c r="B606" s="54">
        <f>Table134[[#This Row],[Date]]</f>
        <v>45981</v>
      </c>
      <c r="C606" s="55" t="s">
        <v>26</v>
      </c>
      <c r="D606" s="55"/>
      <c r="E606" s="61" t="s">
        <v>108</v>
      </c>
      <c r="F606" s="55" t="s">
        <v>109</v>
      </c>
      <c r="G606" s="55" t="s">
        <v>19</v>
      </c>
      <c r="H606" s="55">
        <v>1</v>
      </c>
      <c r="I606" s="57"/>
    </row>
    <row r="607" spans="1:9" s="24" customFormat="1">
      <c r="A607" s="53">
        <v>45982</v>
      </c>
      <c r="B607" s="54">
        <f>Table134[[#This Row],[Date]]</f>
        <v>45982</v>
      </c>
      <c r="C607" s="55" t="s">
        <v>14</v>
      </c>
      <c r="D607" s="55"/>
      <c r="E607" s="59" t="s">
        <v>105</v>
      </c>
      <c r="F607" s="55" t="s">
        <v>73</v>
      </c>
      <c r="G607" s="55" t="s">
        <v>60</v>
      </c>
      <c r="H607" s="55">
        <v>1</v>
      </c>
      <c r="I607" s="57"/>
    </row>
    <row r="608" spans="1:9" s="24" customFormat="1">
      <c r="A608" s="53">
        <v>45982</v>
      </c>
      <c r="B608" s="54">
        <f>Table134[[#This Row],[Date]]</f>
        <v>45982</v>
      </c>
      <c r="C608" s="55" t="s">
        <v>14</v>
      </c>
      <c r="D608" s="55"/>
      <c r="E608" s="59" t="s">
        <v>105</v>
      </c>
      <c r="F608" s="55" t="s">
        <v>77</v>
      </c>
      <c r="G608" s="55" t="s">
        <v>60</v>
      </c>
      <c r="H608" s="55">
        <v>1</v>
      </c>
      <c r="I608" s="57"/>
    </row>
    <row r="609" spans="1:9" s="24" customFormat="1">
      <c r="A609" s="53">
        <v>45982</v>
      </c>
      <c r="B609" s="54">
        <f>Table134[[#This Row],[Date]]</f>
        <v>45982</v>
      </c>
      <c r="C609" s="55" t="s">
        <v>14</v>
      </c>
      <c r="D609" s="55"/>
      <c r="E609" s="59" t="s">
        <v>105</v>
      </c>
      <c r="F609" s="55" t="s">
        <v>176</v>
      </c>
      <c r="G609" s="55" t="s">
        <v>60</v>
      </c>
      <c r="H609" s="55">
        <v>1</v>
      </c>
      <c r="I609" s="57"/>
    </row>
    <row r="610" spans="1:9" s="24" customFormat="1">
      <c r="A610" s="53">
        <v>45982</v>
      </c>
      <c r="B610" s="54">
        <f>Table134[[#This Row],[Date]]</f>
        <v>45982</v>
      </c>
      <c r="C610" s="55" t="s">
        <v>14</v>
      </c>
      <c r="D610" s="55"/>
      <c r="E610" s="59" t="s">
        <v>105</v>
      </c>
      <c r="F610" s="55" t="s">
        <v>177</v>
      </c>
      <c r="G610" s="55" t="s">
        <v>60</v>
      </c>
      <c r="H610" s="55">
        <v>1</v>
      </c>
      <c r="I610" s="57"/>
    </row>
    <row r="611" spans="1:9" s="24" customFormat="1">
      <c r="A611" s="53">
        <v>45982</v>
      </c>
      <c r="B611" s="54">
        <f>Table134[[#This Row],[Date]]</f>
        <v>45982</v>
      </c>
      <c r="C611" s="55" t="s">
        <v>14</v>
      </c>
      <c r="D611" s="55"/>
      <c r="E611" s="59" t="s">
        <v>111</v>
      </c>
      <c r="F611" s="55" t="s">
        <v>18</v>
      </c>
      <c r="G611" s="55" t="s">
        <v>99</v>
      </c>
      <c r="H611" s="55">
        <v>1</v>
      </c>
      <c r="I611" s="57"/>
    </row>
    <row r="612" spans="1:9" s="24" customFormat="1">
      <c r="A612" s="103">
        <v>45982</v>
      </c>
      <c r="B612" s="104">
        <f>Table134[[#This Row],[Date]]</f>
        <v>45982</v>
      </c>
      <c r="C612" s="105" t="s">
        <v>14</v>
      </c>
      <c r="D612" s="105"/>
      <c r="E612" s="109" t="s">
        <v>113</v>
      </c>
      <c r="F612" s="105" t="s">
        <v>18</v>
      </c>
      <c r="G612" s="105" t="s">
        <v>19</v>
      </c>
      <c r="H612" s="105">
        <v>1</v>
      </c>
      <c r="I612" s="108"/>
    </row>
    <row r="613" spans="1:9" s="24" customFormat="1">
      <c r="A613" s="53">
        <v>45982</v>
      </c>
      <c r="B613" s="54">
        <f>Table134[[#This Row],[Date]]</f>
        <v>45982</v>
      </c>
      <c r="C613" s="55" t="s">
        <v>23</v>
      </c>
      <c r="D613" s="55"/>
      <c r="E613" s="59" t="s">
        <v>114</v>
      </c>
      <c r="F613" s="55" t="s">
        <v>18</v>
      </c>
      <c r="G613" s="55" t="s">
        <v>19</v>
      </c>
      <c r="H613" s="55">
        <v>1</v>
      </c>
      <c r="I613" s="57"/>
    </row>
    <row r="614" spans="1:9" s="24" customFormat="1">
      <c r="A614" s="53">
        <v>45982</v>
      </c>
      <c r="B614" s="54">
        <f>Table134[[#This Row],[Date]]</f>
        <v>45982</v>
      </c>
      <c r="C614" s="55" t="s">
        <v>23</v>
      </c>
      <c r="D614" s="55"/>
      <c r="E614" s="59" t="s">
        <v>114</v>
      </c>
      <c r="F614" s="55" t="s">
        <v>21</v>
      </c>
      <c r="G614" s="55" t="s">
        <v>19</v>
      </c>
      <c r="H614" s="55">
        <v>1</v>
      </c>
      <c r="I614" s="57"/>
    </row>
    <row r="615" spans="1:9" s="24" customFormat="1">
      <c r="A615" s="53">
        <v>45982</v>
      </c>
      <c r="B615" s="54">
        <f>Table134[[#This Row],[Date]]</f>
        <v>45982</v>
      </c>
      <c r="C615" s="55" t="s">
        <v>26</v>
      </c>
      <c r="D615" s="55"/>
      <c r="E615" s="59" t="s">
        <v>110</v>
      </c>
      <c r="F615" s="55" t="s">
        <v>18</v>
      </c>
      <c r="G615" s="55" t="s">
        <v>19</v>
      </c>
      <c r="H615" s="55">
        <v>1</v>
      </c>
      <c r="I615" s="57"/>
    </row>
    <row r="616" spans="1:9" s="24" customFormat="1">
      <c r="A616" s="53">
        <v>45982</v>
      </c>
      <c r="B616" s="54">
        <f>Table134[[#This Row],[Date]]</f>
        <v>45982</v>
      </c>
      <c r="C616" s="55" t="s">
        <v>26</v>
      </c>
      <c r="D616" s="55"/>
      <c r="E616" s="59" t="s">
        <v>110</v>
      </c>
      <c r="F616" s="55" t="s">
        <v>21</v>
      </c>
      <c r="G616" s="55" t="s">
        <v>19</v>
      </c>
      <c r="H616" s="55">
        <v>1</v>
      </c>
      <c r="I616" s="57"/>
    </row>
    <row r="617" spans="1:9" s="24" customFormat="1">
      <c r="A617" s="16">
        <v>45983</v>
      </c>
      <c r="B617" s="18">
        <f>Table134[[#This Row],[Date]]</f>
        <v>45983</v>
      </c>
      <c r="C617" s="10" t="s">
        <v>4</v>
      </c>
      <c r="D617" s="10"/>
      <c r="E617" s="9" t="s">
        <v>92</v>
      </c>
      <c r="F617" s="10" t="s">
        <v>93</v>
      </c>
      <c r="G617" s="10" t="s">
        <v>19</v>
      </c>
      <c r="H617" s="10">
        <v>1</v>
      </c>
      <c r="I617" s="13"/>
    </row>
    <row r="618" spans="1:9" s="24" customFormat="1">
      <c r="A618" s="16">
        <v>45983</v>
      </c>
      <c r="B618" s="18">
        <f>Table134[[#This Row],[Date]]</f>
        <v>45983</v>
      </c>
      <c r="C618" s="10" t="s">
        <v>4</v>
      </c>
      <c r="D618" s="10"/>
      <c r="E618" s="9" t="s">
        <v>92</v>
      </c>
      <c r="F618" s="10" t="s">
        <v>94</v>
      </c>
      <c r="G618" s="10" t="s">
        <v>19</v>
      </c>
      <c r="H618" s="10">
        <v>1</v>
      </c>
      <c r="I618" s="13"/>
    </row>
    <row r="619" spans="1:9" s="24" customFormat="1">
      <c r="A619" s="16">
        <v>45983</v>
      </c>
      <c r="B619" s="18">
        <f>Table134[[#This Row],[Date]]</f>
        <v>45983</v>
      </c>
      <c r="C619" s="10" t="s">
        <v>4</v>
      </c>
      <c r="D619" s="10"/>
      <c r="E619" s="9" t="s">
        <v>92</v>
      </c>
      <c r="F619" s="10" t="s">
        <v>95</v>
      </c>
      <c r="G619" s="10" t="s">
        <v>19</v>
      </c>
      <c r="H619" s="10">
        <v>1</v>
      </c>
      <c r="I619" s="13"/>
    </row>
    <row r="620" spans="1:9" s="24" customFormat="1">
      <c r="A620" s="16">
        <v>45983</v>
      </c>
      <c r="B620" s="18">
        <f>Table134[[#This Row],[Date]]</f>
        <v>45983</v>
      </c>
      <c r="C620" s="10" t="s">
        <v>4</v>
      </c>
      <c r="D620" s="10"/>
      <c r="E620" s="12" t="s">
        <v>116</v>
      </c>
      <c r="F620" s="10" t="s">
        <v>18</v>
      </c>
      <c r="G620" s="10" t="s">
        <v>99</v>
      </c>
      <c r="H620" s="10">
        <v>1</v>
      </c>
      <c r="I620" s="13"/>
    </row>
    <row r="621" spans="1:9" s="24" customFormat="1">
      <c r="A621" s="16">
        <v>45984</v>
      </c>
      <c r="B621" s="18">
        <f>Table134[[#This Row],[Date]]</f>
        <v>45984</v>
      </c>
      <c r="C621" s="10" t="s">
        <v>14</v>
      </c>
      <c r="D621" s="10"/>
      <c r="E621" s="9" t="s">
        <v>144</v>
      </c>
      <c r="F621" s="10" t="s">
        <v>18</v>
      </c>
      <c r="G621" s="10" t="s">
        <v>19</v>
      </c>
      <c r="H621" s="10">
        <v>1</v>
      </c>
      <c r="I621" s="13"/>
    </row>
    <row r="622" spans="1:9" s="24" customFormat="1">
      <c r="A622" s="16">
        <v>45984</v>
      </c>
      <c r="B622" s="18">
        <f>Table134[[#This Row],[Date]]</f>
        <v>45984</v>
      </c>
      <c r="C622" s="10" t="s">
        <v>14</v>
      </c>
      <c r="D622" s="10"/>
      <c r="E622" s="9" t="s">
        <v>144</v>
      </c>
      <c r="F622" s="10" t="s">
        <v>21</v>
      </c>
      <c r="G622" s="10" t="s">
        <v>19</v>
      </c>
      <c r="H622" s="10">
        <v>1</v>
      </c>
      <c r="I622" s="13"/>
    </row>
    <row r="623" spans="1:9" s="24" customFormat="1">
      <c r="A623" s="53">
        <v>45985</v>
      </c>
      <c r="B623" s="54">
        <f>Table134[[#This Row],[Date]]</f>
        <v>45985</v>
      </c>
      <c r="C623" s="55" t="s">
        <v>16</v>
      </c>
      <c r="D623" s="55"/>
      <c r="E623" s="59" t="s">
        <v>119</v>
      </c>
      <c r="F623" s="55" t="s">
        <v>47</v>
      </c>
      <c r="G623" s="55" t="s">
        <v>19</v>
      </c>
      <c r="H623" s="55">
        <v>1</v>
      </c>
      <c r="I623" s="57"/>
    </row>
    <row r="624" spans="1:9" s="24" customFormat="1">
      <c r="A624" s="53">
        <v>45985</v>
      </c>
      <c r="B624" s="54">
        <f>Table134[[#This Row],[Date]]</f>
        <v>45985</v>
      </c>
      <c r="C624" s="55" t="s">
        <v>16</v>
      </c>
      <c r="D624" s="55"/>
      <c r="E624" s="59" t="s">
        <v>105</v>
      </c>
      <c r="F624" s="77" t="s">
        <v>47</v>
      </c>
      <c r="G624" s="55" t="s">
        <v>19</v>
      </c>
      <c r="H624" s="55">
        <v>1</v>
      </c>
      <c r="I624" s="57"/>
    </row>
    <row r="625" spans="1:9" s="24" customFormat="1">
      <c r="A625" s="53">
        <v>45985</v>
      </c>
      <c r="B625" s="54">
        <f>Table134[[#This Row],[Date]]</f>
        <v>45985</v>
      </c>
      <c r="C625" s="55" t="s">
        <v>16</v>
      </c>
      <c r="D625" s="55"/>
      <c r="E625" s="59" t="s">
        <v>105</v>
      </c>
      <c r="F625" s="77" t="s">
        <v>53</v>
      </c>
      <c r="G625" s="55" t="s">
        <v>19</v>
      </c>
      <c r="H625" s="55">
        <v>1</v>
      </c>
      <c r="I625" s="57"/>
    </row>
    <row r="626" spans="1:9" s="24" customFormat="1">
      <c r="A626" s="53">
        <v>45985</v>
      </c>
      <c r="B626" s="54">
        <f>Table134[[#This Row],[Date]]</f>
        <v>45985</v>
      </c>
      <c r="C626" s="55" t="s">
        <v>16</v>
      </c>
      <c r="D626" s="55"/>
      <c r="E626" s="59" t="s">
        <v>105</v>
      </c>
      <c r="F626" s="77" t="s">
        <v>41</v>
      </c>
      <c r="G626" s="55" t="s">
        <v>19</v>
      </c>
      <c r="H626" s="55">
        <v>1</v>
      </c>
      <c r="I626" s="57"/>
    </row>
    <row r="627" spans="1:9" s="24" customFormat="1">
      <c r="A627" s="53">
        <v>45985</v>
      </c>
      <c r="B627" s="54">
        <f>Table134[[#This Row],[Date]]</f>
        <v>45985</v>
      </c>
      <c r="C627" s="55" t="s">
        <v>23</v>
      </c>
      <c r="D627" s="55"/>
      <c r="E627" s="59" t="s">
        <v>178</v>
      </c>
      <c r="F627" s="55" t="s">
        <v>21</v>
      </c>
      <c r="G627" s="55" t="s">
        <v>19</v>
      </c>
      <c r="H627" s="55">
        <v>1</v>
      </c>
      <c r="I627" s="57"/>
    </row>
    <row r="628" spans="1:9" s="24" customFormat="1">
      <c r="A628" s="53">
        <v>45985</v>
      </c>
      <c r="B628" s="54">
        <f>Table134[[#This Row],[Date]]</f>
        <v>45985</v>
      </c>
      <c r="C628" s="55" t="s">
        <v>23</v>
      </c>
      <c r="D628" s="55"/>
      <c r="E628" s="132" t="s">
        <v>122</v>
      </c>
      <c r="F628" s="55" t="s">
        <v>18</v>
      </c>
      <c r="G628" s="55" t="s">
        <v>19</v>
      </c>
      <c r="H628" s="55">
        <v>1</v>
      </c>
      <c r="I628" s="57"/>
    </row>
    <row r="629" spans="1:9" s="24" customFormat="1">
      <c r="A629" s="53">
        <v>45985</v>
      </c>
      <c r="B629" s="54">
        <f>Table134[[#This Row],[Date]]</f>
        <v>45985</v>
      </c>
      <c r="C629" s="55" t="s">
        <v>26</v>
      </c>
      <c r="D629" s="55"/>
      <c r="E629" s="61" t="s">
        <v>123</v>
      </c>
      <c r="F629" s="55" t="s">
        <v>18</v>
      </c>
      <c r="G629" s="55" t="s">
        <v>19</v>
      </c>
      <c r="H629" s="55">
        <v>1</v>
      </c>
      <c r="I629" s="57"/>
    </row>
    <row r="630" spans="1:9" s="24" customFormat="1">
      <c r="A630" s="53">
        <v>45985</v>
      </c>
      <c r="B630" s="54">
        <f>Table134[[#This Row],[Date]]</f>
        <v>45985</v>
      </c>
      <c r="C630" s="55" t="s">
        <v>26</v>
      </c>
      <c r="D630" s="55"/>
      <c r="E630" s="61" t="s">
        <v>123</v>
      </c>
      <c r="F630" s="55" t="s">
        <v>21</v>
      </c>
      <c r="G630" s="55" t="s">
        <v>19</v>
      </c>
      <c r="H630" s="55">
        <v>1</v>
      </c>
      <c r="I630" s="57"/>
    </row>
    <row r="631" spans="1:9" s="24" customFormat="1">
      <c r="A631" s="53">
        <v>45985</v>
      </c>
      <c r="B631" s="54">
        <f>Table134[[#This Row],[Date]]</f>
        <v>45985</v>
      </c>
      <c r="C631" s="55" t="s">
        <v>26</v>
      </c>
      <c r="D631" s="63"/>
      <c r="E631" s="78" t="s">
        <v>123</v>
      </c>
      <c r="F631" s="63" t="s">
        <v>47</v>
      </c>
      <c r="G631" s="55" t="s">
        <v>19</v>
      </c>
      <c r="H631" s="55">
        <v>1</v>
      </c>
      <c r="I631" s="57"/>
    </row>
    <row r="632" spans="1:9" s="24" customFormat="1">
      <c r="A632" s="53">
        <v>45985</v>
      </c>
      <c r="B632" s="54">
        <f>Table134[[#This Row],[Date]]</f>
        <v>45985</v>
      </c>
      <c r="C632" s="55" t="s">
        <v>26</v>
      </c>
      <c r="D632" s="63"/>
      <c r="E632" s="78" t="s">
        <v>115</v>
      </c>
      <c r="F632" s="64" t="s">
        <v>18</v>
      </c>
      <c r="G632" s="55" t="s">
        <v>19</v>
      </c>
      <c r="H632" s="55">
        <v>1</v>
      </c>
      <c r="I632" s="57"/>
    </row>
    <row r="633" spans="1:9" s="24" customFormat="1">
      <c r="A633" s="53">
        <v>45986</v>
      </c>
      <c r="B633" s="54">
        <f>Table134[[#This Row],[Date]]</f>
        <v>45986</v>
      </c>
      <c r="C633" s="55" t="s">
        <v>14</v>
      </c>
      <c r="D633" s="63"/>
      <c r="E633" s="79" t="s">
        <v>104</v>
      </c>
      <c r="F633" s="55" t="s">
        <v>18</v>
      </c>
      <c r="G633" s="55" t="s">
        <v>19</v>
      </c>
      <c r="H633" s="55">
        <v>1</v>
      </c>
      <c r="I633" s="57"/>
    </row>
    <row r="634" spans="1:9" s="24" customFormat="1">
      <c r="A634" s="53">
        <v>45986</v>
      </c>
      <c r="B634" s="54">
        <f>Table134[[#This Row],[Date]]</f>
        <v>45986</v>
      </c>
      <c r="C634" s="55" t="s">
        <v>14</v>
      </c>
      <c r="D634" s="55"/>
      <c r="E634" s="59" t="s">
        <v>104</v>
      </c>
      <c r="F634" s="55" t="s">
        <v>21</v>
      </c>
      <c r="G634" s="55" t="s">
        <v>19</v>
      </c>
      <c r="H634" s="55">
        <v>1</v>
      </c>
      <c r="I634" s="57"/>
    </row>
    <row r="635" spans="1:9" s="24" customFormat="1">
      <c r="A635" s="15">
        <v>45986</v>
      </c>
      <c r="B635" s="17">
        <f>Table134[[#This Row],[Date]]</f>
        <v>45986</v>
      </c>
      <c r="C635" s="1" t="s">
        <v>23</v>
      </c>
      <c r="D635" s="1"/>
      <c r="E635" s="2" t="s">
        <v>126</v>
      </c>
      <c r="F635" s="55" t="s">
        <v>18</v>
      </c>
      <c r="G635" s="1" t="s">
        <v>99</v>
      </c>
      <c r="H635" s="28">
        <v>1</v>
      </c>
      <c r="I635" s="3"/>
    </row>
    <row r="636" spans="1:9" s="24" customFormat="1">
      <c r="A636" s="53">
        <v>45986</v>
      </c>
      <c r="B636" s="54">
        <f>Table134[[#This Row],[Date]]</f>
        <v>45986</v>
      </c>
      <c r="C636" s="55" t="s">
        <v>23</v>
      </c>
      <c r="D636" s="55"/>
      <c r="E636" s="61" t="s">
        <v>120</v>
      </c>
      <c r="F636" s="55" t="s">
        <v>18</v>
      </c>
      <c r="G636" s="55" t="s">
        <v>19</v>
      </c>
      <c r="H636" s="55">
        <v>1</v>
      </c>
      <c r="I636" s="57"/>
    </row>
    <row r="637" spans="1:9" s="24" customFormat="1">
      <c r="A637" s="48">
        <v>45986</v>
      </c>
      <c r="B637" s="49">
        <f>Table134[[#This Row],[Date]]</f>
        <v>45986</v>
      </c>
      <c r="C637" s="50" t="s">
        <v>4</v>
      </c>
      <c r="D637" s="50"/>
      <c r="E637" s="51" t="s">
        <v>32</v>
      </c>
      <c r="F637" s="50"/>
      <c r="G637" s="50"/>
      <c r="H637" s="50"/>
      <c r="I637" s="52"/>
    </row>
    <row r="638" spans="1:9" s="24" customFormat="1">
      <c r="A638" s="48">
        <v>45986</v>
      </c>
      <c r="B638" s="49">
        <f>Table134[[#This Row],[Date]]</f>
        <v>45986</v>
      </c>
      <c r="C638" s="50" t="s">
        <v>149</v>
      </c>
      <c r="D638" s="50"/>
      <c r="E638" s="51" t="s">
        <v>150</v>
      </c>
      <c r="F638" s="50"/>
      <c r="G638" s="50"/>
      <c r="H638" s="50"/>
      <c r="I638" s="52"/>
    </row>
    <row r="639" spans="1:9" s="24" customFormat="1">
      <c r="A639" s="48">
        <v>45986</v>
      </c>
      <c r="B639" s="49">
        <f>Table134[[#This Row],[Date]]</f>
        <v>45986</v>
      </c>
      <c r="C639" s="50" t="s">
        <v>149</v>
      </c>
      <c r="D639" s="50"/>
      <c r="E639" s="51" t="s">
        <v>150</v>
      </c>
      <c r="F639" s="84"/>
      <c r="G639" s="50"/>
      <c r="H639" s="50"/>
      <c r="I639" s="52"/>
    </row>
    <row r="640" spans="1:9" s="24" customFormat="1">
      <c r="A640" s="103">
        <v>45987</v>
      </c>
      <c r="B640" s="104">
        <f>Table134[[#This Row],[Date]]</f>
        <v>45987</v>
      </c>
      <c r="C640" s="105" t="s">
        <v>14</v>
      </c>
      <c r="D640" s="105"/>
      <c r="E640" s="109" t="s">
        <v>124</v>
      </c>
      <c r="F640" s="105" t="s">
        <v>49</v>
      </c>
      <c r="G640" s="105" t="s">
        <v>19</v>
      </c>
      <c r="H640" s="105">
        <v>1</v>
      </c>
      <c r="I640" s="108"/>
    </row>
    <row r="641" spans="1:9" s="24" customFormat="1">
      <c r="A641" s="53">
        <v>45987</v>
      </c>
      <c r="B641" s="54">
        <f>Table134[[#This Row],[Date]]</f>
        <v>45987</v>
      </c>
      <c r="C641" s="55" t="s">
        <v>16</v>
      </c>
      <c r="D641" s="55"/>
      <c r="E641" s="59" t="s">
        <v>119</v>
      </c>
      <c r="F641" s="55" t="s">
        <v>18</v>
      </c>
      <c r="G641" s="55" t="s">
        <v>19</v>
      </c>
      <c r="H641" s="55">
        <v>1</v>
      </c>
      <c r="I641" s="57"/>
    </row>
    <row r="642" spans="1:9" s="24" customFormat="1">
      <c r="A642" s="53">
        <v>45987</v>
      </c>
      <c r="B642" s="54">
        <f>Table134[[#This Row],[Date]]</f>
        <v>45987</v>
      </c>
      <c r="C642" s="55" t="s">
        <v>16</v>
      </c>
      <c r="D642" s="55"/>
      <c r="E642" s="59" t="s">
        <v>119</v>
      </c>
      <c r="F642" s="63" t="s">
        <v>21</v>
      </c>
      <c r="G642" s="55" t="s">
        <v>19</v>
      </c>
      <c r="H642" s="55">
        <v>1</v>
      </c>
      <c r="I642" s="57"/>
    </row>
    <row r="643" spans="1:9" s="24" customFormat="1">
      <c r="A643" s="53">
        <v>45987</v>
      </c>
      <c r="B643" s="54">
        <f>Table134[[#This Row],[Date]]</f>
        <v>45987</v>
      </c>
      <c r="C643" s="55" t="s">
        <v>23</v>
      </c>
      <c r="D643" s="55"/>
      <c r="E643" s="61" t="s">
        <v>125</v>
      </c>
      <c r="F643" s="63" t="s">
        <v>18</v>
      </c>
      <c r="G643" s="55" t="s">
        <v>19</v>
      </c>
      <c r="H643" s="55">
        <v>1</v>
      </c>
      <c r="I643" s="57"/>
    </row>
    <row r="644" spans="1:9" s="24" customFormat="1">
      <c r="A644" s="53">
        <v>45987</v>
      </c>
      <c r="B644" s="54">
        <f>Table134[[#This Row],[Date]]</f>
        <v>45987</v>
      </c>
      <c r="C644" s="55" t="s">
        <v>23</v>
      </c>
      <c r="D644" s="55"/>
      <c r="E644" s="61" t="s">
        <v>127</v>
      </c>
      <c r="F644" s="55" t="s">
        <v>18</v>
      </c>
      <c r="G644" s="55" t="s">
        <v>19</v>
      </c>
      <c r="H644" s="55">
        <v>1</v>
      </c>
      <c r="I644" s="57"/>
    </row>
    <row r="645" spans="1:9" s="24" customFormat="1">
      <c r="A645" s="53">
        <v>45987</v>
      </c>
      <c r="B645" s="54">
        <f>Table134[[#This Row],[Date]]</f>
        <v>45987</v>
      </c>
      <c r="C645" s="55" t="s">
        <v>26</v>
      </c>
      <c r="D645" s="55"/>
      <c r="E645" s="59" t="s">
        <v>128</v>
      </c>
      <c r="F645" s="55" t="s">
        <v>21</v>
      </c>
      <c r="G645" s="55" t="s">
        <v>19</v>
      </c>
      <c r="H645" s="55">
        <v>1</v>
      </c>
      <c r="I645" s="57"/>
    </row>
    <row r="646" spans="1:9" s="24" customFormat="1">
      <c r="A646" s="103">
        <v>45987</v>
      </c>
      <c r="B646" s="104">
        <f>Table134[[#This Row],[Date]]</f>
        <v>45987</v>
      </c>
      <c r="C646" s="105" t="s">
        <v>26</v>
      </c>
      <c r="D646" s="105"/>
      <c r="E646" s="109" t="s">
        <v>129</v>
      </c>
      <c r="F646" s="116"/>
      <c r="G646" s="105"/>
      <c r="H646" s="105">
        <v>1</v>
      </c>
      <c r="I646" s="108"/>
    </row>
    <row r="647" spans="1:9" s="24" customFormat="1">
      <c r="A647" s="53">
        <v>45988</v>
      </c>
      <c r="B647" s="54">
        <f>Table134[[#This Row],[Date]]</f>
        <v>45988</v>
      </c>
      <c r="C647" s="55" t="s">
        <v>14</v>
      </c>
      <c r="D647" s="55"/>
      <c r="E647" s="59" t="s">
        <v>130</v>
      </c>
      <c r="F647" s="55" t="s">
        <v>18</v>
      </c>
      <c r="G647" s="55" t="s">
        <v>19</v>
      </c>
      <c r="H647" s="55">
        <v>1</v>
      </c>
      <c r="I647" s="57"/>
    </row>
    <row r="648" spans="1:9" s="24" customFormat="1">
      <c r="A648" s="53">
        <v>45988</v>
      </c>
      <c r="B648" s="54">
        <f>Table134[[#This Row],[Date]]</f>
        <v>45988</v>
      </c>
      <c r="C648" s="55" t="s">
        <v>14</v>
      </c>
      <c r="D648" s="55"/>
      <c r="E648" s="59" t="s">
        <v>131</v>
      </c>
      <c r="F648" s="64" t="s">
        <v>18</v>
      </c>
      <c r="G648" s="55" t="s">
        <v>19</v>
      </c>
      <c r="H648" s="55">
        <v>1</v>
      </c>
      <c r="I648" s="57"/>
    </row>
    <row r="649" spans="1:9" s="24" customFormat="1">
      <c r="A649" s="53">
        <v>45988</v>
      </c>
      <c r="B649" s="54">
        <f>Table134[[#This Row],[Date]]</f>
        <v>45988</v>
      </c>
      <c r="C649" s="55" t="s">
        <v>14</v>
      </c>
      <c r="D649" s="55"/>
      <c r="E649" s="59" t="s">
        <v>132</v>
      </c>
      <c r="F649" s="55" t="s">
        <v>18</v>
      </c>
      <c r="G649" s="55" t="s">
        <v>19</v>
      </c>
      <c r="H649" s="55">
        <v>1</v>
      </c>
      <c r="I649" s="57"/>
    </row>
    <row r="650" spans="1:9" s="24" customFormat="1">
      <c r="A650" s="53">
        <v>45988</v>
      </c>
      <c r="B650" s="54">
        <f>Table134[[#This Row],[Date]]</f>
        <v>45988</v>
      </c>
      <c r="C650" s="55" t="s">
        <v>16</v>
      </c>
      <c r="D650" s="63"/>
      <c r="E650" s="79" t="s">
        <v>133</v>
      </c>
      <c r="F650" s="55" t="s">
        <v>21</v>
      </c>
      <c r="G650" s="55" t="s">
        <v>19</v>
      </c>
      <c r="H650" s="55">
        <v>1</v>
      </c>
      <c r="I650" s="57"/>
    </row>
    <row r="651" spans="1:9" s="24" customFormat="1">
      <c r="A651" s="53">
        <v>45988</v>
      </c>
      <c r="B651" s="54">
        <f>Table134[[#This Row],[Date]]</f>
        <v>45988</v>
      </c>
      <c r="C651" s="55" t="s">
        <v>16</v>
      </c>
      <c r="D651" s="55"/>
      <c r="E651" s="59" t="s">
        <v>134</v>
      </c>
      <c r="F651" s="55" t="s">
        <v>18</v>
      </c>
      <c r="G651" s="55" t="s">
        <v>19</v>
      </c>
      <c r="H651" s="55">
        <v>1</v>
      </c>
      <c r="I651" s="57"/>
    </row>
    <row r="652" spans="1:9" s="24" customFormat="1">
      <c r="A652" s="53">
        <v>45988</v>
      </c>
      <c r="B652" s="54">
        <f>Table134[[#This Row],[Date]]</f>
        <v>45988</v>
      </c>
      <c r="C652" s="55" t="s">
        <v>16</v>
      </c>
      <c r="D652" s="55"/>
      <c r="E652" s="59" t="s">
        <v>135</v>
      </c>
      <c r="F652" s="77" t="s">
        <v>47</v>
      </c>
      <c r="G652" s="55" t="s">
        <v>19</v>
      </c>
      <c r="H652" s="55">
        <v>1</v>
      </c>
      <c r="I652" s="57"/>
    </row>
    <row r="653" spans="1:9" s="24" customFormat="1">
      <c r="A653" s="53">
        <v>45988</v>
      </c>
      <c r="B653" s="54">
        <f>Table134[[#This Row],[Date]]</f>
        <v>45988</v>
      </c>
      <c r="C653" s="55" t="s">
        <v>16</v>
      </c>
      <c r="D653" s="55"/>
      <c r="E653" s="59" t="s">
        <v>135</v>
      </c>
      <c r="F653" s="77" t="s">
        <v>53</v>
      </c>
      <c r="G653" s="55" t="s">
        <v>19</v>
      </c>
      <c r="H653" s="55">
        <v>1</v>
      </c>
      <c r="I653" s="57"/>
    </row>
    <row r="654" spans="1:9" s="24" customFormat="1">
      <c r="A654" s="53">
        <v>45989</v>
      </c>
      <c r="B654" s="54">
        <f>Table134[[#This Row],[Date]]</f>
        <v>45989</v>
      </c>
      <c r="C654" s="55" t="s">
        <v>14</v>
      </c>
      <c r="D654" s="55"/>
      <c r="E654" s="59" t="s">
        <v>145</v>
      </c>
      <c r="F654" s="55" t="s">
        <v>18</v>
      </c>
      <c r="G654" s="55" t="s">
        <v>19</v>
      </c>
      <c r="H654" s="55">
        <v>1</v>
      </c>
      <c r="I654" s="57"/>
    </row>
    <row r="655" spans="1:9" s="24" customFormat="1">
      <c r="A655" s="53">
        <v>45989</v>
      </c>
      <c r="B655" s="54">
        <f>Table134[[#This Row],[Date]]</f>
        <v>45989</v>
      </c>
      <c r="C655" s="55" t="s">
        <v>16</v>
      </c>
      <c r="D655" s="55"/>
      <c r="E655" s="59" t="s">
        <v>136</v>
      </c>
      <c r="F655" s="55" t="s">
        <v>18</v>
      </c>
      <c r="G655" s="55" t="s">
        <v>19</v>
      </c>
      <c r="H655" s="55">
        <v>1</v>
      </c>
      <c r="I655" s="57"/>
    </row>
    <row r="656" spans="1:9" s="24" customFormat="1">
      <c r="A656" s="53">
        <v>45989</v>
      </c>
      <c r="B656" s="54">
        <f>Table134[[#This Row],[Date]]</f>
        <v>45989</v>
      </c>
      <c r="C656" s="55" t="s">
        <v>16</v>
      </c>
      <c r="D656" s="55"/>
      <c r="E656" s="59" t="s">
        <v>137</v>
      </c>
      <c r="F656" s="55" t="s">
        <v>18</v>
      </c>
      <c r="G656" s="55" t="s">
        <v>19</v>
      </c>
      <c r="H656" s="55">
        <v>1</v>
      </c>
      <c r="I656" s="57"/>
    </row>
    <row r="657" spans="1:9" s="24" customFormat="1">
      <c r="A657" s="53">
        <v>45989</v>
      </c>
      <c r="B657" s="54">
        <f>Table134[[#This Row],[Date]]</f>
        <v>45989</v>
      </c>
      <c r="C657" s="55" t="s">
        <v>16</v>
      </c>
      <c r="D657" s="55"/>
      <c r="E657" s="59" t="s">
        <v>138</v>
      </c>
      <c r="F657" s="55" t="s">
        <v>18</v>
      </c>
      <c r="G657" s="55" t="s">
        <v>19</v>
      </c>
      <c r="H657" s="55">
        <v>1</v>
      </c>
      <c r="I657" s="57"/>
    </row>
    <row r="658" spans="1:9" s="24" customFormat="1">
      <c r="A658" s="53">
        <v>45989</v>
      </c>
      <c r="B658" s="54">
        <f>Table134[[#This Row],[Date]]</f>
        <v>45989</v>
      </c>
      <c r="C658" s="55" t="s">
        <v>23</v>
      </c>
      <c r="D658" s="55"/>
      <c r="E658" s="59" t="s">
        <v>139</v>
      </c>
      <c r="F658" s="55" t="s">
        <v>18</v>
      </c>
      <c r="G658" s="55" t="s">
        <v>19</v>
      </c>
      <c r="H658" s="55">
        <v>1</v>
      </c>
      <c r="I658" s="57"/>
    </row>
    <row r="659" spans="1:9" s="24" customFormat="1">
      <c r="A659" s="53">
        <v>45989</v>
      </c>
      <c r="B659" s="54">
        <f>Table134[[#This Row],[Date]]</f>
        <v>45989</v>
      </c>
      <c r="C659" s="55" t="s">
        <v>23</v>
      </c>
      <c r="D659" s="55"/>
      <c r="E659" s="59" t="s">
        <v>140</v>
      </c>
      <c r="F659" s="55" t="s">
        <v>18</v>
      </c>
      <c r="G659" s="55" t="s">
        <v>19</v>
      </c>
      <c r="H659" s="55">
        <v>1</v>
      </c>
      <c r="I659" s="57"/>
    </row>
    <row r="660" spans="1:9" s="24" customFormat="1">
      <c r="A660" s="53">
        <v>45989</v>
      </c>
      <c r="B660" s="54">
        <f>Table134[[#This Row],[Date]]</f>
        <v>45989</v>
      </c>
      <c r="C660" s="55" t="s">
        <v>23</v>
      </c>
      <c r="D660" s="55"/>
      <c r="E660" s="59" t="s">
        <v>141</v>
      </c>
      <c r="F660" s="55" t="s">
        <v>18</v>
      </c>
      <c r="G660" s="55" t="s">
        <v>19</v>
      </c>
      <c r="H660" s="55">
        <v>1</v>
      </c>
      <c r="I660" s="57"/>
    </row>
    <row r="661" spans="1:9" s="24" customFormat="1">
      <c r="A661" s="53">
        <v>45989</v>
      </c>
      <c r="B661" s="54">
        <f>Table134[[#This Row],[Date]]</f>
        <v>45989</v>
      </c>
      <c r="C661" s="55" t="s">
        <v>23</v>
      </c>
      <c r="D661" s="55"/>
      <c r="E661" s="59" t="s">
        <v>142</v>
      </c>
      <c r="F661" s="55" t="s">
        <v>18</v>
      </c>
      <c r="G661" s="55" t="s">
        <v>19</v>
      </c>
      <c r="H661" s="55">
        <v>1</v>
      </c>
      <c r="I661" s="57"/>
    </row>
    <row r="662" spans="1:9" s="24" customFormat="1">
      <c r="A662" s="53">
        <v>45989</v>
      </c>
      <c r="B662" s="54">
        <f>Table134[[#This Row],[Date]]</f>
        <v>45989</v>
      </c>
      <c r="C662" s="55" t="s">
        <v>23</v>
      </c>
      <c r="D662" s="55"/>
      <c r="E662" s="59" t="s">
        <v>146</v>
      </c>
      <c r="F662" s="55" t="s">
        <v>18</v>
      </c>
      <c r="G662" s="55" t="s">
        <v>19</v>
      </c>
      <c r="H662" s="55">
        <v>1</v>
      </c>
      <c r="I662" s="57"/>
    </row>
    <row r="663" spans="1:9" s="24" customFormat="1">
      <c r="A663" s="53">
        <v>45989</v>
      </c>
      <c r="B663" s="54">
        <f>Table134[[#This Row],[Date]]</f>
        <v>45989</v>
      </c>
      <c r="C663" s="55" t="s">
        <v>23</v>
      </c>
      <c r="D663" s="55"/>
      <c r="E663" s="59" t="s">
        <v>146</v>
      </c>
      <c r="F663" s="55" t="s">
        <v>21</v>
      </c>
      <c r="G663" s="55" t="s">
        <v>19</v>
      </c>
      <c r="H663" s="55">
        <v>1</v>
      </c>
      <c r="I663" s="57"/>
    </row>
    <row r="664" spans="1:9" s="24" customFormat="1">
      <c r="A664" s="53">
        <v>45989</v>
      </c>
      <c r="B664" s="54">
        <f>Table134[[#This Row],[Date]]</f>
        <v>45989</v>
      </c>
      <c r="C664" s="55" t="s">
        <v>23</v>
      </c>
      <c r="D664" s="55"/>
      <c r="E664" s="59" t="s">
        <v>146</v>
      </c>
      <c r="F664" s="55" t="s">
        <v>147</v>
      </c>
      <c r="G664" s="55" t="s">
        <v>19</v>
      </c>
      <c r="H664" s="55">
        <v>1</v>
      </c>
      <c r="I664" s="57"/>
    </row>
    <row r="665" spans="1:9" s="24" customFormat="1">
      <c r="A665" s="53">
        <v>45989</v>
      </c>
      <c r="B665" s="54">
        <f>Table134[[#This Row],[Date]]</f>
        <v>45989</v>
      </c>
      <c r="C665" s="55" t="s">
        <v>23</v>
      </c>
      <c r="D665" s="55"/>
      <c r="E665" s="59" t="s">
        <v>146</v>
      </c>
      <c r="F665" s="55" t="s">
        <v>148</v>
      </c>
      <c r="G665" s="55" t="s">
        <v>19</v>
      </c>
      <c r="H665" s="55">
        <v>1</v>
      </c>
      <c r="I665" s="57"/>
    </row>
    <row r="666" spans="1:9" s="24" customFormat="1">
      <c r="A666" s="16">
        <v>45990</v>
      </c>
      <c r="B666" s="18">
        <f>Table134[[#This Row],[Date]]</f>
        <v>45990</v>
      </c>
      <c r="C666" s="10" t="s">
        <v>23</v>
      </c>
      <c r="D666" s="10"/>
      <c r="E666" s="9" t="s">
        <v>143</v>
      </c>
      <c r="F666" s="10" t="s">
        <v>41</v>
      </c>
      <c r="G666" s="10" t="s">
        <v>19</v>
      </c>
      <c r="H666" s="10">
        <v>1</v>
      </c>
      <c r="I666" s="13"/>
    </row>
    <row r="667" spans="1:9" s="24" customFormat="1">
      <c r="A667" s="16">
        <v>45990</v>
      </c>
      <c r="B667" s="18">
        <f>Table134[[#This Row],[Date]]</f>
        <v>45990</v>
      </c>
      <c r="C667" s="10" t="s">
        <v>23</v>
      </c>
      <c r="D667" s="10"/>
      <c r="E667" s="9" t="s">
        <v>143</v>
      </c>
      <c r="F667" s="10" t="s">
        <v>42</v>
      </c>
      <c r="G667" s="10" t="s">
        <v>19</v>
      </c>
      <c r="H667" s="10">
        <v>1</v>
      </c>
      <c r="I667" s="13"/>
    </row>
    <row r="668" spans="1:9" s="24" customFormat="1">
      <c r="A668" s="53">
        <v>45992</v>
      </c>
      <c r="B668" s="54">
        <f>Table134[[#This Row],[Date]]</f>
        <v>45992</v>
      </c>
      <c r="C668" s="55" t="s">
        <v>16</v>
      </c>
      <c r="D668" s="55"/>
      <c r="E668" s="61" t="s">
        <v>17</v>
      </c>
      <c r="F668" s="55" t="s">
        <v>18</v>
      </c>
      <c r="G668" s="55" t="s">
        <v>19</v>
      </c>
      <c r="H668" s="55">
        <v>1</v>
      </c>
      <c r="I668" s="57"/>
    </row>
    <row r="669" spans="1:9" s="24" customFormat="1">
      <c r="A669" s="53">
        <v>45992</v>
      </c>
      <c r="B669" s="54">
        <f>Table134[[#This Row],[Date]]</f>
        <v>45992</v>
      </c>
      <c r="C669" s="55" t="s">
        <v>16</v>
      </c>
      <c r="D669" s="55"/>
      <c r="E669" s="59" t="s">
        <v>20</v>
      </c>
      <c r="F669" s="55" t="s">
        <v>18</v>
      </c>
      <c r="G669" s="55" t="s">
        <v>19</v>
      </c>
      <c r="H669" s="55">
        <v>1</v>
      </c>
      <c r="I669" s="57"/>
    </row>
    <row r="670" spans="1:9" s="24" customFormat="1">
      <c r="A670" s="53">
        <v>45992</v>
      </c>
      <c r="B670" s="54">
        <f>Table134[[#This Row],[Date]]</f>
        <v>45992</v>
      </c>
      <c r="C670" s="55" t="s">
        <v>23</v>
      </c>
      <c r="D670" s="55"/>
      <c r="E670" s="91" t="s">
        <v>24</v>
      </c>
      <c r="F670" s="64" t="s">
        <v>18</v>
      </c>
      <c r="G670" s="55" t="s">
        <v>19</v>
      </c>
      <c r="H670" s="55">
        <v>1</v>
      </c>
      <c r="I670" s="57"/>
    </row>
    <row r="671" spans="1:9" s="24" customFormat="1">
      <c r="A671" s="53">
        <v>45992</v>
      </c>
      <c r="B671" s="54">
        <f>Table134[[#This Row],[Date]]</f>
        <v>45992</v>
      </c>
      <c r="C671" s="55" t="s">
        <v>23</v>
      </c>
      <c r="D671" s="55"/>
      <c r="E671" s="91" t="s">
        <v>25</v>
      </c>
      <c r="F671" s="64" t="s">
        <v>18</v>
      </c>
      <c r="G671" s="55" t="s">
        <v>19</v>
      </c>
      <c r="H671" s="55">
        <v>1</v>
      </c>
      <c r="I671" s="57"/>
    </row>
    <row r="672" spans="1:9" s="24" customFormat="1">
      <c r="A672" s="53">
        <v>45992</v>
      </c>
      <c r="B672" s="54">
        <f>Table134[[#This Row],[Date]]</f>
        <v>45992</v>
      </c>
      <c r="C672" s="55" t="s">
        <v>23</v>
      </c>
      <c r="D672" s="55"/>
      <c r="E672" s="91" t="s">
        <v>25</v>
      </c>
      <c r="F672" s="64" t="s">
        <v>21</v>
      </c>
      <c r="G672" s="55" t="s">
        <v>19</v>
      </c>
      <c r="H672" s="55">
        <v>1</v>
      </c>
      <c r="I672" s="57"/>
    </row>
    <row r="673" spans="1:9" s="24" customFormat="1">
      <c r="A673" s="53">
        <v>45992</v>
      </c>
      <c r="B673" s="54">
        <f>Table134[[#This Row],[Date]]</f>
        <v>45992</v>
      </c>
      <c r="C673" s="55" t="s">
        <v>26</v>
      </c>
      <c r="D673" s="55"/>
      <c r="E673" s="61" t="s">
        <v>151</v>
      </c>
      <c r="F673" s="55" t="s">
        <v>18</v>
      </c>
      <c r="G673" s="55" t="s">
        <v>19</v>
      </c>
      <c r="H673" s="55">
        <v>1</v>
      </c>
      <c r="I673" s="57"/>
    </row>
    <row r="674" spans="1:9" s="24" customFormat="1">
      <c r="A674" s="53">
        <v>45992</v>
      </c>
      <c r="B674" s="54">
        <f>Table134[[#This Row],[Date]]</f>
        <v>45992</v>
      </c>
      <c r="C674" s="55" t="s">
        <v>26</v>
      </c>
      <c r="D674" s="55"/>
      <c r="E674" s="61" t="s">
        <v>151</v>
      </c>
      <c r="F674" s="55" t="s">
        <v>28</v>
      </c>
      <c r="G674" s="55" t="s">
        <v>19</v>
      </c>
      <c r="H674" s="55">
        <v>1</v>
      </c>
      <c r="I674" s="57"/>
    </row>
    <row r="675" spans="1:9" s="24" customFormat="1">
      <c r="A675" s="53">
        <v>45992</v>
      </c>
      <c r="B675" s="54">
        <f>Table134[[#This Row],[Date]]</f>
        <v>45992</v>
      </c>
      <c r="C675" s="55" t="s">
        <v>26</v>
      </c>
      <c r="D675" s="55"/>
      <c r="E675" s="61" t="s">
        <v>152</v>
      </c>
      <c r="F675" s="55" t="s">
        <v>18</v>
      </c>
      <c r="G675" s="55" t="s">
        <v>19</v>
      </c>
      <c r="H675" s="55">
        <v>1</v>
      </c>
      <c r="I675" s="57"/>
    </row>
    <row r="676" spans="1:9" s="24" customFormat="1">
      <c r="A676" s="53">
        <v>45992</v>
      </c>
      <c r="B676" s="54">
        <f>Table134[[#This Row],[Date]]</f>
        <v>45992</v>
      </c>
      <c r="C676" s="55" t="s">
        <v>26</v>
      </c>
      <c r="D676" s="55"/>
      <c r="E676" s="61" t="s">
        <v>152</v>
      </c>
      <c r="F676" s="55" t="s">
        <v>28</v>
      </c>
      <c r="G676" s="55" t="s">
        <v>19</v>
      </c>
      <c r="H676" s="55">
        <v>1</v>
      </c>
      <c r="I676" s="57"/>
    </row>
    <row r="677" spans="1:9" s="24" customFormat="1">
      <c r="A677" s="53">
        <v>45993</v>
      </c>
      <c r="B677" s="54">
        <f>Table134[[#This Row],[Date]]</f>
        <v>45993</v>
      </c>
      <c r="C677" s="55" t="s">
        <v>26</v>
      </c>
      <c r="D677" s="55"/>
      <c r="E677" s="61" t="s">
        <v>153</v>
      </c>
      <c r="F677" s="55" t="s">
        <v>18</v>
      </c>
      <c r="G677" s="55" t="s">
        <v>19</v>
      </c>
      <c r="H677" s="55">
        <v>1</v>
      </c>
      <c r="I677" s="57"/>
    </row>
    <row r="678" spans="1:9" s="24" customFormat="1">
      <c r="A678" s="53">
        <v>45993</v>
      </c>
      <c r="B678" s="54">
        <f>Table134[[#This Row],[Date]]</f>
        <v>45993</v>
      </c>
      <c r="C678" s="55" t="s">
        <v>26</v>
      </c>
      <c r="D678" s="55"/>
      <c r="E678" s="61" t="s">
        <v>153</v>
      </c>
      <c r="F678" s="55" t="s">
        <v>28</v>
      </c>
      <c r="G678" s="55" t="s">
        <v>19</v>
      </c>
      <c r="H678" s="55">
        <v>1</v>
      </c>
      <c r="I678" s="57"/>
    </row>
    <row r="679" spans="1:9" s="24" customFormat="1">
      <c r="A679" s="53">
        <v>45993</v>
      </c>
      <c r="B679" s="54">
        <f>Table134[[#This Row],[Date]]</f>
        <v>45993</v>
      </c>
      <c r="C679" s="55" t="s">
        <v>26</v>
      </c>
      <c r="D679" s="55"/>
      <c r="E679" s="61" t="s">
        <v>154</v>
      </c>
      <c r="F679" s="55" t="s">
        <v>18</v>
      </c>
      <c r="G679" s="55" t="s">
        <v>19</v>
      </c>
      <c r="H679" s="55">
        <v>1</v>
      </c>
      <c r="I679" s="57"/>
    </row>
    <row r="680" spans="1:9" s="24" customFormat="1">
      <c r="A680" s="53">
        <v>45993</v>
      </c>
      <c r="B680" s="54">
        <f>Table134[[#This Row],[Date]]</f>
        <v>45993</v>
      </c>
      <c r="C680" s="55" t="s">
        <v>26</v>
      </c>
      <c r="D680" s="55"/>
      <c r="E680" s="61" t="s">
        <v>154</v>
      </c>
      <c r="F680" s="55" t="s">
        <v>28</v>
      </c>
      <c r="G680" s="55" t="s">
        <v>19</v>
      </c>
      <c r="H680" s="55">
        <v>1</v>
      </c>
      <c r="I680" s="57"/>
    </row>
    <row r="681" spans="1:9" s="24" customFormat="1">
      <c r="A681" s="48">
        <v>45993</v>
      </c>
      <c r="B681" s="49">
        <f>Table134[[#This Row],[Date]]</f>
        <v>45993</v>
      </c>
      <c r="C681" s="50" t="s">
        <v>4</v>
      </c>
      <c r="D681" s="50"/>
      <c r="E681" s="51" t="s">
        <v>32</v>
      </c>
      <c r="F681" s="50"/>
      <c r="G681" s="50"/>
      <c r="H681" s="50"/>
      <c r="I681" s="52"/>
    </row>
    <row r="682" spans="1:9" s="24" customFormat="1">
      <c r="A682" s="53">
        <v>45994</v>
      </c>
      <c r="B682" s="54">
        <f>Table134[[#This Row],[Date]]</f>
        <v>45994</v>
      </c>
      <c r="C682" s="55" t="s">
        <v>14</v>
      </c>
      <c r="D682" s="55"/>
      <c r="E682" s="91" t="s">
        <v>33</v>
      </c>
      <c r="F682" s="77" t="s">
        <v>18</v>
      </c>
      <c r="G682" s="55" t="s">
        <v>19</v>
      </c>
      <c r="H682" s="55">
        <v>1</v>
      </c>
      <c r="I682" s="57"/>
    </row>
    <row r="683" spans="1:9" s="24" customFormat="1">
      <c r="A683" s="53">
        <v>45994</v>
      </c>
      <c r="B683" s="54">
        <f>Table134[[#This Row],[Date]]</f>
        <v>45994</v>
      </c>
      <c r="C683" s="55" t="s">
        <v>14</v>
      </c>
      <c r="D683" s="55"/>
      <c r="E683" s="91" t="s">
        <v>33</v>
      </c>
      <c r="F683" s="55" t="s">
        <v>21</v>
      </c>
      <c r="G683" s="55" t="s">
        <v>19</v>
      </c>
      <c r="H683" s="55">
        <v>1</v>
      </c>
      <c r="I683" s="57"/>
    </row>
    <row r="684" spans="1:9" s="24" customFormat="1">
      <c r="A684" s="53">
        <v>45994</v>
      </c>
      <c r="B684" s="54">
        <f>Table134[[#This Row],[Date]]</f>
        <v>45994</v>
      </c>
      <c r="C684" s="55" t="s">
        <v>14</v>
      </c>
      <c r="D684" s="55"/>
      <c r="E684" s="91" t="s">
        <v>33</v>
      </c>
      <c r="F684" s="77" t="s">
        <v>34</v>
      </c>
      <c r="G684" s="55" t="s">
        <v>19</v>
      </c>
      <c r="H684" s="55">
        <v>1</v>
      </c>
      <c r="I684" s="57"/>
    </row>
    <row r="685" spans="1:9" s="24" customFormat="1">
      <c r="A685" s="53">
        <v>45994</v>
      </c>
      <c r="B685" s="54">
        <f>Table134[[#This Row],[Date]]</f>
        <v>45994</v>
      </c>
      <c r="C685" s="55" t="s">
        <v>14</v>
      </c>
      <c r="D685" s="55"/>
      <c r="E685" s="91" t="s">
        <v>33</v>
      </c>
      <c r="F685" s="77" t="s">
        <v>35</v>
      </c>
      <c r="G685" s="55" t="s">
        <v>19</v>
      </c>
      <c r="H685" s="55">
        <v>1</v>
      </c>
      <c r="I685" s="57"/>
    </row>
    <row r="686" spans="1:9" s="24" customFormat="1">
      <c r="A686" s="53">
        <v>45994</v>
      </c>
      <c r="B686" s="54">
        <f>Table134[[#This Row],[Date]]</f>
        <v>45994</v>
      </c>
      <c r="C686" s="55" t="s">
        <v>23</v>
      </c>
      <c r="D686" s="55"/>
      <c r="E686" s="59" t="s">
        <v>36</v>
      </c>
      <c r="F686" s="55" t="s">
        <v>18</v>
      </c>
      <c r="G686" s="55" t="s">
        <v>19</v>
      </c>
      <c r="H686" s="55">
        <v>1</v>
      </c>
      <c r="I686" s="57"/>
    </row>
    <row r="687" spans="1:9" s="24" customFormat="1">
      <c r="A687" s="53">
        <v>45994</v>
      </c>
      <c r="B687" s="54">
        <f>Table134[[#This Row],[Date]]</f>
        <v>45994</v>
      </c>
      <c r="C687" s="55" t="s">
        <v>26</v>
      </c>
      <c r="D687" s="55"/>
      <c r="E687" s="74" t="s">
        <v>39</v>
      </c>
      <c r="F687" s="55" t="s">
        <v>18</v>
      </c>
      <c r="G687" s="55" t="s">
        <v>19</v>
      </c>
      <c r="H687" s="55">
        <v>1</v>
      </c>
      <c r="I687" s="57"/>
    </row>
    <row r="688" spans="1:9" s="24" customFormat="1">
      <c r="A688" s="53">
        <v>45994</v>
      </c>
      <c r="B688" s="54">
        <f>Table134[[#This Row],[Date]]</f>
        <v>45994</v>
      </c>
      <c r="C688" s="55" t="s">
        <v>26</v>
      </c>
      <c r="D688" s="55"/>
      <c r="E688" s="74" t="s">
        <v>39</v>
      </c>
      <c r="F688" s="55" t="s">
        <v>28</v>
      </c>
      <c r="G688" s="55" t="s">
        <v>19</v>
      </c>
      <c r="H688" s="55">
        <v>1</v>
      </c>
      <c r="I688" s="57"/>
    </row>
    <row r="689" spans="1:9" s="24" customFormat="1">
      <c r="A689" s="53">
        <v>45994</v>
      </c>
      <c r="B689" s="54">
        <f>Table134[[#This Row],[Date]]</f>
        <v>45994</v>
      </c>
      <c r="C689" s="55" t="s">
        <v>26</v>
      </c>
      <c r="D689" s="55"/>
      <c r="E689" s="61" t="s">
        <v>155</v>
      </c>
      <c r="F689" s="55" t="s">
        <v>18</v>
      </c>
      <c r="G689" s="55" t="s">
        <v>19</v>
      </c>
      <c r="H689" s="55">
        <v>1</v>
      </c>
      <c r="I689" s="57"/>
    </row>
    <row r="690" spans="1:9" s="24" customFormat="1">
      <c r="A690" s="53">
        <v>45994</v>
      </c>
      <c r="B690" s="54">
        <f>Table134[[#This Row],[Date]]</f>
        <v>45994</v>
      </c>
      <c r="C690" s="55" t="s">
        <v>26</v>
      </c>
      <c r="D690" s="55"/>
      <c r="E690" s="61" t="s">
        <v>155</v>
      </c>
      <c r="F690" s="55" t="s">
        <v>28</v>
      </c>
      <c r="G690" s="55" t="s">
        <v>19</v>
      </c>
      <c r="H690" s="55">
        <v>1</v>
      </c>
      <c r="I690" s="57"/>
    </row>
    <row r="691" spans="1:9" s="24" customFormat="1">
      <c r="A691" s="53">
        <v>45995</v>
      </c>
      <c r="B691" s="54">
        <f>Table134[[#This Row],[Date]]</f>
        <v>45995</v>
      </c>
      <c r="C691" s="55" t="s">
        <v>14</v>
      </c>
      <c r="D691" s="55"/>
      <c r="E691" s="91" t="s">
        <v>33</v>
      </c>
      <c r="F691" s="64" t="s">
        <v>41</v>
      </c>
      <c r="G691" s="55" t="s">
        <v>19</v>
      </c>
      <c r="H691" s="55">
        <v>1</v>
      </c>
      <c r="I691" s="57"/>
    </row>
    <row r="692" spans="1:9" s="24" customFormat="1">
      <c r="A692" s="53">
        <v>45995</v>
      </c>
      <c r="B692" s="54">
        <f>Table134[[#This Row],[Date]]</f>
        <v>45995</v>
      </c>
      <c r="C692" s="55" t="s">
        <v>14</v>
      </c>
      <c r="D692" s="55"/>
      <c r="E692" s="91" t="s">
        <v>33</v>
      </c>
      <c r="F692" s="55" t="s">
        <v>42</v>
      </c>
      <c r="G692" s="55" t="s">
        <v>19</v>
      </c>
      <c r="H692" s="55">
        <v>1</v>
      </c>
      <c r="I692" s="57"/>
    </row>
    <row r="693" spans="1:9" s="24" customFormat="1">
      <c r="A693" s="53">
        <v>45995</v>
      </c>
      <c r="B693" s="54">
        <f>Table134[[#This Row],[Date]]</f>
        <v>45995</v>
      </c>
      <c r="C693" s="55" t="s">
        <v>14</v>
      </c>
      <c r="D693" s="55"/>
      <c r="E693" s="91" t="s">
        <v>33</v>
      </c>
      <c r="F693" s="55" t="s">
        <v>43</v>
      </c>
      <c r="G693" s="55" t="s">
        <v>19</v>
      </c>
      <c r="H693" s="55">
        <v>1</v>
      </c>
      <c r="I693" s="57"/>
    </row>
    <row r="694" spans="1:9" s="24" customFormat="1">
      <c r="A694" s="53">
        <v>45995</v>
      </c>
      <c r="B694" s="54">
        <f>Table134[[#This Row],[Date]]</f>
        <v>45995</v>
      </c>
      <c r="C694" s="55" t="s">
        <v>14</v>
      </c>
      <c r="D694" s="55"/>
      <c r="E694" s="91" t="s">
        <v>33</v>
      </c>
      <c r="F694" s="64" t="s">
        <v>44</v>
      </c>
      <c r="G694" s="55" t="s">
        <v>19</v>
      </c>
      <c r="H694" s="55">
        <v>1</v>
      </c>
      <c r="I694" s="57"/>
    </row>
    <row r="695" spans="1:9" s="24" customFormat="1">
      <c r="A695" s="53">
        <v>45995</v>
      </c>
      <c r="B695" s="54">
        <f>Table134[[#This Row],[Date]]</f>
        <v>45995</v>
      </c>
      <c r="C695" s="55" t="s">
        <v>14</v>
      </c>
      <c r="D695" s="55"/>
      <c r="E695" s="91" t="s">
        <v>33</v>
      </c>
      <c r="F695" s="64" t="s">
        <v>45</v>
      </c>
      <c r="G695" s="55" t="s">
        <v>19</v>
      </c>
      <c r="H695" s="55">
        <v>1</v>
      </c>
      <c r="I695" s="57"/>
    </row>
    <row r="696" spans="1:9" s="24" customFormat="1">
      <c r="A696" s="53">
        <v>45995</v>
      </c>
      <c r="B696" s="54">
        <f>Table134[[#This Row],[Date]]</f>
        <v>45995</v>
      </c>
      <c r="C696" s="55" t="s">
        <v>16</v>
      </c>
      <c r="D696" s="55"/>
      <c r="E696" s="59" t="s">
        <v>46</v>
      </c>
      <c r="F696" s="64" t="s">
        <v>18</v>
      </c>
      <c r="G696" s="55" t="s">
        <v>19</v>
      </c>
      <c r="H696" s="55">
        <v>1</v>
      </c>
      <c r="I696" s="57"/>
    </row>
    <row r="697" spans="1:9" s="24" customFormat="1">
      <c r="A697" s="53">
        <v>45995</v>
      </c>
      <c r="B697" s="54">
        <f>Table134[[#This Row],[Date]]</f>
        <v>45995</v>
      </c>
      <c r="C697" s="55" t="s">
        <v>16</v>
      </c>
      <c r="D697" s="55"/>
      <c r="E697" s="59" t="s">
        <v>46</v>
      </c>
      <c r="F697" s="64" t="s">
        <v>21</v>
      </c>
      <c r="G697" s="55" t="s">
        <v>19</v>
      </c>
      <c r="H697" s="55">
        <v>1</v>
      </c>
      <c r="I697" s="57"/>
    </row>
    <row r="698" spans="1:9" s="24" customFormat="1">
      <c r="A698" s="53">
        <v>45995</v>
      </c>
      <c r="B698" s="54">
        <f>Table134[[#This Row],[Date]]</f>
        <v>45995</v>
      </c>
      <c r="C698" s="55" t="s">
        <v>16</v>
      </c>
      <c r="D698" s="55"/>
      <c r="E698" s="59" t="s">
        <v>46</v>
      </c>
      <c r="F698" s="64" t="s">
        <v>47</v>
      </c>
      <c r="G698" s="55" t="s">
        <v>19</v>
      </c>
      <c r="H698" s="55">
        <v>1</v>
      </c>
      <c r="I698" s="57"/>
    </row>
    <row r="699" spans="1:9" s="24" customFormat="1" ht="14.45" customHeight="1">
      <c r="A699" s="53">
        <v>45995</v>
      </c>
      <c r="B699" s="54">
        <f>Table134[[#This Row],[Date]]</f>
        <v>45995</v>
      </c>
      <c r="C699" s="55" t="s">
        <v>26</v>
      </c>
      <c r="D699" s="55"/>
      <c r="E699" s="61" t="s">
        <v>157</v>
      </c>
      <c r="F699" s="64" t="s">
        <v>18</v>
      </c>
      <c r="G699" s="55" t="s">
        <v>19</v>
      </c>
      <c r="H699" s="55">
        <v>1</v>
      </c>
      <c r="I699" s="57"/>
    </row>
    <row r="700" spans="1:9" s="24" customFormat="1" ht="14.45" customHeight="1">
      <c r="A700" s="53">
        <v>45995</v>
      </c>
      <c r="B700" s="54">
        <f>Table134[[#This Row],[Date]]</f>
        <v>45995</v>
      </c>
      <c r="C700" s="55" t="s">
        <v>26</v>
      </c>
      <c r="D700" s="55"/>
      <c r="E700" s="61" t="s">
        <v>157</v>
      </c>
      <c r="F700" s="64" t="s">
        <v>21</v>
      </c>
      <c r="G700" s="55" t="s">
        <v>19</v>
      </c>
      <c r="H700" s="55">
        <v>1</v>
      </c>
      <c r="I700" s="57"/>
    </row>
    <row r="701" spans="1:9" s="24" customFormat="1" ht="14.45" customHeight="1">
      <c r="A701" s="53">
        <v>45995</v>
      </c>
      <c r="B701" s="54">
        <f>Table134[[#This Row],[Date]]</f>
        <v>45995</v>
      </c>
      <c r="C701" s="55" t="s">
        <v>26</v>
      </c>
      <c r="D701" s="55"/>
      <c r="E701" s="74" t="s">
        <v>40</v>
      </c>
      <c r="F701" s="55" t="s">
        <v>18</v>
      </c>
      <c r="G701" s="55" t="s">
        <v>19</v>
      </c>
      <c r="H701" s="55">
        <v>1</v>
      </c>
      <c r="I701" s="57"/>
    </row>
    <row r="702" spans="1:9" s="24" customFormat="1" ht="14.45" customHeight="1">
      <c r="A702" s="53">
        <v>45995</v>
      </c>
      <c r="B702" s="54">
        <f>Table134[[#This Row],[Date]]</f>
        <v>45995</v>
      </c>
      <c r="C702" s="55" t="s">
        <v>26</v>
      </c>
      <c r="D702" s="55"/>
      <c r="E702" s="74" t="s">
        <v>40</v>
      </c>
      <c r="F702" s="55" t="s">
        <v>28</v>
      </c>
      <c r="G702" s="55" t="s">
        <v>19</v>
      </c>
      <c r="H702" s="55">
        <v>1</v>
      </c>
      <c r="I702" s="57"/>
    </row>
    <row r="703" spans="1:9" s="24" customFormat="1" ht="14.45" customHeight="1">
      <c r="A703" s="53">
        <v>45996</v>
      </c>
      <c r="B703" s="54">
        <f>Table134[[#This Row],[Date]]</f>
        <v>45996</v>
      </c>
      <c r="C703" s="55" t="s">
        <v>16</v>
      </c>
      <c r="D703" s="55"/>
      <c r="E703" s="118" t="s">
        <v>50</v>
      </c>
      <c r="F703" s="64" t="s">
        <v>47</v>
      </c>
      <c r="G703" s="55" t="s">
        <v>19</v>
      </c>
      <c r="H703" s="55">
        <v>1</v>
      </c>
      <c r="I703" s="57"/>
    </row>
    <row r="704" spans="1:9" s="24" customFormat="1" ht="14.45" customHeight="1">
      <c r="A704" s="53">
        <v>45996</v>
      </c>
      <c r="B704" s="54">
        <f>Table134[[#This Row],[Date]]</f>
        <v>45996</v>
      </c>
      <c r="C704" s="55" t="s">
        <v>16</v>
      </c>
      <c r="D704" s="55"/>
      <c r="E704" s="118" t="s">
        <v>50</v>
      </c>
      <c r="F704" s="64" t="s">
        <v>18</v>
      </c>
      <c r="G704" s="55" t="s">
        <v>19</v>
      </c>
      <c r="H704" s="55">
        <v>1</v>
      </c>
      <c r="I704" s="57"/>
    </row>
    <row r="705" spans="1:9" s="24" customFormat="1" ht="14.45" customHeight="1">
      <c r="A705" s="53">
        <v>45996</v>
      </c>
      <c r="B705" s="54">
        <f>Table134[[#This Row],[Date]]</f>
        <v>45996</v>
      </c>
      <c r="C705" s="55" t="s">
        <v>16</v>
      </c>
      <c r="D705" s="55"/>
      <c r="E705" s="118" t="s">
        <v>50</v>
      </c>
      <c r="F705" s="64" t="s">
        <v>21</v>
      </c>
      <c r="G705" s="55" t="s">
        <v>19</v>
      </c>
      <c r="H705" s="55">
        <v>1</v>
      </c>
      <c r="I705" s="57"/>
    </row>
    <row r="706" spans="1:9" s="24" customFormat="1">
      <c r="A706" s="53">
        <v>45996</v>
      </c>
      <c r="B706" s="54">
        <f>Table134[[#This Row],[Date]]</f>
        <v>45996</v>
      </c>
      <c r="C706" s="55" t="s">
        <v>16</v>
      </c>
      <c r="D706" s="55"/>
      <c r="E706" s="59" t="s">
        <v>51</v>
      </c>
      <c r="F706" s="55" t="s">
        <v>18</v>
      </c>
      <c r="G706" s="55" t="s">
        <v>19</v>
      </c>
      <c r="H706" s="55">
        <v>1</v>
      </c>
      <c r="I706" s="57"/>
    </row>
    <row r="707" spans="1:9" s="24" customFormat="1">
      <c r="A707" s="53">
        <v>45996</v>
      </c>
      <c r="B707" s="54">
        <f>Table134[[#This Row],[Date]]</f>
        <v>45996</v>
      </c>
      <c r="C707" s="55" t="s">
        <v>23</v>
      </c>
      <c r="D707" s="55"/>
      <c r="E707" s="123" t="s">
        <v>52</v>
      </c>
      <c r="F707" s="64" t="s">
        <v>47</v>
      </c>
      <c r="G707" s="55" t="s">
        <v>19</v>
      </c>
      <c r="H707" s="55">
        <v>1</v>
      </c>
      <c r="I707" s="57"/>
    </row>
    <row r="708" spans="1:9" s="24" customFormat="1">
      <c r="A708" s="53">
        <v>45996</v>
      </c>
      <c r="B708" s="54">
        <f>Table134[[#This Row],[Date]]</f>
        <v>45996</v>
      </c>
      <c r="C708" s="55" t="s">
        <v>23</v>
      </c>
      <c r="D708" s="55"/>
      <c r="E708" s="123" t="s">
        <v>52</v>
      </c>
      <c r="F708" s="64" t="s">
        <v>53</v>
      </c>
      <c r="G708" s="55" t="s">
        <v>19</v>
      </c>
      <c r="H708" s="55">
        <v>1</v>
      </c>
      <c r="I708" s="57"/>
    </row>
    <row r="709" spans="1:9" s="24" customFormat="1">
      <c r="A709" s="53">
        <v>45996</v>
      </c>
      <c r="B709" s="54">
        <f>Table134[[#This Row],[Date]]</f>
        <v>45996</v>
      </c>
      <c r="C709" s="55" t="s">
        <v>23</v>
      </c>
      <c r="D709" s="55"/>
      <c r="E709" s="91" t="s">
        <v>54</v>
      </c>
      <c r="F709" s="64" t="s">
        <v>18</v>
      </c>
      <c r="G709" s="55" t="s">
        <v>19</v>
      </c>
      <c r="H709" s="55">
        <v>1</v>
      </c>
      <c r="I709" s="57"/>
    </row>
    <row r="710" spans="1:9" s="24" customFormat="1">
      <c r="A710" s="53">
        <v>45996</v>
      </c>
      <c r="B710" s="54">
        <f>Table134[[#This Row],[Date]]</f>
        <v>45996</v>
      </c>
      <c r="C710" s="55" t="s">
        <v>23</v>
      </c>
      <c r="D710" s="55"/>
      <c r="E710" s="91" t="s">
        <v>54</v>
      </c>
      <c r="F710" s="64" t="s">
        <v>21</v>
      </c>
      <c r="G710" s="55" t="s">
        <v>19</v>
      </c>
      <c r="H710" s="55">
        <v>1</v>
      </c>
      <c r="I710" s="57"/>
    </row>
    <row r="711" spans="1:9" s="24" customFormat="1">
      <c r="A711" s="53">
        <v>45996</v>
      </c>
      <c r="B711" s="54">
        <f>Table134[[#This Row],[Date]]</f>
        <v>45996</v>
      </c>
      <c r="C711" s="55" t="s">
        <v>26</v>
      </c>
      <c r="D711" s="55"/>
      <c r="E711" s="61" t="s">
        <v>158</v>
      </c>
      <c r="F711" s="64" t="s">
        <v>18</v>
      </c>
      <c r="G711" s="55" t="s">
        <v>19</v>
      </c>
      <c r="H711" s="55">
        <v>1</v>
      </c>
      <c r="I711" s="57"/>
    </row>
    <row r="712" spans="1:9" s="24" customFormat="1">
      <c r="A712" s="53">
        <v>45996</v>
      </c>
      <c r="B712" s="54">
        <f>Table134[[#This Row],[Date]]</f>
        <v>45996</v>
      </c>
      <c r="C712" s="55" t="s">
        <v>26</v>
      </c>
      <c r="D712" s="55"/>
      <c r="E712" s="61" t="s">
        <v>158</v>
      </c>
      <c r="F712" s="64" t="s">
        <v>21</v>
      </c>
      <c r="G712" s="55" t="s">
        <v>19</v>
      </c>
      <c r="H712" s="55">
        <v>1</v>
      </c>
      <c r="I712" s="57"/>
    </row>
    <row r="713" spans="1:9" s="24" customFormat="1">
      <c r="A713" s="53">
        <v>45996</v>
      </c>
      <c r="B713" s="54">
        <f>Table134[[#This Row],[Date]]</f>
        <v>45996</v>
      </c>
      <c r="C713" s="55" t="s">
        <v>26</v>
      </c>
      <c r="D713" s="55"/>
      <c r="E713" s="61" t="s">
        <v>158</v>
      </c>
      <c r="F713" s="64" t="s">
        <v>49</v>
      </c>
      <c r="G713" s="55" t="s">
        <v>19</v>
      </c>
      <c r="H713" s="55">
        <v>1</v>
      </c>
      <c r="I713" s="57"/>
    </row>
    <row r="714" spans="1:9" s="24" customFormat="1">
      <c r="A714" s="53">
        <v>45996</v>
      </c>
      <c r="B714" s="54">
        <f>Table134[[#This Row],[Date]]</f>
        <v>45996</v>
      </c>
      <c r="C714" s="55" t="s">
        <v>26</v>
      </c>
      <c r="D714" s="55"/>
      <c r="E714" s="61" t="s">
        <v>158</v>
      </c>
      <c r="F714" s="64" t="s">
        <v>41</v>
      </c>
      <c r="G714" s="55" t="s">
        <v>19</v>
      </c>
      <c r="H714" s="55">
        <v>1</v>
      </c>
      <c r="I714" s="57"/>
    </row>
    <row r="715" spans="1:9" s="24" customFormat="1">
      <c r="A715" s="16">
        <v>45997</v>
      </c>
      <c r="B715" s="18">
        <f>Table134[[#This Row],[Date]]</f>
        <v>45997</v>
      </c>
      <c r="C715" s="10" t="s">
        <v>14</v>
      </c>
      <c r="D715" s="10"/>
      <c r="E715" s="9" t="s">
        <v>56</v>
      </c>
      <c r="F715" s="10" t="s">
        <v>18</v>
      </c>
      <c r="G715" s="10" t="s">
        <v>19</v>
      </c>
      <c r="H715" s="10">
        <v>1</v>
      </c>
      <c r="I715" s="13"/>
    </row>
    <row r="716" spans="1:9" s="24" customFormat="1">
      <c r="A716" s="16">
        <v>45997</v>
      </c>
      <c r="B716" s="18">
        <f>Table134[[#This Row],[Date]]</f>
        <v>45997</v>
      </c>
      <c r="C716" s="10" t="s">
        <v>4</v>
      </c>
      <c r="D716" s="10"/>
      <c r="E716" s="9" t="s">
        <v>58</v>
      </c>
      <c r="F716" s="10" t="s">
        <v>59</v>
      </c>
      <c r="G716" s="10" t="s">
        <v>60</v>
      </c>
      <c r="H716" s="10">
        <v>1</v>
      </c>
      <c r="I716" s="13"/>
    </row>
    <row r="717" spans="1:9" s="24" customFormat="1">
      <c r="A717" s="16">
        <v>45997</v>
      </c>
      <c r="B717" s="18">
        <f>Table134[[#This Row],[Date]]</f>
        <v>45997</v>
      </c>
      <c r="C717" s="10" t="s">
        <v>4</v>
      </c>
      <c r="D717" s="10"/>
      <c r="E717" s="9" t="s">
        <v>58</v>
      </c>
      <c r="F717" s="10" t="s">
        <v>61</v>
      </c>
      <c r="G717" s="10" t="s">
        <v>60</v>
      </c>
      <c r="H717" s="10">
        <v>1</v>
      </c>
      <c r="I717" s="13"/>
    </row>
    <row r="718" spans="1:9" s="24" customFormat="1">
      <c r="A718" s="16">
        <v>45997</v>
      </c>
      <c r="B718" s="18">
        <f>Table134[[#This Row],[Date]]</f>
        <v>45997</v>
      </c>
      <c r="C718" s="10" t="s">
        <v>4</v>
      </c>
      <c r="D718" s="10"/>
      <c r="E718" s="9" t="s">
        <v>58</v>
      </c>
      <c r="F718" s="8" t="s">
        <v>18</v>
      </c>
      <c r="G718" s="10" t="s">
        <v>19</v>
      </c>
      <c r="H718" s="10">
        <v>1</v>
      </c>
      <c r="I718" s="13"/>
    </row>
    <row r="719" spans="1:9" s="24" customFormat="1">
      <c r="A719" s="16">
        <v>45997</v>
      </c>
      <c r="B719" s="18">
        <f>Table134[[#This Row],[Date]]</f>
        <v>45997</v>
      </c>
      <c r="C719" s="10" t="s">
        <v>4</v>
      </c>
      <c r="D719" s="10"/>
      <c r="E719" s="9" t="s">
        <v>58</v>
      </c>
      <c r="F719" s="8" t="s">
        <v>21</v>
      </c>
      <c r="G719" s="10" t="s">
        <v>19</v>
      </c>
      <c r="H719" s="10">
        <v>1</v>
      </c>
      <c r="I719" s="13"/>
    </row>
    <row r="720" spans="1:9" s="24" customFormat="1">
      <c r="A720" s="16">
        <v>45997</v>
      </c>
      <c r="B720" s="18">
        <f>Table134[[#This Row],[Date]]</f>
        <v>45997</v>
      </c>
      <c r="C720" s="10" t="s">
        <v>4</v>
      </c>
      <c r="D720" s="10"/>
      <c r="E720" s="9" t="s">
        <v>58</v>
      </c>
      <c r="F720" s="8" t="s">
        <v>49</v>
      </c>
      <c r="G720" s="10" t="s">
        <v>19</v>
      </c>
      <c r="H720" s="10">
        <v>1</v>
      </c>
      <c r="I720" s="13"/>
    </row>
    <row r="721" spans="1:9" s="24" customFormat="1">
      <c r="A721" s="16">
        <v>45997</v>
      </c>
      <c r="B721" s="18">
        <f>Table134[[#This Row],[Date]]</f>
        <v>45997</v>
      </c>
      <c r="C721" s="10" t="s">
        <v>4</v>
      </c>
      <c r="D721" s="10"/>
      <c r="E721" s="9" t="s">
        <v>58</v>
      </c>
      <c r="F721" s="8" t="s">
        <v>41</v>
      </c>
      <c r="G721" s="10" t="s">
        <v>19</v>
      </c>
      <c r="H721" s="10">
        <v>1</v>
      </c>
      <c r="I721" s="13"/>
    </row>
    <row r="722" spans="1:9" s="24" customFormat="1" ht="28.9">
      <c r="A722" s="16">
        <v>45998</v>
      </c>
      <c r="B722" s="18">
        <f>Table134[[#This Row],[Date]]</f>
        <v>45998</v>
      </c>
      <c r="C722" s="10" t="s">
        <v>16</v>
      </c>
      <c r="D722" s="10"/>
      <c r="E722" s="9" t="s">
        <v>62</v>
      </c>
      <c r="F722" s="10" t="s">
        <v>18</v>
      </c>
      <c r="G722" s="10" t="s">
        <v>19</v>
      </c>
      <c r="H722" s="10">
        <v>1</v>
      </c>
      <c r="I722" s="13"/>
    </row>
    <row r="723" spans="1:9" s="24" customFormat="1">
      <c r="A723" s="16">
        <v>45998</v>
      </c>
      <c r="B723" s="18">
        <f>Table134[[#This Row],[Date]]</f>
        <v>45998</v>
      </c>
      <c r="C723" s="10" t="s">
        <v>16</v>
      </c>
      <c r="D723" s="10"/>
      <c r="E723" s="9" t="s">
        <v>63</v>
      </c>
      <c r="F723" s="10" t="s">
        <v>18</v>
      </c>
      <c r="G723" s="10" t="s">
        <v>19</v>
      </c>
      <c r="H723" s="10">
        <v>1</v>
      </c>
      <c r="I723" s="13"/>
    </row>
    <row r="724" spans="1:9" s="24" customFormat="1">
      <c r="A724" s="16">
        <v>45998</v>
      </c>
      <c r="B724" s="18">
        <f>Table134[[#This Row],[Date]]</f>
        <v>45998</v>
      </c>
      <c r="C724" s="10" t="s">
        <v>4</v>
      </c>
      <c r="D724" s="10"/>
      <c r="E724" s="11" t="s">
        <v>58</v>
      </c>
      <c r="F724" s="8" t="s">
        <v>42</v>
      </c>
      <c r="G724" s="10" t="s">
        <v>19</v>
      </c>
      <c r="H724" s="10">
        <v>1</v>
      </c>
      <c r="I724" s="13"/>
    </row>
    <row r="725" spans="1:9" s="24" customFormat="1">
      <c r="A725" s="16">
        <v>45998</v>
      </c>
      <c r="B725" s="18">
        <f>Table134[[#This Row],[Date]]</f>
        <v>45998</v>
      </c>
      <c r="C725" s="10" t="s">
        <v>4</v>
      </c>
      <c r="D725" s="10"/>
      <c r="E725" s="9" t="s">
        <v>58</v>
      </c>
      <c r="F725" s="10" t="s">
        <v>64</v>
      </c>
      <c r="G725" s="10" t="s">
        <v>19</v>
      </c>
      <c r="H725" s="10">
        <v>1</v>
      </c>
      <c r="I725" s="13"/>
    </row>
    <row r="726" spans="1:9" s="24" customFormat="1">
      <c r="A726" s="16">
        <v>45998</v>
      </c>
      <c r="B726" s="18">
        <f>Table134[[#This Row],[Date]]</f>
        <v>45998</v>
      </c>
      <c r="C726" s="10" t="s">
        <v>4</v>
      </c>
      <c r="D726" s="10"/>
      <c r="E726" s="12" t="s">
        <v>58</v>
      </c>
      <c r="F726" s="10" t="s">
        <v>34</v>
      </c>
      <c r="G726" s="10" t="s">
        <v>19</v>
      </c>
      <c r="H726" s="10">
        <v>1</v>
      </c>
      <c r="I726" s="13"/>
    </row>
    <row r="727" spans="1:9" s="24" customFormat="1">
      <c r="A727" s="16">
        <v>45998</v>
      </c>
      <c r="B727" s="18">
        <f>Table134[[#This Row],[Date]]</f>
        <v>45998</v>
      </c>
      <c r="C727" s="10" t="s">
        <v>4</v>
      </c>
      <c r="D727" s="10"/>
      <c r="E727" s="12" t="s">
        <v>58</v>
      </c>
      <c r="F727" s="10" t="s">
        <v>43</v>
      </c>
      <c r="G727" s="10" t="s">
        <v>19</v>
      </c>
      <c r="H727" s="10">
        <v>1</v>
      </c>
      <c r="I727" s="13"/>
    </row>
    <row r="728" spans="1:9" s="24" customFormat="1">
      <c r="A728" s="53">
        <v>45999</v>
      </c>
      <c r="B728" s="54">
        <f>Table134[[#This Row],[Date]]</f>
        <v>45999</v>
      </c>
      <c r="C728" s="55" t="s">
        <v>14</v>
      </c>
      <c r="D728" s="55"/>
      <c r="E728" s="59" t="s">
        <v>65</v>
      </c>
      <c r="F728" s="55" t="s">
        <v>18</v>
      </c>
      <c r="G728" s="55" t="s">
        <v>19</v>
      </c>
      <c r="H728" s="55">
        <v>1</v>
      </c>
      <c r="I728" s="57"/>
    </row>
    <row r="729" spans="1:9" s="24" customFormat="1">
      <c r="A729" s="103">
        <v>45999</v>
      </c>
      <c r="B729" s="104">
        <f>Table134[[#This Row],[Date]]</f>
        <v>45999</v>
      </c>
      <c r="C729" s="105" t="s">
        <v>14</v>
      </c>
      <c r="D729" s="105"/>
      <c r="E729" s="119" t="s">
        <v>66</v>
      </c>
      <c r="F729" s="105" t="s">
        <v>18</v>
      </c>
      <c r="G729" s="105" t="s">
        <v>19</v>
      </c>
      <c r="H729" s="105">
        <v>1</v>
      </c>
      <c r="I729" s="108"/>
    </row>
    <row r="730" spans="1:9" s="24" customFormat="1">
      <c r="A730" s="53">
        <v>45999</v>
      </c>
      <c r="B730" s="54">
        <f>Table134[[#This Row],[Date]]</f>
        <v>45999</v>
      </c>
      <c r="C730" s="55" t="s">
        <v>14</v>
      </c>
      <c r="D730" s="55"/>
      <c r="E730" s="59" t="s">
        <v>67</v>
      </c>
      <c r="F730" s="55" t="s">
        <v>18</v>
      </c>
      <c r="G730" s="55" t="s">
        <v>19</v>
      </c>
      <c r="H730" s="55">
        <v>1</v>
      </c>
      <c r="I730" s="57"/>
    </row>
    <row r="731" spans="1:9" s="24" customFormat="1">
      <c r="A731" s="53">
        <v>45999</v>
      </c>
      <c r="B731" s="54">
        <f>Table134[[#This Row],[Date]]</f>
        <v>45999</v>
      </c>
      <c r="C731" s="55" t="s">
        <v>23</v>
      </c>
      <c r="D731" s="55"/>
      <c r="E731" s="59" t="s">
        <v>68</v>
      </c>
      <c r="F731" s="64" t="s">
        <v>18</v>
      </c>
      <c r="G731" s="55" t="s">
        <v>19</v>
      </c>
      <c r="H731" s="55">
        <v>1</v>
      </c>
      <c r="I731" s="57"/>
    </row>
    <row r="732" spans="1:9" s="24" customFormat="1">
      <c r="A732" s="53">
        <v>45999</v>
      </c>
      <c r="B732" s="54">
        <f>Table134[[#This Row],[Date]]</f>
        <v>45999</v>
      </c>
      <c r="C732" s="55" t="s">
        <v>23</v>
      </c>
      <c r="D732" s="55"/>
      <c r="E732" s="59" t="s">
        <v>68</v>
      </c>
      <c r="F732" s="64" t="s">
        <v>21</v>
      </c>
      <c r="G732" s="55" t="s">
        <v>19</v>
      </c>
      <c r="H732" s="55">
        <v>1</v>
      </c>
      <c r="I732" s="57"/>
    </row>
    <row r="733" spans="1:9" s="24" customFormat="1">
      <c r="A733" s="53">
        <v>45999</v>
      </c>
      <c r="B733" s="54">
        <f>Table134[[#This Row],[Date]]</f>
        <v>45999</v>
      </c>
      <c r="C733" s="55" t="s">
        <v>23</v>
      </c>
      <c r="D733" s="55"/>
      <c r="E733" s="59" t="s">
        <v>68</v>
      </c>
      <c r="F733" s="64" t="s">
        <v>49</v>
      </c>
      <c r="G733" s="55" t="s">
        <v>19</v>
      </c>
      <c r="H733" s="55">
        <v>1</v>
      </c>
      <c r="I733" s="57"/>
    </row>
    <row r="734" spans="1:9" s="24" customFormat="1">
      <c r="A734" s="53">
        <v>45999</v>
      </c>
      <c r="B734" s="54">
        <f>Table134[[#This Row],[Date]]</f>
        <v>45999</v>
      </c>
      <c r="C734" s="55" t="s">
        <v>23</v>
      </c>
      <c r="D734" s="55"/>
      <c r="E734" s="59" t="s">
        <v>68</v>
      </c>
      <c r="F734" s="64" t="s">
        <v>41</v>
      </c>
      <c r="G734" s="55" t="s">
        <v>19</v>
      </c>
      <c r="H734" s="55">
        <v>1</v>
      </c>
      <c r="I734" s="57"/>
    </row>
    <row r="735" spans="1:9" s="24" customFormat="1">
      <c r="A735" s="53">
        <v>45999</v>
      </c>
      <c r="B735" s="54">
        <f>Table134[[#This Row],[Date]]</f>
        <v>45999</v>
      </c>
      <c r="C735" s="55" t="s">
        <v>26</v>
      </c>
      <c r="D735" s="55"/>
      <c r="E735" s="61" t="s">
        <v>159</v>
      </c>
      <c r="F735" s="64" t="s">
        <v>18</v>
      </c>
      <c r="G735" s="55" t="s">
        <v>19</v>
      </c>
      <c r="H735" s="55">
        <v>1</v>
      </c>
      <c r="I735" s="57"/>
    </row>
    <row r="736" spans="1:9" s="24" customFormat="1">
      <c r="A736" s="53">
        <v>45999</v>
      </c>
      <c r="B736" s="54">
        <f>Table134[[#This Row],[Date]]</f>
        <v>45999</v>
      </c>
      <c r="C736" s="55" t="s">
        <v>26</v>
      </c>
      <c r="D736" s="55"/>
      <c r="E736" s="61" t="s">
        <v>159</v>
      </c>
      <c r="F736" s="64" t="s">
        <v>21</v>
      </c>
      <c r="G736" s="55" t="s">
        <v>19</v>
      </c>
      <c r="H736" s="55">
        <v>1</v>
      </c>
      <c r="I736" s="57"/>
    </row>
    <row r="737" spans="1:9" s="24" customFormat="1">
      <c r="A737" s="53">
        <v>45999</v>
      </c>
      <c r="B737" s="54">
        <f>Table134[[#This Row],[Date]]</f>
        <v>45999</v>
      </c>
      <c r="C737" s="55" t="s">
        <v>26</v>
      </c>
      <c r="D737" s="55"/>
      <c r="E737" s="61" t="s">
        <v>160</v>
      </c>
      <c r="F737" s="55" t="s">
        <v>18</v>
      </c>
      <c r="G737" s="55" t="s">
        <v>19</v>
      </c>
      <c r="H737" s="55">
        <v>1</v>
      </c>
      <c r="I737" s="57"/>
    </row>
    <row r="738" spans="1:9" s="24" customFormat="1">
      <c r="A738" s="53">
        <v>45999</v>
      </c>
      <c r="B738" s="54">
        <f>Table134[[#This Row],[Date]]</f>
        <v>45999</v>
      </c>
      <c r="C738" s="55" t="s">
        <v>26</v>
      </c>
      <c r="D738" s="55"/>
      <c r="E738" s="61" t="s">
        <v>160</v>
      </c>
      <c r="F738" s="55" t="s">
        <v>21</v>
      </c>
      <c r="G738" s="55" t="s">
        <v>19</v>
      </c>
      <c r="H738" s="55">
        <v>1</v>
      </c>
      <c r="I738" s="57"/>
    </row>
    <row r="739" spans="1:9" s="24" customFormat="1">
      <c r="A739" s="53">
        <v>46000</v>
      </c>
      <c r="B739" s="54">
        <f>Table134[[#This Row],[Date]]</f>
        <v>46000</v>
      </c>
      <c r="C739" s="55" t="s">
        <v>14</v>
      </c>
      <c r="D739" s="55"/>
      <c r="E739" s="59" t="s">
        <v>104</v>
      </c>
      <c r="F739" s="55" t="s">
        <v>59</v>
      </c>
      <c r="G739" s="55" t="s">
        <v>60</v>
      </c>
      <c r="H739" s="55">
        <v>1</v>
      </c>
      <c r="I739" s="57"/>
    </row>
    <row r="740" spans="1:9" s="24" customFormat="1">
      <c r="A740" s="53">
        <v>46000</v>
      </c>
      <c r="B740" s="54">
        <f>Table134[[#This Row],[Date]]</f>
        <v>46000</v>
      </c>
      <c r="C740" s="55" t="s">
        <v>14</v>
      </c>
      <c r="D740" s="55"/>
      <c r="E740" s="59" t="s">
        <v>104</v>
      </c>
      <c r="F740" s="55" t="s">
        <v>61</v>
      </c>
      <c r="G740" s="55" t="s">
        <v>60</v>
      </c>
      <c r="H740" s="55">
        <v>1</v>
      </c>
      <c r="I740" s="57"/>
    </row>
    <row r="741" spans="1:9" s="24" customFormat="1">
      <c r="A741" s="53">
        <v>46000</v>
      </c>
      <c r="B741" s="54">
        <f>Table134[[#This Row],[Date]]</f>
        <v>46000</v>
      </c>
      <c r="C741" s="55" t="s">
        <v>26</v>
      </c>
      <c r="D741" s="55"/>
      <c r="E741" s="61" t="s">
        <v>165</v>
      </c>
      <c r="F741" s="55" t="s">
        <v>18</v>
      </c>
      <c r="G741" s="55" t="s">
        <v>19</v>
      </c>
      <c r="H741" s="55">
        <v>1</v>
      </c>
      <c r="I741" s="57"/>
    </row>
    <row r="742" spans="1:9" s="24" customFormat="1">
      <c r="A742" s="53">
        <v>46000</v>
      </c>
      <c r="B742" s="54">
        <f>Table134[[#This Row],[Date]]</f>
        <v>46000</v>
      </c>
      <c r="C742" s="55" t="s">
        <v>26</v>
      </c>
      <c r="D742" s="55"/>
      <c r="E742" s="61" t="s">
        <v>165</v>
      </c>
      <c r="F742" s="55" t="s">
        <v>21</v>
      </c>
      <c r="G742" s="55" t="s">
        <v>19</v>
      </c>
      <c r="H742" s="55">
        <v>1</v>
      </c>
      <c r="I742" s="57"/>
    </row>
    <row r="743" spans="1:9" s="24" customFormat="1">
      <c r="A743" s="53">
        <v>46000</v>
      </c>
      <c r="B743" s="54">
        <f>Table134[[#This Row],[Date]]</f>
        <v>46000</v>
      </c>
      <c r="C743" s="55" t="s">
        <v>26</v>
      </c>
      <c r="D743" s="55"/>
      <c r="E743" s="61" t="s">
        <v>166</v>
      </c>
      <c r="F743" s="55" t="s">
        <v>18</v>
      </c>
      <c r="G743" s="55" t="s">
        <v>19</v>
      </c>
      <c r="H743" s="55">
        <v>1</v>
      </c>
      <c r="I743" s="57"/>
    </row>
    <row r="744" spans="1:9" s="24" customFormat="1">
      <c r="A744" s="53">
        <v>46000</v>
      </c>
      <c r="B744" s="54">
        <f>Table134[[#This Row],[Date]]</f>
        <v>46000</v>
      </c>
      <c r="C744" s="55" t="s">
        <v>26</v>
      </c>
      <c r="D744" s="55"/>
      <c r="E744" s="61" t="s">
        <v>166</v>
      </c>
      <c r="F744" s="55" t="s">
        <v>21</v>
      </c>
      <c r="G744" s="55" t="s">
        <v>19</v>
      </c>
      <c r="H744" s="55">
        <v>1</v>
      </c>
      <c r="I744" s="57"/>
    </row>
    <row r="745" spans="1:9" s="24" customFormat="1">
      <c r="A745" s="48">
        <v>46000</v>
      </c>
      <c r="B745" s="49">
        <f>Table134[[#This Row],[Date]]</f>
        <v>46000</v>
      </c>
      <c r="C745" s="50" t="s">
        <v>4</v>
      </c>
      <c r="D745" s="50"/>
      <c r="E745" s="51" t="s">
        <v>32</v>
      </c>
      <c r="F745" s="50"/>
      <c r="G745" s="50"/>
      <c r="H745" s="50"/>
      <c r="I745" s="52"/>
    </row>
    <row r="746" spans="1:9" s="24" customFormat="1">
      <c r="A746" s="53">
        <v>46001</v>
      </c>
      <c r="B746" s="54">
        <f>Table134[[#This Row],[Date]]</f>
        <v>46001</v>
      </c>
      <c r="C746" s="55" t="s">
        <v>23</v>
      </c>
      <c r="D746" s="55"/>
      <c r="E746" s="59" t="s">
        <v>68</v>
      </c>
      <c r="F746" s="55" t="s">
        <v>47</v>
      </c>
      <c r="G746" s="55" t="s">
        <v>19</v>
      </c>
      <c r="H746" s="55">
        <v>1</v>
      </c>
      <c r="I746" s="57"/>
    </row>
    <row r="747" spans="1:9" s="24" customFormat="1">
      <c r="A747" s="53">
        <v>46001</v>
      </c>
      <c r="B747" s="54">
        <f>Table134[[#This Row],[Date]]</f>
        <v>46001</v>
      </c>
      <c r="C747" s="55" t="s">
        <v>26</v>
      </c>
      <c r="D747" s="55"/>
      <c r="E747" s="61" t="s">
        <v>75</v>
      </c>
      <c r="F747" s="55" t="s">
        <v>18</v>
      </c>
      <c r="G747" s="55" t="s">
        <v>19</v>
      </c>
      <c r="H747" s="55">
        <v>1</v>
      </c>
      <c r="I747" s="57"/>
    </row>
    <row r="748" spans="1:9" s="24" customFormat="1" ht="13.9" customHeight="1">
      <c r="A748" s="53">
        <v>46001</v>
      </c>
      <c r="B748" s="54">
        <f>Table134[[#This Row],[Date]]</f>
        <v>46001</v>
      </c>
      <c r="C748" s="55" t="s">
        <v>26</v>
      </c>
      <c r="D748" s="55"/>
      <c r="E748" s="61" t="s">
        <v>75</v>
      </c>
      <c r="F748" s="55" t="s">
        <v>21</v>
      </c>
      <c r="G748" s="55" t="s">
        <v>19</v>
      </c>
      <c r="H748" s="55">
        <v>1</v>
      </c>
      <c r="I748" s="57"/>
    </row>
    <row r="749" spans="1:9" s="24" customFormat="1" ht="13.9" customHeight="1">
      <c r="A749" s="53">
        <v>46001</v>
      </c>
      <c r="B749" s="54">
        <f>Table134[[#This Row],[Date]]</f>
        <v>46001</v>
      </c>
      <c r="C749" s="55" t="s">
        <v>26</v>
      </c>
      <c r="D749" s="55"/>
      <c r="E749" s="61" t="s">
        <v>75</v>
      </c>
      <c r="F749" s="55" t="s">
        <v>28</v>
      </c>
      <c r="G749" s="55" t="s">
        <v>19</v>
      </c>
      <c r="H749" s="55">
        <v>1</v>
      </c>
      <c r="I749" s="57"/>
    </row>
    <row r="750" spans="1:9" s="24" customFormat="1" ht="13.9" customHeight="1">
      <c r="A750" s="53">
        <v>46001</v>
      </c>
      <c r="B750" s="54">
        <f>Table134[[#This Row],[Date]]</f>
        <v>46001</v>
      </c>
      <c r="C750" s="55"/>
      <c r="D750" s="55"/>
      <c r="E750" s="59" t="s">
        <v>79</v>
      </c>
      <c r="F750" s="64" t="s">
        <v>18</v>
      </c>
      <c r="G750" s="55" t="s">
        <v>19</v>
      </c>
      <c r="H750" s="55">
        <v>1</v>
      </c>
      <c r="I750" s="57"/>
    </row>
    <row r="751" spans="1:9" s="24" customFormat="1" ht="13.9" customHeight="1">
      <c r="A751" s="53">
        <v>46001</v>
      </c>
      <c r="B751" s="54">
        <f>Table134[[#This Row],[Date]]</f>
        <v>46001</v>
      </c>
      <c r="C751" s="55"/>
      <c r="D751" s="55"/>
      <c r="E751" s="59" t="s">
        <v>79</v>
      </c>
      <c r="F751" s="55" t="s">
        <v>21</v>
      </c>
      <c r="G751" s="55" t="s">
        <v>19</v>
      </c>
      <c r="H751" s="55">
        <v>1</v>
      </c>
      <c r="I751" s="57"/>
    </row>
    <row r="752" spans="1:9" s="24" customFormat="1" ht="13.9" customHeight="1">
      <c r="A752" s="53">
        <v>46001</v>
      </c>
      <c r="B752" s="54">
        <f>Table134[[#This Row],[Date]]</f>
        <v>46001</v>
      </c>
      <c r="C752" s="55"/>
      <c r="D752" s="55"/>
      <c r="E752" s="59" t="s">
        <v>80</v>
      </c>
      <c r="F752" s="64" t="s">
        <v>18</v>
      </c>
      <c r="G752" s="55" t="s">
        <v>19</v>
      </c>
      <c r="H752" s="55">
        <v>1</v>
      </c>
      <c r="I752" s="57"/>
    </row>
    <row r="753" spans="1:9" s="24" customFormat="1" ht="13.9" customHeight="1">
      <c r="A753" s="53">
        <v>46001</v>
      </c>
      <c r="B753" s="54">
        <f>Table134[[#This Row],[Date]]</f>
        <v>46001</v>
      </c>
      <c r="C753" s="55"/>
      <c r="D753" s="55"/>
      <c r="E753" s="59" t="s">
        <v>80</v>
      </c>
      <c r="F753" s="55" t="s">
        <v>21</v>
      </c>
      <c r="G753" s="55" t="s">
        <v>19</v>
      </c>
      <c r="H753" s="55">
        <v>1</v>
      </c>
      <c r="I753" s="57"/>
    </row>
    <row r="754" spans="1:9" s="24" customFormat="1" ht="13.9" customHeight="1">
      <c r="A754" s="53">
        <v>46002</v>
      </c>
      <c r="B754" s="54">
        <f>Table134[[#This Row],[Date]]</f>
        <v>46002</v>
      </c>
      <c r="C754" s="55" t="s">
        <v>26</v>
      </c>
      <c r="D754" s="55"/>
      <c r="E754" s="61" t="s">
        <v>78</v>
      </c>
      <c r="F754" s="55" t="s">
        <v>18</v>
      </c>
      <c r="G754" s="55" t="s">
        <v>19</v>
      </c>
      <c r="H754" s="55">
        <v>1</v>
      </c>
      <c r="I754" s="57"/>
    </row>
    <row r="755" spans="1:9" s="24" customFormat="1" ht="13.9" customHeight="1">
      <c r="A755" s="53">
        <v>46002</v>
      </c>
      <c r="B755" s="54">
        <f>Table134[[#This Row],[Date]]</f>
        <v>46002</v>
      </c>
      <c r="C755" s="55" t="s">
        <v>26</v>
      </c>
      <c r="D755" s="55"/>
      <c r="E755" s="61" t="s">
        <v>78</v>
      </c>
      <c r="F755" s="55" t="s">
        <v>21</v>
      </c>
      <c r="G755" s="55" t="s">
        <v>19</v>
      </c>
      <c r="H755" s="55">
        <v>1</v>
      </c>
      <c r="I755" s="57"/>
    </row>
    <row r="756" spans="1:9" s="24" customFormat="1" ht="13.9" customHeight="1">
      <c r="A756" s="53">
        <v>46002</v>
      </c>
      <c r="B756" s="54">
        <f>Table134[[#This Row],[Date]]</f>
        <v>46002</v>
      </c>
      <c r="C756" s="55" t="s">
        <v>26</v>
      </c>
      <c r="D756" s="55"/>
      <c r="E756" s="61" t="s">
        <v>78</v>
      </c>
      <c r="F756" s="55" t="s">
        <v>28</v>
      </c>
      <c r="G756" s="55" t="s">
        <v>19</v>
      </c>
      <c r="H756" s="55">
        <v>1</v>
      </c>
      <c r="I756" s="57"/>
    </row>
    <row r="757" spans="1:9" s="24" customFormat="1">
      <c r="A757" s="53">
        <v>46002</v>
      </c>
      <c r="B757" s="54">
        <f>Table134[[#This Row],[Date]]</f>
        <v>46002</v>
      </c>
      <c r="C757" s="55"/>
      <c r="D757" s="55"/>
      <c r="E757" s="59" t="s">
        <v>71</v>
      </c>
      <c r="F757" s="55" t="s">
        <v>59</v>
      </c>
      <c r="G757" s="55" t="s">
        <v>60</v>
      </c>
      <c r="H757" s="55">
        <v>1</v>
      </c>
      <c r="I757" s="57"/>
    </row>
    <row r="758" spans="1:9" s="24" customFormat="1">
      <c r="A758" s="53">
        <v>46002</v>
      </c>
      <c r="B758" s="54">
        <f>Table134[[#This Row],[Date]]</f>
        <v>46002</v>
      </c>
      <c r="C758" s="55"/>
      <c r="D758" s="55"/>
      <c r="E758" s="59" t="s">
        <v>71</v>
      </c>
      <c r="F758" s="55" t="s">
        <v>72</v>
      </c>
      <c r="G758" s="55" t="s">
        <v>60</v>
      </c>
      <c r="H758" s="55">
        <v>1</v>
      </c>
      <c r="I758" s="57"/>
    </row>
    <row r="759" spans="1:9">
      <c r="A759" s="53">
        <v>46002</v>
      </c>
      <c r="B759" s="54">
        <f>Table134[[#This Row],[Date]]</f>
        <v>46002</v>
      </c>
      <c r="C759" s="55"/>
      <c r="D759" s="55"/>
      <c r="E759" s="59" t="s">
        <v>71</v>
      </c>
      <c r="F759" s="55" t="s">
        <v>73</v>
      </c>
      <c r="G759" s="55" t="s">
        <v>60</v>
      </c>
      <c r="H759" s="55">
        <v>1</v>
      </c>
      <c r="I759" s="57"/>
    </row>
    <row r="760" spans="1:9">
      <c r="A760" s="53">
        <v>46003</v>
      </c>
      <c r="B760" s="54">
        <f>Table134[[#This Row],[Date]]</f>
        <v>46003</v>
      </c>
      <c r="C760" s="55" t="s">
        <v>23</v>
      </c>
      <c r="D760" s="55"/>
      <c r="E760" s="59" t="s">
        <v>81</v>
      </c>
      <c r="F760" s="55" t="s">
        <v>18</v>
      </c>
      <c r="G760" s="55" t="s">
        <v>19</v>
      </c>
      <c r="H760" s="55">
        <v>1</v>
      </c>
      <c r="I760" s="57"/>
    </row>
    <row r="761" spans="1:9">
      <c r="A761" s="53">
        <v>46003</v>
      </c>
      <c r="B761" s="54">
        <f>Table134[[#This Row],[Date]]</f>
        <v>46003</v>
      </c>
      <c r="C761" s="55" t="s">
        <v>23</v>
      </c>
      <c r="D761" s="55"/>
      <c r="E761" s="59" t="s">
        <v>82</v>
      </c>
      <c r="F761" s="55" t="s">
        <v>21</v>
      </c>
      <c r="G761" s="55" t="s">
        <v>19</v>
      </c>
      <c r="H761" s="55">
        <v>1</v>
      </c>
      <c r="I761" s="57"/>
    </row>
    <row r="762" spans="1:9">
      <c r="A762" s="103">
        <v>46003</v>
      </c>
      <c r="B762" s="104">
        <f>Table134[[#This Row],[Date]]</f>
        <v>46003</v>
      </c>
      <c r="C762" s="105" t="s">
        <v>26</v>
      </c>
      <c r="D762" s="105"/>
      <c r="E762" s="106" t="s">
        <v>85</v>
      </c>
      <c r="F762" s="133" t="s">
        <v>18</v>
      </c>
      <c r="G762" s="105" t="s">
        <v>19</v>
      </c>
      <c r="H762" s="105">
        <v>1</v>
      </c>
      <c r="I762" s="108"/>
    </row>
    <row r="763" spans="1:9">
      <c r="A763" s="103">
        <v>46003</v>
      </c>
      <c r="B763" s="104">
        <f>Table134[[#This Row],[Date]]</f>
        <v>46003</v>
      </c>
      <c r="C763" s="105" t="s">
        <v>26</v>
      </c>
      <c r="D763" s="105"/>
      <c r="E763" s="106" t="s">
        <v>85</v>
      </c>
      <c r="F763" s="133" t="s">
        <v>21</v>
      </c>
      <c r="G763" s="105" t="s">
        <v>19</v>
      </c>
      <c r="H763" s="105">
        <v>1</v>
      </c>
      <c r="I763" s="108"/>
    </row>
    <row r="764" spans="1:9">
      <c r="A764" s="53">
        <v>46003</v>
      </c>
      <c r="B764" s="54">
        <f>Table134[[#This Row],[Date]]</f>
        <v>46003</v>
      </c>
      <c r="C764" s="55"/>
      <c r="D764" s="55"/>
      <c r="E764" s="61" t="s">
        <v>83</v>
      </c>
      <c r="F764" s="55" t="s">
        <v>18</v>
      </c>
      <c r="G764" s="55" t="s">
        <v>19</v>
      </c>
      <c r="H764" s="55">
        <v>1</v>
      </c>
      <c r="I764" s="57"/>
    </row>
    <row r="765" spans="1:9">
      <c r="A765" s="53">
        <v>46003</v>
      </c>
      <c r="B765" s="54">
        <f>Table134[[#This Row],[Date]]</f>
        <v>46003</v>
      </c>
      <c r="C765" s="55"/>
      <c r="D765" s="55"/>
      <c r="E765" s="59" t="s">
        <v>71</v>
      </c>
      <c r="F765" s="55" t="s">
        <v>61</v>
      </c>
      <c r="G765" s="55" t="s">
        <v>60</v>
      </c>
      <c r="H765" s="55">
        <v>1</v>
      </c>
      <c r="I765" s="57"/>
    </row>
    <row r="766" spans="1:9">
      <c r="A766" s="16">
        <v>46004</v>
      </c>
      <c r="B766" s="18">
        <f>Table134[[#This Row],[Date]]</f>
        <v>46004</v>
      </c>
      <c r="C766" s="10" t="s">
        <v>23</v>
      </c>
      <c r="D766" s="10"/>
      <c r="E766" s="9" t="s">
        <v>86</v>
      </c>
      <c r="F766" s="10" t="s">
        <v>18</v>
      </c>
      <c r="G766" s="10" t="s">
        <v>19</v>
      </c>
      <c r="H766" s="10">
        <v>1</v>
      </c>
      <c r="I766" s="13"/>
    </row>
    <row r="767" spans="1:9">
      <c r="A767" s="16">
        <v>46004</v>
      </c>
      <c r="B767" s="18">
        <f>Table134[[#This Row],[Date]]</f>
        <v>46004</v>
      </c>
      <c r="C767" s="10" t="s">
        <v>23</v>
      </c>
      <c r="D767" s="10"/>
      <c r="E767" s="9" t="s">
        <v>86</v>
      </c>
      <c r="F767" s="10" t="s">
        <v>21</v>
      </c>
      <c r="G767" s="10" t="s">
        <v>19</v>
      </c>
      <c r="H767" s="10">
        <v>1</v>
      </c>
      <c r="I767" s="13"/>
    </row>
    <row r="768" spans="1:9">
      <c r="A768" s="16">
        <v>46004</v>
      </c>
      <c r="B768" s="18">
        <f>Table134[[#This Row],[Date]]</f>
        <v>46004</v>
      </c>
      <c r="C768" s="10" t="s">
        <v>23</v>
      </c>
      <c r="D768" s="10"/>
      <c r="E768" s="9" t="s">
        <v>86</v>
      </c>
      <c r="F768" s="10" t="s">
        <v>49</v>
      </c>
      <c r="G768" s="10" t="s">
        <v>19</v>
      </c>
      <c r="H768" s="10">
        <v>1</v>
      </c>
      <c r="I768" s="13"/>
    </row>
    <row r="769" spans="1:9">
      <c r="A769" s="16">
        <v>46004</v>
      </c>
      <c r="B769" s="18">
        <f>Table134[[#This Row],[Date]]</f>
        <v>46004</v>
      </c>
      <c r="C769" s="10" t="s">
        <v>4</v>
      </c>
      <c r="D769" s="10"/>
      <c r="E769" s="11" t="s">
        <v>87</v>
      </c>
      <c r="F769" s="10" t="s">
        <v>88</v>
      </c>
      <c r="G769" s="10" t="s">
        <v>19</v>
      </c>
      <c r="H769" s="10">
        <v>1</v>
      </c>
      <c r="I769" s="13"/>
    </row>
    <row r="770" spans="1:9">
      <c r="A770" s="16">
        <v>46004</v>
      </c>
      <c r="B770" s="18">
        <f>Table134[[#This Row],[Date]]</f>
        <v>46004</v>
      </c>
      <c r="C770" s="10" t="s">
        <v>4</v>
      </c>
      <c r="D770" s="10"/>
      <c r="E770" s="11" t="s">
        <v>87</v>
      </c>
      <c r="F770" s="10" t="s">
        <v>89</v>
      </c>
      <c r="G770" s="10" t="s">
        <v>19</v>
      </c>
      <c r="H770" s="10">
        <v>1</v>
      </c>
      <c r="I770" s="13"/>
    </row>
    <row r="771" spans="1:9">
      <c r="A771" s="16">
        <v>46004</v>
      </c>
      <c r="B771" s="18">
        <f>Table134[[#This Row],[Date]]</f>
        <v>46004</v>
      </c>
      <c r="C771" s="10" t="s">
        <v>4</v>
      </c>
      <c r="D771" s="13"/>
      <c r="E771" s="83" t="s">
        <v>87</v>
      </c>
      <c r="F771" s="10" t="s">
        <v>90</v>
      </c>
      <c r="G771" s="10" t="s">
        <v>19</v>
      </c>
      <c r="H771" s="10">
        <v>1</v>
      </c>
      <c r="I771" s="13"/>
    </row>
    <row r="772" spans="1:9">
      <c r="A772" s="16">
        <v>46004</v>
      </c>
      <c r="B772" s="18">
        <f>Table134[[#This Row],[Date]]</f>
        <v>46004</v>
      </c>
      <c r="C772" s="10" t="s">
        <v>4</v>
      </c>
      <c r="D772" s="13"/>
      <c r="E772" s="83" t="s">
        <v>87</v>
      </c>
      <c r="F772" s="10" t="s">
        <v>91</v>
      </c>
      <c r="G772" s="10" t="s">
        <v>19</v>
      </c>
      <c r="H772" s="10">
        <v>1</v>
      </c>
      <c r="I772" s="13"/>
    </row>
    <row r="773" spans="1:9">
      <c r="A773" s="53">
        <v>46004</v>
      </c>
      <c r="B773" s="54">
        <f>Table134[[#This Row],[Date]]</f>
        <v>46004</v>
      </c>
      <c r="C773" s="55"/>
      <c r="D773" s="57"/>
      <c r="E773" s="69" t="s">
        <v>71</v>
      </c>
      <c r="F773" s="55" t="s">
        <v>76</v>
      </c>
      <c r="G773" s="55" t="s">
        <v>60</v>
      </c>
      <c r="H773" s="55">
        <v>1</v>
      </c>
      <c r="I773" s="57"/>
    </row>
    <row r="774" spans="1:9">
      <c r="A774" s="16">
        <v>46005</v>
      </c>
      <c r="B774" s="18">
        <f>Table134[[#This Row],[Date]]</f>
        <v>46005</v>
      </c>
      <c r="C774" s="10" t="s">
        <v>4</v>
      </c>
      <c r="D774" s="13"/>
      <c r="E774" s="46" t="s">
        <v>92</v>
      </c>
      <c r="F774" s="10" t="s">
        <v>93</v>
      </c>
      <c r="G774" s="10" t="s">
        <v>19</v>
      </c>
      <c r="H774" s="10">
        <v>1</v>
      </c>
      <c r="I774" s="13"/>
    </row>
    <row r="775" spans="1:9">
      <c r="A775" s="16">
        <v>46005</v>
      </c>
      <c r="B775" s="18">
        <f>Table134[[#This Row],[Date]]</f>
        <v>46005</v>
      </c>
      <c r="C775" s="10" t="s">
        <v>4</v>
      </c>
      <c r="D775" s="13"/>
      <c r="E775" s="46" t="s">
        <v>92</v>
      </c>
      <c r="F775" s="10" t="s">
        <v>94</v>
      </c>
      <c r="G775" s="10" t="s">
        <v>19</v>
      </c>
      <c r="H775" s="10">
        <v>1</v>
      </c>
      <c r="I775" s="13"/>
    </row>
    <row r="776" spans="1:9">
      <c r="A776" s="16">
        <v>46005</v>
      </c>
      <c r="B776" s="18">
        <f>Table134[[#This Row],[Date]]</f>
        <v>46005</v>
      </c>
      <c r="C776" s="10" t="s">
        <v>4</v>
      </c>
      <c r="D776" s="13"/>
      <c r="E776" s="46" t="s">
        <v>92</v>
      </c>
      <c r="F776" s="10" t="s">
        <v>95</v>
      </c>
      <c r="G776" s="10" t="s">
        <v>19</v>
      </c>
      <c r="H776" s="10">
        <v>1</v>
      </c>
      <c r="I776" s="13"/>
    </row>
    <row r="777" spans="1:9">
      <c r="A777" s="53">
        <v>46005</v>
      </c>
      <c r="B777" s="54">
        <f>Table134[[#This Row],[Date]]</f>
        <v>46005</v>
      </c>
      <c r="C777" s="55"/>
      <c r="D777" s="57"/>
      <c r="E777" s="69" t="s">
        <v>71</v>
      </c>
      <c r="F777" s="55" t="s">
        <v>77</v>
      </c>
      <c r="G777" s="55" t="s">
        <v>60</v>
      </c>
      <c r="H777" s="55">
        <v>1</v>
      </c>
      <c r="I777" s="57"/>
    </row>
    <row r="778" spans="1:9">
      <c r="A778" s="53">
        <v>46006</v>
      </c>
      <c r="B778" s="54">
        <f>Table134[[#This Row],[Date]]</f>
        <v>46006</v>
      </c>
      <c r="C778" s="55" t="s">
        <v>14</v>
      </c>
      <c r="D778" s="57"/>
      <c r="E778" s="68" t="s">
        <v>161</v>
      </c>
      <c r="F778" s="55" t="s">
        <v>18</v>
      </c>
      <c r="G778" s="55" t="s">
        <v>19</v>
      </c>
      <c r="H778" s="55">
        <v>1</v>
      </c>
      <c r="I778" s="57"/>
    </row>
    <row r="779" spans="1:9">
      <c r="A779" s="53">
        <v>46006</v>
      </c>
      <c r="B779" s="54">
        <f>Table134[[#This Row],[Date]]</f>
        <v>46006</v>
      </c>
      <c r="C779" s="55" t="s">
        <v>14</v>
      </c>
      <c r="D779" s="55"/>
      <c r="E779" s="59" t="s">
        <v>96</v>
      </c>
      <c r="F779" s="55" t="s">
        <v>18</v>
      </c>
      <c r="G779" s="55" t="s">
        <v>19</v>
      </c>
      <c r="H779" s="55">
        <v>1</v>
      </c>
      <c r="I779" s="57"/>
    </row>
    <row r="780" spans="1:9">
      <c r="A780" s="53">
        <v>46006</v>
      </c>
      <c r="B780" s="54">
        <f>Table134[[#This Row],[Date]]</f>
        <v>46006</v>
      </c>
      <c r="C780" s="55" t="s">
        <v>14</v>
      </c>
      <c r="D780" s="55"/>
      <c r="E780" s="59" t="s">
        <v>97</v>
      </c>
      <c r="F780" s="55" t="s">
        <v>18</v>
      </c>
      <c r="G780" s="55" t="s">
        <v>19</v>
      </c>
      <c r="H780" s="55">
        <v>1</v>
      </c>
      <c r="I780" s="57"/>
    </row>
    <row r="781" spans="1:9">
      <c r="A781" s="53">
        <v>46006</v>
      </c>
      <c r="B781" s="54">
        <f>Table134[[#This Row],[Date]]</f>
        <v>46006</v>
      </c>
      <c r="C781" s="55" t="s">
        <v>14</v>
      </c>
      <c r="D781" s="55"/>
      <c r="E781" s="122" t="s">
        <v>100</v>
      </c>
      <c r="F781" s="55" t="s">
        <v>18</v>
      </c>
      <c r="G781" s="55" t="s">
        <v>19</v>
      </c>
      <c r="H781" s="55">
        <v>1</v>
      </c>
      <c r="I781" s="57"/>
    </row>
    <row r="782" spans="1:9" s="24" customFormat="1">
      <c r="A782" s="53">
        <v>46006</v>
      </c>
      <c r="B782" s="54">
        <f>Table134[[#This Row],[Date]]</f>
        <v>46006</v>
      </c>
      <c r="C782" s="55" t="s">
        <v>14</v>
      </c>
      <c r="D782" s="55"/>
      <c r="E782" s="61" t="s">
        <v>162</v>
      </c>
      <c r="F782" s="55" t="s">
        <v>18</v>
      </c>
      <c r="G782" s="55" t="s">
        <v>99</v>
      </c>
      <c r="H782" s="55">
        <v>1</v>
      </c>
      <c r="I782" s="57"/>
    </row>
    <row r="783" spans="1:9" s="24" customFormat="1">
      <c r="A783" s="53">
        <v>46006</v>
      </c>
      <c r="B783" s="54">
        <f>Table134[[#This Row],[Date]]</f>
        <v>46006</v>
      </c>
      <c r="C783" s="55" t="s">
        <v>16</v>
      </c>
      <c r="D783" s="55"/>
      <c r="E783" s="59" t="s">
        <v>101</v>
      </c>
      <c r="F783" s="64" t="s">
        <v>18</v>
      </c>
      <c r="G783" s="55" t="s">
        <v>19</v>
      </c>
      <c r="H783" s="55">
        <v>1</v>
      </c>
      <c r="I783" s="57"/>
    </row>
    <row r="784" spans="1:9" s="24" customFormat="1">
      <c r="A784" s="53">
        <v>46006</v>
      </c>
      <c r="B784" s="54">
        <f>Table134[[#This Row],[Date]]</f>
        <v>46006</v>
      </c>
      <c r="C784" s="55" t="s">
        <v>16</v>
      </c>
      <c r="D784" s="55"/>
      <c r="E784" s="59" t="s">
        <v>101</v>
      </c>
      <c r="F784" s="64" t="s">
        <v>21</v>
      </c>
      <c r="G784" s="55" t="s">
        <v>19</v>
      </c>
      <c r="H784" s="55">
        <v>1</v>
      </c>
      <c r="I784" s="57"/>
    </row>
    <row r="785" spans="1:9" s="24" customFormat="1">
      <c r="A785" s="53">
        <v>46006</v>
      </c>
      <c r="B785" s="54">
        <f>Table134[[#This Row],[Date]]</f>
        <v>46006</v>
      </c>
      <c r="C785" s="55" t="s">
        <v>16</v>
      </c>
      <c r="D785" s="55"/>
      <c r="E785" s="59" t="s">
        <v>101</v>
      </c>
      <c r="F785" s="55" t="s">
        <v>47</v>
      </c>
      <c r="G785" s="55" t="s">
        <v>19</v>
      </c>
      <c r="H785" s="55">
        <v>1</v>
      </c>
      <c r="I785" s="57"/>
    </row>
    <row r="786" spans="1:9" s="24" customFormat="1">
      <c r="A786" s="53">
        <v>46006</v>
      </c>
      <c r="B786" s="54">
        <f>Table134[[#This Row],[Date]]</f>
        <v>46006</v>
      </c>
      <c r="C786" s="55" t="s">
        <v>23</v>
      </c>
      <c r="D786" s="55"/>
      <c r="E786" s="61" t="s">
        <v>163</v>
      </c>
      <c r="F786" s="55" t="s">
        <v>18</v>
      </c>
      <c r="G786" s="55" t="s">
        <v>99</v>
      </c>
      <c r="H786" s="55">
        <v>1</v>
      </c>
      <c r="I786" s="57"/>
    </row>
    <row r="787" spans="1:9" s="24" customFormat="1">
      <c r="A787" s="103">
        <v>46006</v>
      </c>
      <c r="B787" s="104">
        <f>Table134[[#This Row],[Date]]</f>
        <v>46006</v>
      </c>
      <c r="C787" s="105" t="s">
        <v>23</v>
      </c>
      <c r="D787" s="105"/>
      <c r="E787" s="106" t="s">
        <v>164</v>
      </c>
      <c r="F787" s="105" t="s">
        <v>21</v>
      </c>
      <c r="G787" s="105" t="s">
        <v>99</v>
      </c>
      <c r="H787" s="105">
        <v>1</v>
      </c>
      <c r="I787" s="108"/>
    </row>
    <row r="788" spans="1:9" s="24" customFormat="1">
      <c r="A788" s="53">
        <v>46006</v>
      </c>
      <c r="B788" s="54">
        <f>Table134[[#This Row],[Date]]</f>
        <v>46006</v>
      </c>
      <c r="C788" s="55" t="s">
        <v>26</v>
      </c>
      <c r="D788" s="55"/>
      <c r="E788" s="61" t="s">
        <v>102</v>
      </c>
      <c r="F788" s="64" t="s">
        <v>18</v>
      </c>
      <c r="G788" s="55" t="s">
        <v>19</v>
      </c>
      <c r="H788" s="55">
        <v>1</v>
      </c>
      <c r="I788" s="57"/>
    </row>
    <row r="789" spans="1:9" s="24" customFormat="1">
      <c r="A789" s="53">
        <v>46006</v>
      </c>
      <c r="B789" s="54">
        <f>Table134[[#This Row],[Date]]</f>
        <v>46006</v>
      </c>
      <c r="C789" s="55" t="s">
        <v>26</v>
      </c>
      <c r="D789" s="55"/>
      <c r="E789" s="61" t="s">
        <v>169</v>
      </c>
      <c r="F789" s="55" t="s">
        <v>18</v>
      </c>
      <c r="G789" s="55" t="s">
        <v>19</v>
      </c>
      <c r="H789" s="55">
        <v>1</v>
      </c>
      <c r="I789" s="57"/>
    </row>
    <row r="790" spans="1:9" s="24" customFormat="1">
      <c r="A790" s="53">
        <v>46006</v>
      </c>
      <c r="B790" s="54">
        <f>Table134[[#This Row],[Date]]</f>
        <v>46006</v>
      </c>
      <c r="C790" s="55" t="s">
        <v>26</v>
      </c>
      <c r="D790" s="55"/>
      <c r="E790" s="61" t="s">
        <v>103</v>
      </c>
      <c r="F790" s="55" t="s">
        <v>18</v>
      </c>
      <c r="G790" s="55" t="s">
        <v>19</v>
      </c>
      <c r="H790" s="55">
        <v>1</v>
      </c>
      <c r="I790" s="57"/>
    </row>
    <row r="791" spans="1:9" s="24" customFormat="1">
      <c r="A791" s="53">
        <v>46006</v>
      </c>
      <c r="B791" s="54">
        <f>Table134[[#This Row],[Date]]</f>
        <v>46006</v>
      </c>
      <c r="C791" s="55" t="s">
        <v>26</v>
      </c>
      <c r="D791" s="55"/>
      <c r="E791" s="61" t="s">
        <v>103</v>
      </c>
      <c r="F791" s="55" t="s">
        <v>21</v>
      </c>
      <c r="G791" s="55" t="s">
        <v>19</v>
      </c>
      <c r="H791" s="55">
        <v>1</v>
      </c>
      <c r="I791" s="57"/>
    </row>
    <row r="792" spans="1:9" s="24" customFormat="1">
      <c r="A792" s="53">
        <v>46006</v>
      </c>
      <c r="B792" s="54">
        <f>Table134[[#This Row],[Date]]</f>
        <v>46006</v>
      </c>
      <c r="C792" s="55"/>
      <c r="D792" s="55"/>
      <c r="E792" s="61" t="s">
        <v>117</v>
      </c>
      <c r="F792" s="55" t="s">
        <v>18</v>
      </c>
      <c r="G792" s="55" t="s">
        <v>99</v>
      </c>
      <c r="H792" s="55">
        <v>1</v>
      </c>
      <c r="I792" s="57"/>
    </row>
    <row r="793" spans="1:9" s="24" customFormat="1">
      <c r="A793" s="53">
        <v>46007</v>
      </c>
      <c r="B793" s="54">
        <f>Table134[[#This Row],[Date]]</f>
        <v>46007</v>
      </c>
      <c r="C793" s="55" t="s">
        <v>14</v>
      </c>
      <c r="D793" s="55"/>
      <c r="E793" s="59" t="s">
        <v>104</v>
      </c>
      <c r="F793" s="55" t="s">
        <v>72</v>
      </c>
      <c r="G793" s="55" t="s">
        <v>60</v>
      </c>
      <c r="H793" s="55">
        <v>1</v>
      </c>
      <c r="I793" s="57"/>
    </row>
    <row r="794" spans="1:9" s="24" customFormat="1">
      <c r="A794" s="53">
        <v>46007</v>
      </c>
      <c r="B794" s="54">
        <f>Table134[[#This Row],[Date]]</f>
        <v>46007</v>
      </c>
      <c r="C794" s="55" t="s">
        <v>14</v>
      </c>
      <c r="D794" s="55"/>
      <c r="E794" s="59" t="s">
        <v>104</v>
      </c>
      <c r="F794" s="55" t="s">
        <v>76</v>
      </c>
      <c r="G794" s="55" t="s">
        <v>60</v>
      </c>
      <c r="H794" s="55">
        <v>1</v>
      </c>
      <c r="I794" s="57"/>
    </row>
    <row r="795" spans="1:9" s="24" customFormat="1">
      <c r="A795" s="48">
        <v>46007</v>
      </c>
      <c r="B795" s="49">
        <f>Table134[[#This Row],[Date]]</f>
        <v>46007</v>
      </c>
      <c r="C795" s="50" t="s">
        <v>4</v>
      </c>
      <c r="D795" s="50"/>
      <c r="E795" s="51" t="s">
        <v>32</v>
      </c>
      <c r="F795" s="50"/>
      <c r="G795" s="50"/>
      <c r="H795" s="50"/>
      <c r="I795" s="52"/>
    </row>
    <row r="796" spans="1:9" s="24" customFormat="1">
      <c r="A796" s="53">
        <v>46008</v>
      </c>
      <c r="B796" s="54">
        <f>Table134[[#This Row],[Date]]</f>
        <v>46008</v>
      </c>
      <c r="C796" s="55" t="s">
        <v>16</v>
      </c>
      <c r="D796" s="55"/>
      <c r="E796" s="59" t="s">
        <v>105</v>
      </c>
      <c r="F796" s="77" t="s">
        <v>18</v>
      </c>
      <c r="G796" s="55" t="s">
        <v>19</v>
      </c>
      <c r="H796" s="55">
        <v>1</v>
      </c>
      <c r="I796" s="57"/>
    </row>
    <row r="797" spans="1:9" s="24" customFormat="1">
      <c r="A797" s="53">
        <v>46008</v>
      </c>
      <c r="B797" s="54">
        <f>Table134[[#This Row],[Date]]</f>
        <v>46008</v>
      </c>
      <c r="C797" s="55" t="s">
        <v>16</v>
      </c>
      <c r="D797" s="55"/>
      <c r="E797" s="59" t="s">
        <v>105</v>
      </c>
      <c r="F797" s="77" t="s">
        <v>21</v>
      </c>
      <c r="G797" s="55" t="s">
        <v>19</v>
      </c>
      <c r="H797" s="55">
        <v>1</v>
      </c>
      <c r="I797" s="57"/>
    </row>
    <row r="798" spans="1:9" s="24" customFormat="1">
      <c r="A798" s="53">
        <v>46008</v>
      </c>
      <c r="B798" s="54">
        <f>Table134[[#This Row],[Date]]</f>
        <v>46008</v>
      </c>
      <c r="C798" s="55" t="s">
        <v>16</v>
      </c>
      <c r="D798" s="55"/>
      <c r="E798" s="59" t="s">
        <v>105</v>
      </c>
      <c r="F798" s="77" t="s">
        <v>49</v>
      </c>
      <c r="G798" s="55" t="s">
        <v>19</v>
      </c>
      <c r="H798" s="55">
        <v>1</v>
      </c>
      <c r="I798" s="57"/>
    </row>
    <row r="799" spans="1:9" s="24" customFormat="1">
      <c r="A799" s="53">
        <v>46008</v>
      </c>
      <c r="B799" s="54">
        <f>Table134[[#This Row],[Date]]</f>
        <v>46008</v>
      </c>
      <c r="C799" s="55" t="s">
        <v>23</v>
      </c>
      <c r="D799" s="55"/>
      <c r="E799" s="61" t="s">
        <v>106</v>
      </c>
      <c r="F799" s="64" t="s">
        <v>28</v>
      </c>
      <c r="G799" s="55" t="s">
        <v>19</v>
      </c>
      <c r="H799" s="55">
        <v>1</v>
      </c>
      <c r="I799" s="57"/>
    </row>
    <row r="800" spans="1:9" s="24" customFormat="1">
      <c r="A800" s="53">
        <v>46008</v>
      </c>
      <c r="B800" s="54">
        <f>Table134[[#This Row],[Date]]</f>
        <v>46008</v>
      </c>
      <c r="C800" s="55" t="s">
        <v>23</v>
      </c>
      <c r="D800" s="55"/>
      <c r="E800" s="61" t="s">
        <v>106</v>
      </c>
      <c r="F800" s="55" t="s">
        <v>107</v>
      </c>
      <c r="G800" s="55" t="s">
        <v>19</v>
      </c>
      <c r="H800" s="55">
        <v>1</v>
      </c>
      <c r="I800" s="57"/>
    </row>
    <row r="801" spans="1:9" s="24" customFormat="1">
      <c r="A801" s="53">
        <v>46008</v>
      </c>
      <c r="B801" s="54">
        <f>Table134[[#This Row],[Date]]</f>
        <v>46008</v>
      </c>
      <c r="C801" s="55" t="s">
        <v>23</v>
      </c>
      <c r="D801" s="55"/>
      <c r="E801" s="61" t="s">
        <v>106</v>
      </c>
      <c r="F801" s="64" t="s">
        <v>41</v>
      </c>
      <c r="G801" s="55" t="s">
        <v>19</v>
      </c>
      <c r="H801" s="55">
        <v>1</v>
      </c>
      <c r="I801" s="57"/>
    </row>
    <row r="802" spans="1:9" s="24" customFormat="1">
      <c r="A802" s="53">
        <v>46008</v>
      </c>
      <c r="B802" s="54">
        <f>Table134[[#This Row],[Date]]</f>
        <v>46008</v>
      </c>
      <c r="C802" s="55" t="s">
        <v>26</v>
      </c>
      <c r="D802" s="55"/>
      <c r="E802" s="61" t="s">
        <v>108</v>
      </c>
      <c r="F802" s="55" t="s">
        <v>28</v>
      </c>
      <c r="G802" s="55" t="s">
        <v>19</v>
      </c>
      <c r="H802" s="55">
        <v>1</v>
      </c>
      <c r="I802" s="57"/>
    </row>
    <row r="803" spans="1:9" s="24" customFormat="1">
      <c r="A803" s="53">
        <v>46008</v>
      </c>
      <c r="B803" s="54">
        <f>Table134[[#This Row],[Date]]</f>
        <v>46008</v>
      </c>
      <c r="C803" s="55" t="s">
        <v>26</v>
      </c>
      <c r="D803" s="55"/>
      <c r="E803" s="61" t="s">
        <v>108</v>
      </c>
      <c r="F803" s="55" t="s">
        <v>107</v>
      </c>
      <c r="G803" s="55" t="s">
        <v>19</v>
      </c>
      <c r="H803" s="55">
        <v>1</v>
      </c>
      <c r="I803" s="57"/>
    </row>
    <row r="804" spans="1:9" s="24" customFormat="1">
      <c r="A804" s="53">
        <v>46008</v>
      </c>
      <c r="B804" s="54">
        <f>Table134[[#This Row],[Date]]</f>
        <v>46008</v>
      </c>
      <c r="C804" s="55" t="s">
        <v>26</v>
      </c>
      <c r="D804" s="55"/>
      <c r="E804" s="61" t="s">
        <v>108</v>
      </c>
      <c r="F804" s="55" t="s">
        <v>35</v>
      </c>
      <c r="G804" s="55" t="s">
        <v>19</v>
      </c>
      <c r="H804" s="55">
        <v>1</v>
      </c>
      <c r="I804" s="57"/>
    </row>
    <row r="805" spans="1:9" s="24" customFormat="1">
      <c r="A805" s="53">
        <v>46008</v>
      </c>
      <c r="B805" s="54">
        <f>Table134[[#This Row],[Date]]</f>
        <v>46008</v>
      </c>
      <c r="C805" s="55" t="s">
        <v>26</v>
      </c>
      <c r="D805" s="55"/>
      <c r="E805" s="61" t="s">
        <v>108</v>
      </c>
      <c r="F805" s="55" t="s">
        <v>109</v>
      </c>
      <c r="G805" s="55" t="s">
        <v>19</v>
      </c>
      <c r="H805" s="55">
        <v>1</v>
      </c>
      <c r="I805" s="57"/>
    </row>
    <row r="806" spans="1:9" s="24" customFormat="1">
      <c r="A806" s="53">
        <v>46009</v>
      </c>
      <c r="B806" s="54">
        <f>Table134[[#This Row],[Date]]</f>
        <v>46009</v>
      </c>
      <c r="C806" s="55" t="s">
        <v>16</v>
      </c>
      <c r="D806" s="55"/>
      <c r="E806" s="59" t="s">
        <v>105</v>
      </c>
      <c r="F806" s="77" t="s">
        <v>47</v>
      </c>
      <c r="G806" s="55" t="s">
        <v>19</v>
      </c>
      <c r="H806" s="55">
        <v>1</v>
      </c>
      <c r="I806" s="57"/>
    </row>
    <row r="807" spans="1:9" s="24" customFormat="1">
      <c r="A807" s="53">
        <v>46009</v>
      </c>
      <c r="B807" s="54">
        <f>Table134[[#This Row],[Date]]</f>
        <v>46009</v>
      </c>
      <c r="C807" s="55" t="s">
        <v>16</v>
      </c>
      <c r="D807" s="55"/>
      <c r="E807" s="59" t="s">
        <v>105</v>
      </c>
      <c r="F807" s="77" t="s">
        <v>53</v>
      </c>
      <c r="G807" s="55" t="s">
        <v>19</v>
      </c>
      <c r="H807" s="55">
        <v>1</v>
      </c>
      <c r="I807" s="57"/>
    </row>
    <row r="808" spans="1:9" s="24" customFormat="1">
      <c r="A808" s="53">
        <v>46009</v>
      </c>
      <c r="B808" s="54">
        <f>Table134[[#This Row],[Date]]</f>
        <v>46009</v>
      </c>
      <c r="C808" s="55" t="s">
        <v>16</v>
      </c>
      <c r="D808" s="55"/>
      <c r="E808" s="59" t="s">
        <v>105</v>
      </c>
      <c r="F808" s="77" t="s">
        <v>41</v>
      </c>
      <c r="G808" s="55" t="s">
        <v>19</v>
      </c>
      <c r="H808" s="55">
        <v>1</v>
      </c>
      <c r="I808" s="57"/>
    </row>
    <row r="809" spans="1:9" s="24" customFormat="1">
      <c r="A809" s="53">
        <v>46009</v>
      </c>
      <c r="B809" s="54">
        <f>Table134[[#This Row],[Date]]</f>
        <v>46009</v>
      </c>
      <c r="C809" s="55" t="s">
        <v>23</v>
      </c>
      <c r="D809" s="55"/>
      <c r="E809" s="59" t="s">
        <v>106</v>
      </c>
      <c r="F809" s="64" t="s">
        <v>18</v>
      </c>
      <c r="G809" s="55" t="s">
        <v>19</v>
      </c>
      <c r="H809" s="55">
        <v>1</v>
      </c>
      <c r="I809" s="57"/>
    </row>
    <row r="810" spans="1:9" s="24" customFormat="1">
      <c r="A810" s="53">
        <v>46009</v>
      </c>
      <c r="B810" s="54">
        <f>Table134[[#This Row],[Date]]</f>
        <v>46009</v>
      </c>
      <c r="C810" s="55" t="s">
        <v>23</v>
      </c>
      <c r="D810" s="55"/>
      <c r="E810" s="59" t="s">
        <v>106</v>
      </c>
      <c r="F810" s="64" t="s">
        <v>21</v>
      </c>
      <c r="G810" s="55" t="s">
        <v>19</v>
      </c>
      <c r="H810" s="55">
        <v>1</v>
      </c>
      <c r="I810" s="57"/>
    </row>
    <row r="811" spans="1:9" s="24" customFormat="1">
      <c r="A811" s="53">
        <v>46009</v>
      </c>
      <c r="B811" s="54">
        <f>Table134[[#This Row],[Date]]</f>
        <v>46009</v>
      </c>
      <c r="C811" s="55" t="s">
        <v>23</v>
      </c>
      <c r="D811" s="55"/>
      <c r="E811" s="59" t="s">
        <v>106</v>
      </c>
      <c r="F811" s="64" t="s">
        <v>49</v>
      </c>
      <c r="G811" s="55" t="s">
        <v>19</v>
      </c>
      <c r="H811" s="55">
        <v>1</v>
      </c>
      <c r="I811" s="57"/>
    </row>
    <row r="812" spans="1:9" s="24" customFormat="1">
      <c r="A812" s="53">
        <v>46009</v>
      </c>
      <c r="B812" s="54">
        <f>Table134[[#This Row],[Date]]</f>
        <v>46009</v>
      </c>
      <c r="C812" s="55" t="s">
        <v>26</v>
      </c>
      <c r="D812" s="55"/>
      <c r="E812" s="59" t="s">
        <v>110</v>
      </c>
      <c r="F812" s="55" t="s">
        <v>18</v>
      </c>
      <c r="G812" s="55" t="s">
        <v>19</v>
      </c>
      <c r="H812" s="55">
        <v>1</v>
      </c>
      <c r="I812" s="57"/>
    </row>
    <row r="813" spans="1:9" s="24" customFormat="1">
      <c r="A813" s="53">
        <v>46009</v>
      </c>
      <c r="B813" s="54">
        <f>Table134[[#This Row],[Date]]</f>
        <v>46009</v>
      </c>
      <c r="C813" s="55" t="s">
        <v>26</v>
      </c>
      <c r="D813" s="55"/>
      <c r="E813" s="59" t="s">
        <v>110</v>
      </c>
      <c r="F813" s="55" t="s">
        <v>21</v>
      </c>
      <c r="G813" s="55" t="s">
        <v>19</v>
      </c>
      <c r="H813" s="55">
        <v>1</v>
      </c>
      <c r="I813" s="57"/>
    </row>
    <row r="814" spans="1:9" s="24" customFormat="1">
      <c r="A814" s="53">
        <v>46010</v>
      </c>
      <c r="B814" s="54">
        <f>Table134[[#This Row],[Date]]</f>
        <v>46010</v>
      </c>
      <c r="C814" s="55" t="s">
        <v>14</v>
      </c>
      <c r="D814" s="55"/>
      <c r="E814" s="59" t="s">
        <v>111</v>
      </c>
      <c r="F814" s="55" t="s">
        <v>18</v>
      </c>
      <c r="G814" s="55" t="s">
        <v>99</v>
      </c>
      <c r="H814" s="55">
        <v>1</v>
      </c>
      <c r="I814" s="57"/>
    </row>
    <row r="815" spans="1:9" s="24" customFormat="1">
      <c r="A815" s="53">
        <v>46009</v>
      </c>
      <c r="B815" s="54">
        <f>Table134[[#This Row],[Date]]</f>
        <v>46009</v>
      </c>
      <c r="C815" s="55" t="s">
        <v>23</v>
      </c>
      <c r="D815" s="55"/>
      <c r="E815" s="59" t="s">
        <v>114</v>
      </c>
      <c r="F815" s="55" t="s">
        <v>18</v>
      </c>
      <c r="G815" s="55" t="s">
        <v>19</v>
      </c>
      <c r="H815" s="55">
        <v>1</v>
      </c>
      <c r="I815" s="57"/>
    </row>
    <row r="816" spans="1:9" s="24" customFormat="1">
      <c r="A816" s="53">
        <v>46009</v>
      </c>
      <c r="B816" s="54">
        <f>Table134[[#This Row],[Date]]</f>
        <v>46009</v>
      </c>
      <c r="C816" s="55" t="s">
        <v>23</v>
      </c>
      <c r="D816" s="55"/>
      <c r="E816" s="59" t="s">
        <v>114</v>
      </c>
      <c r="F816" s="55" t="s">
        <v>21</v>
      </c>
      <c r="G816" s="55" t="s">
        <v>19</v>
      </c>
      <c r="H816" s="55">
        <v>1</v>
      </c>
      <c r="I816" s="57"/>
    </row>
    <row r="817" spans="1:9" s="24" customFormat="1">
      <c r="A817" s="53">
        <v>46010</v>
      </c>
      <c r="B817" s="54">
        <f>Table134[[#This Row],[Date]]</f>
        <v>46010</v>
      </c>
      <c r="C817" s="55" t="s">
        <v>26</v>
      </c>
      <c r="D817" s="55"/>
      <c r="E817" s="61" t="s">
        <v>123</v>
      </c>
      <c r="F817" s="55" t="s">
        <v>18</v>
      </c>
      <c r="G817" s="55" t="s">
        <v>19</v>
      </c>
      <c r="H817" s="55">
        <v>1</v>
      </c>
      <c r="I817" s="57"/>
    </row>
    <row r="818" spans="1:9" s="24" customFormat="1">
      <c r="A818" s="53">
        <v>46010</v>
      </c>
      <c r="B818" s="54">
        <f>Table134[[#This Row],[Date]]</f>
        <v>46010</v>
      </c>
      <c r="C818" s="55" t="s">
        <v>26</v>
      </c>
      <c r="D818" s="55"/>
      <c r="E818" s="61" t="s">
        <v>123</v>
      </c>
      <c r="F818" s="55" t="s">
        <v>21</v>
      </c>
      <c r="G818" s="55" t="s">
        <v>19</v>
      </c>
      <c r="H818" s="55">
        <v>1</v>
      </c>
      <c r="I818" s="57"/>
    </row>
    <row r="819" spans="1:9" s="24" customFormat="1">
      <c r="A819" s="53">
        <v>46010</v>
      </c>
      <c r="B819" s="54">
        <f>Table134[[#This Row],[Date]]</f>
        <v>46010</v>
      </c>
      <c r="C819" s="55" t="s">
        <v>26</v>
      </c>
      <c r="D819" s="55"/>
      <c r="E819" s="61" t="s">
        <v>123</v>
      </c>
      <c r="F819" s="55" t="s">
        <v>47</v>
      </c>
      <c r="G819" s="55" t="s">
        <v>19</v>
      </c>
      <c r="H819" s="55">
        <v>1</v>
      </c>
      <c r="I819" s="57"/>
    </row>
    <row r="820" spans="1:9" s="24" customFormat="1">
      <c r="A820" s="53">
        <v>46010</v>
      </c>
      <c r="B820" s="54">
        <f>Table134[[#This Row],[Date]]</f>
        <v>46010</v>
      </c>
      <c r="C820" s="55" t="s">
        <v>26</v>
      </c>
      <c r="D820" s="55"/>
      <c r="E820" s="61" t="s">
        <v>115</v>
      </c>
      <c r="F820" s="64" t="s">
        <v>18</v>
      </c>
      <c r="G820" s="55" t="s">
        <v>19</v>
      </c>
      <c r="H820" s="55">
        <v>1</v>
      </c>
      <c r="I820" s="57"/>
    </row>
    <row r="821" spans="1:9" s="24" customFormat="1">
      <c r="A821" s="41">
        <v>46010</v>
      </c>
      <c r="B821" s="42">
        <f>Table134[[#This Row],[Date]]</f>
        <v>46010</v>
      </c>
      <c r="C821" s="43"/>
      <c r="D821" s="43"/>
      <c r="E821" s="44" t="s">
        <v>184</v>
      </c>
      <c r="F821" s="43"/>
      <c r="G821" s="43"/>
      <c r="H821" s="43"/>
      <c r="I821" s="45"/>
    </row>
    <row r="822" spans="1:9" s="24" customFormat="1">
      <c r="A822" s="16">
        <v>46011</v>
      </c>
      <c r="B822" s="18">
        <f>Table134[[#This Row],[Date]]</f>
        <v>46011</v>
      </c>
      <c r="C822" s="10" t="s">
        <v>4</v>
      </c>
      <c r="D822" s="10"/>
      <c r="E822" s="9" t="s">
        <v>87</v>
      </c>
      <c r="F822" s="8" t="s">
        <v>72</v>
      </c>
      <c r="G822" s="10" t="s">
        <v>60</v>
      </c>
      <c r="H822" s="10">
        <v>1</v>
      </c>
      <c r="I822" s="13"/>
    </row>
    <row r="823" spans="1:9" s="24" customFormat="1">
      <c r="A823" s="16">
        <v>46011</v>
      </c>
      <c r="B823" s="18">
        <f>Table134[[#This Row],[Date]]</f>
        <v>46011</v>
      </c>
      <c r="C823" s="10" t="s">
        <v>4</v>
      </c>
      <c r="D823" s="10"/>
      <c r="E823" s="9" t="s">
        <v>87</v>
      </c>
      <c r="F823" s="8" t="s">
        <v>76</v>
      </c>
      <c r="G823" s="10" t="s">
        <v>60</v>
      </c>
      <c r="H823" s="10">
        <v>1</v>
      </c>
      <c r="I823" s="13"/>
    </row>
    <row r="824" spans="1:9" s="24" customFormat="1">
      <c r="A824" s="16">
        <v>46011</v>
      </c>
      <c r="B824" s="18">
        <f>Table134[[#This Row],[Date]]</f>
        <v>46011</v>
      </c>
      <c r="C824" s="10" t="s">
        <v>4</v>
      </c>
      <c r="D824" s="10"/>
      <c r="E824" s="9" t="s">
        <v>87</v>
      </c>
      <c r="F824" s="8" t="s">
        <v>28</v>
      </c>
      <c r="G824" s="10" t="s">
        <v>19</v>
      </c>
      <c r="H824" s="10">
        <v>1</v>
      </c>
      <c r="I824" s="13"/>
    </row>
    <row r="825" spans="1:9" s="24" customFormat="1">
      <c r="A825" s="16">
        <v>46011</v>
      </c>
      <c r="B825" s="18">
        <f>Table134[[#This Row],[Date]]</f>
        <v>46011</v>
      </c>
      <c r="C825" s="10" t="s">
        <v>4</v>
      </c>
      <c r="D825" s="10"/>
      <c r="E825" s="9" t="s">
        <v>87</v>
      </c>
      <c r="F825" s="8" t="s">
        <v>107</v>
      </c>
      <c r="G825" s="10" t="s">
        <v>19</v>
      </c>
      <c r="H825" s="10">
        <v>1</v>
      </c>
      <c r="I825" s="13"/>
    </row>
    <row r="826" spans="1:9" s="24" customFormat="1">
      <c r="A826" s="16">
        <v>46012</v>
      </c>
      <c r="B826" s="18">
        <f>Table134[[#This Row],[Date]]</f>
        <v>46012</v>
      </c>
      <c r="C826" s="10" t="s">
        <v>4</v>
      </c>
      <c r="D826" s="10"/>
      <c r="E826" s="9" t="s">
        <v>92</v>
      </c>
      <c r="F826" s="10" t="s">
        <v>118</v>
      </c>
      <c r="G826" s="10" t="s">
        <v>19</v>
      </c>
      <c r="H826" s="10">
        <v>1</v>
      </c>
      <c r="I826" s="13"/>
    </row>
    <row r="827" spans="1:9" s="24" customFormat="1">
      <c r="A827" s="16">
        <v>46012</v>
      </c>
      <c r="B827" s="18">
        <f>Table134[[#This Row],[Date]]</f>
        <v>46012</v>
      </c>
      <c r="C827" s="10" t="s">
        <v>4</v>
      </c>
      <c r="D827" s="10"/>
      <c r="E827" s="9" t="s">
        <v>92</v>
      </c>
      <c r="F827" s="10" t="s">
        <v>47</v>
      </c>
      <c r="G827" s="10" t="s">
        <v>19</v>
      </c>
      <c r="H827" s="10">
        <v>1</v>
      </c>
      <c r="I827" s="13"/>
    </row>
    <row r="828" spans="1:9" s="24" customFormat="1">
      <c r="A828" s="53">
        <v>46013</v>
      </c>
      <c r="B828" s="54">
        <f>Table134[[#This Row],[Date]]</f>
        <v>46013</v>
      </c>
      <c r="C828" s="55" t="s">
        <v>16</v>
      </c>
      <c r="D828" s="55"/>
      <c r="E828" s="59" t="s">
        <v>119</v>
      </c>
      <c r="F828" s="55" t="s">
        <v>47</v>
      </c>
      <c r="G828" s="55" t="s">
        <v>19</v>
      </c>
      <c r="H828" s="55">
        <v>1</v>
      </c>
      <c r="I828" s="57"/>
    </row>
    <row r="829" spans="1:9" s="24" customFormat="1">
      <c r="A829" s="53">
        <v>46013</v>
      </c>
      <c r="B829" s="54">
        <f>Table134[[#This Row],[Date]]</f>
        <v>46013</v>
      </c>
      <c r="C829" s="55" t="s">
        <v>23</v>
      </c>
      <c r="D829" s="55"/>
      <c r="E829" s="59" t="s">
        <v>346</v>
      </c>
      <c r="F829" s="55" t="s">
        <v>18</v>
      </c>
      <c r="G829" s="55" t="s">
        <v>19</v>
      </c>
      <c r="H829" s="55">
        <v>1</v>
      </c>
      <c r="I829" s="57"/>
    </row>
    <row r="830" spans="1:9" s="24" customFormat="1">
      <c r="A830" s="53">
        <v>46013</v>
      </c>
      <c r="B830" s="54">
        <f>Table134[[#This Row],[Date]]</f>
        <v>46013</v>
      </c>
      <c r="C830" s="55" t="s">
        <v>23</v>
      </c>
      <c r="D830" s="55"/>
      <c r="E830" s="132" t="s">
        <v>122</v>
      </c>
      <c r="F830" s="55" t="s">
        <v>18</v>
      </c>
      <c r="G830" s="55" t="s">
        <v>19</v>
      </c>
      <c r="H830" s="55">
        <v>1</v>
      </c>
      <c r="I830" s="57"/>
    </row>
    <row r="831" spans="1:9" s="24" customFormat="1">
      <c r="A831" s="53">
        <v>46013</v>
      </c>
      <c r="B831" s="54">
        <f>Table134[[#This Row],[Date]]</f>
        <v>46013</v>
      </c>
      <c r="C831" s="55" t="s">
        <v>26</v>
      </c>
      <c r="D831" s="55"/>
      <c r="E831" s="59" t="s">
        <v>128</v>
      </c>
      <c r="F831" s="55" t="s">
        <v>18</v>
      </c>
      <c r="G831" s="55" t="s">
        <v>19</v>
      </c>
      <c r="H831" s="55">
        <v>1</v>
      </c>
      <c r="I831" s="57"/>
    </row>
    <row r="832" spans="1:9" s="24" customFormat="1">
      <c r="A832" s="103">
        <v>46013</v>
      </c>
      <c r="B832" s="104">
        <f>Table134[[#This Row],[Date]]</f>
        <v>46013</v>
      </c>
      <c r="C832" s="105" t="s">
        <v>26</v>
      </c>
      <c r="D832" s="105"/>
      <c r="E832" s="109" t="s">
        <v>129</v>
      </c>
      <c r="F832" s="105"/>
      <c r="G832" s="105"/>
      <c r="H832" s="105">
        <v>1</v>
      </c>
      <c r="I832" s="108"/>
    </row>
    <row r="833" spans="1:9" s="24" customFormat="1">
      <c r="A833" s="53">
        <v>46014</v>
      </c>
      <c r="B833" s="54">
        <f>Table134[[#This Row],[Date]]</f>
        <v>46014</v>
      </c>
      <c r="C833" s="55" t="s">
        <v>14</v>
      </c>
      <c r="D833" s="55"/>
      <c r="E833" s="59" t="s">
        <v>104</v>
      </c>
      <c r="F833" s="55" t="s">
        <v>18</v>
      </c>
      <c r="G833" s="55" t="s">
        <v>19</v>
      </c>
      <c r="H833" s="55">
        <v>1</v>
      </c>
      <c r="I833" s="57"/>
    </row>
    <row r="834" spans="1:9" s="24" customFormat="1">
      <c r="A834" s="53">
        <v>46014</v>
      </c>
      <c r="B834" s="54">
        <f>Table134[[#This Row],[Date]]</f>
        <v>46014</v>
      </c>
      <c r="C834" s="55" t="s">
        <v>14</v>
      </c>
      <c r="D834" s="55"/>
      <c r="E834" s="59" t="s">
        <v>104</v>
      </c>
      <c r="F834" s="55" t="s">
        <v>21</v>
      </c>
      <c r="G834" s="55" t="s">
        <v>19</v>
      </c>
      <c r="H834" s="55">
        <v>1</v>
      </c>
      <c r="I834" s="57"/>
    </row>
    <row r="835" spans="1:9" s="24" customFormat="1">
      <c r="A835" s="48">
        <v>46014</v>
      </c>
      <c r="B835" s="49">
        <f>Table134[[#This Row],[Date]]</f>
        <v>46014</v>
      </c>
      <c r="C835" s="50" t="s">
        <v>4</v>
      </c>
      <c r="D835" s="50"/>
      <c r="E835" s="51" t="s">
        <v>32</v>
      </c>
      <c r="F835" s="50"/>
      <c r="G835" s="50"/>
      <c r="H835" s="50"/>
      <c r="I835" s="52"/>
    </row>
    <row r="836" spans="1:9" s="24" customFormat="1">
      <c r="A836" s="53">
        <v>46015</v>
      </c>
      <c r="B836" s="54">
        <f>Table134[[#This Row],[Date]]</f>
        <v>46015</v>
      </c>
      <c r="C836" s="55" t="s">
        <v>16</v>
      </c>
      <c r="D836" s="55"/>
      <c r="E836" s="59" t="s">
        <v>119</v>
      </c>
      <c r="F836" s="55" t="s">
        <v>18</v>
      </c>
      <c r="G836" s="55" t="s">
        <v>19</v>
      </c>
      <c r="H836" s="55">
        <v>1</v>
      </c>
      <c r="I836" s="57"/>
    </row>
    <row r="837" spans="1:9" s="24" customFormat="1">
      <c r="A837" s="53">
        <v>46015</v>
      </c>
      <c r="B837" s="54">
        <f>Table134[[#This Row],[Date]]</f>
        <v>46015</v>
      </c>
      <c r="C837" s="55" t="s">
        <v>16</v>
      </c>
      <c r="D837" s="55"/>
      <c r="E837" s="59" t="s">
        <v>119</v>
      </c>
      <c r="F837" s="55" t="s">
        <v>21</v>
      </c>
      <c r="G837" s="55" t="s">
        <v>19</v>
      </c>
      <c r="H837" s="55">
        <v>1</v>
      </c>
      <c r="I837" s="57"/>
    </row>
    <row r="838" spans="1:9" s="24" customFormat="1">
      <c r="A838" s="53">
        <v>46015</v>
      </c>
      <c r="B838" s="54">
        <f>Table134[[#This Row],[Date]]</f>
        <v>46015</v>
      </c>
      <c r="C838" s="55" t="s">
        <v>23</v>
      </c>
      <c r="D838" s="55"/>
      <c r="E838" s="61" t="s">
        <v>125</v>
      </c>
      <c r="F838" s="55" t="s">
        <v>18</v>
      </c>
      <c r="G838" s="55" t="s">
        <v>19</v>
      </c>
      <c r="H838" s="55">
        <v>1</v>
      </c>
      <c r="I838" s="57"/>
    </row>
    <row r="839" spans="1:9" s="24" customFormat="1">
      <c r="A839" s="53">
        <v>46016</v>
      </c>
      <c r="B839" s="54">
        <f>Table134[[#This Row],[Date]]</f>
        <v>46016</v>
      </c>
      <c r="C839" s="55" t="s">
        <v>14</v>
      </c>
      <c r="D839" s="55"/>
      <c r="E839" s="59" t="s">
        <v>130</v>
      </c>
      <c r="F839" s="55" t="s">
        <v>18</v>
      </c>
      <c r="G839" s="55" t="s">
        <v>19</v>
      </c>
      <c r="H839" s="55">
        <v>1</v>
      </c>
      <c r="I839" s="57"/>
    </row>
    <row r="840" spans="1:9" s="24" customFormat="1">
      <c r="A840" s="53">
        <v>46016</v>
      </c>
      <c r="B840" s="54">
        <f>Table134[[#This Row],[Date]]</f>
        <v>46016</v>
      </c>
      <c r="C840" s="55" t="s">
        <v>14</v>
      </c>
      <c r="D840" s="55"/>
      <c r="E840" s="59" t="s">
        <v>131</v>
      </c>
      <c r="F840" s="64" t="s">
        <v>18</v>
      </c>
      <c r="G840" s="55" t="s">
        <v>19</v>
      </c>
      <c r="H840" s="55">
        <v>1</v>
      </c>
      <c r="I840" s="57"/>
    </row>
    <row r="841" spans="1:9" s="24" customFormat="1">
      <c r="A841" s="53">
        <v>46016</v>
      </c>
      <c r="B841" s="54">
        <f>Table134[[#This Row],[Date]]</f>
        <v>46016</v>
      </c>
      <c r="C841" s="55" t="s">
        <v>16</v>
      </c>
      <c r="D841" s="55"/>
      <c r="E841" s="59" t="s">
        <v>133</v>
      </c>
      <c r="F841" s="55" t="s">
        <v>21</v>
      </c>
      <c r="G841" s="55" t="s">
        <v>19</v>
      </c>
      <c r="H841" s="55">
        <v>1</v>
      </c>
      <c r="I841" s="57"/>
    </row>
    <row r="842" spans="1:9" s="24" customFormat="1">
      <c r="A842" s="53">
        <v>46016</v>
      </c>
      <c r="B842" s="54">
        <f>Table134[[#This Row],[Date]]</f>
        <v>46016</v>
      </c>
      <c r="C842" s="55" t="s">
        <v>16</v>
      </c>
      <c r="D842" s="55"/>
      <c r="E842" s="59" t="s">
        <v>134</v>
      </c>
      <c r="F842" s="55" t="s">
        <v>18</v>
      </c>
      <c r="G842" s="55" t="s">
        <v>19</v>
      </c>
      <c r="H842" s="55">
        <v>1</v>
      </c>
      <c r="I842" s="57"/>
    </row>
    <row r="843" spans="1:9" s="24" customFormat="1">
      <c r="A843" s="53">
        <v>46015</v>
      </c>
      <c r="B843" s="54">
        <f>Table134[[#This Row],[Date]]</f>
        <v>46015</v>
      </c>
      <c r="C843" s="55" t="s">
        <v>16</v>
      </c>
      <c r="D843" s="55"/>
      <c r="E843" s="59" t="s">
        <v>135</v>
      </c>
      <c r="F843" s="77" t="s">
        <v>47</v>
      </c>
      <c r="G843" s="55" t="s">
        <v>19</v>
      </c>
      <c r="H843" s="55">
        <v>1</v>
      </c>
      <c r="I843" s="57"/>
    </row>
    <row r="844" spans="1:9" s="24" customFormat="1">
      <c r="A844" s="53">
        <v>46015</v>
      </c>
      <c r="B844" s="54">
        <f>Table134[[#This Row],[Date]]</f>
        <v>46015</v>
      </c>
      <c r="C844" s="55" t="s">
        <v>16</v>
      </c>
      <c r="D844" s="55"/>
      <c r="E844" s="59" t="s">
        <v>135</v>
      </c>
      <c r="F844" s="77" t="s">
        <v>53</v>
      </c>
      <c r="G844" s="55" t="s">
        <v>19</v>
      </c>
      <c r="H844" s="55">
        <v>1</v>
      </c>
      <c r="I844" s="57"/>
    </row>
    <row r="845" spans="1:9" s="24" customFormat="1">
      <c r="A845" s="41">
        <v>46016</v>
      </c>
      <c r="B845" s="42">
        <f>Table134[[#This Row],[Date]]</f>
        <v>46016</v>
      </c>
      <c r="C845" s="43"/>
      <c r="D845" s="43"/>
      <c r="E845" s="44" t="s">
        <v>189</v>
      </c>
      <c r="F845" s="43"/>
      <c r="G845" s="43"/>
      <c r="H845" s="43"/>
      <c r="I845" s="45"/>
    </row>
    <row r="846" spans="1:9" s="24" customFormat="1">
      <c r="A846" s="53">
        <v>46017</v>
      </c>
      <c r="B846" s="54">
        <f>Table134[[#This Row],[Date]]</f>
        <v>46017</v>
      </c>
      <c r="C846" s="55" t="s">
        <v>16</v>
      </c>
      <c r="D846" s="55"/>
      <c r="E846" s="59" t="s">
        <v>136</v>
      </c>
      <c r="F846" s="55" t="s">
        <v>18</v>
      </c>
      <c r="G846" s="55" t="s">
        <v>19</v>
      </c>
      <c r="H846" s="55">
        <v>1</v>
      </c>
      <c r="I846" s="57"/>
    </row>
    <row r="847" spans="1:9" s="24" customFormat="1">
      <c r="A847" s="53">
        <v>46017</v>
      </c>
      <c r="B847" s="54">
        <f>Table134[[#This Row],[Date]]</f>
        <v>46017</v>
      </c>
      <c r="C847" s="55" t="s">
        <v>16</v>
      </c>
      <c r="D847" s="55"/>
      <c r="E847" s="59" t="s">
        <v>137</v>
      </c>
      <c r="F847" s="55" t="s">
        <v>18</v>
      </c>
      <c r="G847" s="55" t="s">
        <v>19</v>
      </c>
      <c r="H847" s="55">
        <v>1</v>
      </c>
      <c r="I847" s="57"/>
    </row>
    <row r="848" spans="1:9" s="24" customFormat="1">
      <c r="A848" s="53">
        <v>46017</v>
      </c>
      <c r="B848" s="54">
        <f>Table134[[#This Row],[Date]]</f>
        <v>46017</v>
      </c>
      <c r="C848" s="55" t="s">
        <v>16</v>
      </c>
      <c r="D848" s="55"/>
      <c r="E848" s="59" t="s">
        <v>138</v>
      </c>
      <c r="F848" s="55" t="s">
        <v>18</v>
      </c>
      <c r="G848" s="55" t="s">
        <v>19</v>
      </c>
      <c r="H848" s="55">
        <v>1</v>
      </c>
      <c r="I848" s="57"/>
    </row>
    <row r="849" spans="1:9" s="24" customFormat="1">
      <c r="A849" s="53">
        <v>46017</v>
      </c>
      <c r="B849" s="54">
        <f>Table134[[#This Row],[Date]]</f>
        <v>46017</v>
      </c>
      <c r="C849" s="55" t="s">
        <v>23</v>
      </c>
      <c r="D849" s="55"/>
      <c r="E849" s="59" t="s">
        <v>139</v>
      </c>
      <c r="F849" s="55" t="s">
        <v>18</v>
      </c>
      <c r="G849" s="55" t="s">
        <v>19</v>
      </c>
      <c r="H849" s="55">
        <v>1</v>
      </c>
      <c r="I849" s="57"/>
    </row>
    <row r="850" spans="1:9" s="24" customFormat="1">
      <c r="A850" s="53">
        <v>46017</v>
      </c>
      <c r="B850" s="54">
        <f>Table134[[#This Row],[Date]]</f>
        <v>46017</v>
      </c>
      <c r="C850" s="55" t="s">
        <v>23</v>
      </c>
      <c r="D850" s="55"/>
      <c r="E850" s="59" t="s">
        <v>140</v>
      </c>
      <c r="F850" s="55" t="s">
        <v>18</v>
      </c>
      <c r="G850" s="55" t="s">
        <v>19</v>
      </c>
      <c r="H850" s="55">
        <v>1</v>
      </c>
      <c r="I850" s="57"/>
    </row>
    <row r="851" spans="1:9" s="24" customFormat="1">
      <c r="A851" s="53">
        <v>46017</v>
      </c>
      <c r="B851" s="54">
        <f>Table134[[#This Row],[Date]]</f>
        <v>46017</v>
      </c>
      <c r="C851" s="55" t="s">
        <v>23</v>
      </c>
      <c r="D851" s="55"/>
      <c r="E851" s="59" t="s">
        <v>141</v>
      </c>
      <c r="F851" s="55" t="s">
        <v>18</v>
      </c>
      <c r="G851" s="55" t="s">
        <v>19</v>
      </c>
      <c r="H851" s="55">
        <v>1</v>
      </c>
      <c r="I851" s="57"/>
    </row>
    <row r="852" spans="1:9" s="24" customFormat="1">
      <c r="A852" s="53">
        <v>46017</v>
      </c>
      <c r="B852" s="54">
        <f>Table134[[#This Row],[Date]]</f>
        <v>46017</v>
      </c>
      <c r="C852" s="55" t="s">
        <v>23</v>
      </c>
      <c r="D852" s="55"/>
      <c r="E852" s="59" t="s">
        <v>142</v>
      </c>
      <c r="F852" s="55" t="s">
        <v>18</v>
      </c>
      <c r="G852" s="55" t="s">
        <v>19</v>
      </c>
      <c r="H852" s="55">
        <v>1</v>
      </c>
      <c r="I852" s="57"/>
    </row>
    <row r="853" spans="1:9" s="24" customFormat="1">
      <c r="A853" s="41">
        <v>46017</v>
      </c>
      <c r="B853" s="42">
        <f>Table134[[#This Row],[Date]]</f>
        <v>46017</v>
      </c>
      <c r="C853" s="43"/>
      <c r="D853" s="43"/>
      <c r="E853" s="72" t="s">
        <v>173</v>
      </c>
      <c r="F853" s="43"/>
      <c r="G853" s="43"/>
      <c r="H853" s="43"/>
      <c r="I853" s="45"/>
    </row>
    <row r="854" spans="1:9" s="24" customFormat="1">
      <c r="A854" s="16">
        <v>46018</v>
      </c>
      <c r="B854" s="18">
        <f>Table134[[#This Row],[Date]]</f>
        <v>46018</v>
      </c>
      <c r="C854" s="10" t="s">
        <v>23</v>
      </c>
      <c r="D854" s="10"/>
      <c r="E854" s="9" t="s">
        <v>143</v>
      </c>
      <c r="F854" s="10" t="s">
        <v>41</v>
      </c>
      <c r="G854" s="10" t="s">
        <v>19</v>
      </c>
      <c r="H854" s="10">
        <v>1</v>
      </c>
      <c r="I854" s="13"/>
    </row>
    <row r="855" spans="1:9" s="24" customFormat="1">
      <c r="A855" s="16">
        <v>46018</v>
      </c>
      <c r="B855" s="18">
        <f>Table134[[#This Row],[Date]]</f>
        <v>46018</v>
      </c>
      <c r="C855" s="10" t="s">
        <v>23</v>
      </c>
      <c r="D855" s="10"/>
      <c r="E855" s="9" t="s">
        <v>143</v>
      </c>
      <c r="F855" s="10" t="s">
        <v>42</v>
      </c>
      <c r="G855" s="10" t="s">
        <v>19</v>
      </c>
      <c r="H855" s="10">
        <v>1</v>
      </c>
      <c r="I855" s="13"/>
    </row>
    <row r="856" spans="1:9" s="24" customFormat="1">
      <c r="A856" s="16">
        <v>46019</v>
      </c>
      <c r="B856" s="18">
        <f>Table134[[#This Row],[Date]]</f>
        <v>46019</v>
      </c>
      <c r="C856" s="10" t="s">
        <v>14</v>
      </c>
      <c r="D856" s="10"/>
      <c r="E856" s="9" t="s">
        <v>144</v>
      </c>
      <c r="F856" s="10" t="s">
        <v>18</v>
      </c>
      <c r="G856" s="10" t="s">
        <v>19</v>
      </c>
      <c r="H856" s="10">
        <v>1</v>
      </c>
      <c r="I856" s="13"/>
    </row>
    <row r="857" spans="1:9" s="24" customFormat="1">
      <c r="A857" s="16">
        <v>46019</v>
      </c>
      <c r="B857" s="18">
        <f>Table134[[#This Row],[Date]]</f>
        <v>46019</v>
      </c>
      <c r="C857" s="10" t="s">
        <v>14</v>
      </c>
      <c r="D857" s="10"/>
      <c r="E857" s="9" t="s">
        <v>144</v>
      </c>
      <c r="F857" s="10" t="s">
        <v>21</v>
      </c>
      <c r="G857" s="10" t="s">
        <v>19</v>
      </c>
      <c r="H857" s="10">
        <v>1</v>
      </c>
      <c r="I857" s="13"/>
    </row>
    <row r="858" spans="1:9" s="24" customFormat="1">
      <c r="A858" s="53">
        <v>46021</v>
      </c>
      <c r="B858" s="54">
        <f>Table134[[#This Row],[Date]]</f>
        <v>46021</v>
      </c>
      <c r="C858" s="55" t="s">
        <v>14</v>
      </c>
      <c r="D858" s="55"/>
      <c r="E858" s="59" t="s">
        <v>145</v>
      </c>
      <c r="F858" s="55" t="s">
        <v>18</v>
      </c>
      <c r="G858" s="55" t="s">
        <v>19</v>
      </c>
      <c r="H858" s="55">
        <v>1</v>
      </c>
      <c r="I858" s="57"/>
    </row>
    <row r="859" spans="1:9" s="24" customFormat="1">
      <c r="A859" s="48">
        <v>46021</v>
      </c>
      <c r="B859" s="49">
        <f>Table134[[#This Row],[Date]]</f>
        <v>46021</v>
      </c>
      <c r="C859" s="50" t="s">
        <v>4</v>
      </c>
      <c r="D859" s="50"/>
      <c r="E859" s="51" t="s">
        <v>32</v>
      </c>
      <c r="F859" s="50"/>
      <c r="G859" s="50"/>
      <c r="H859" s="50"/>
      <c r="I859" s="52"/>
    </row>
    <row r="860" spans="1:9" s="24" customFormat="1">
      <c r="A860" s="48">
        <v>46021</v>
      </c>
      <c r="B860" s="49">
        <f>Table134[[#This Row],[Date]]</f>
        <v>46021</v>
      </c>
      <c r="C860" s="50" t="s">
        <v>149</v>
      </c>
      <c r="D860" s="50"/>
      <c r="E860" s="51" t="s">
        <v>150</v>
      </c>
      <c r="F860" s="50"/>
      <c r="G860" s="50"/>
      <c r="H860" s="50"/>
      <c r="I860" s="52"/>
    </row>
    <row r="861" spans="1:9" s="24" customFormat="1">
      <c r="A861" s="48">
        <v>46021</v>
      </c>
      <c r="B861" s="49">
        <f>Table134[[#This Row],[Date]]</f>
        <v>46021</v>
      </c>
      <c r="C861" s="50" t="s">
        <v>149</v>
      </c>
      <c r="D861" s="50"/>
      <c r="E861" s="51" t="s">
        <v>150</v>
      </c>
      <c r="F861" s="50"/>
      <c r="G861" s="50"/>
      <c r="H861" s="50"/>
      <c r="I861" s="52"/>
    </row>
    <row r="862" spans="1:9" s="24" customFormat="1">
      <c r="A862" s="53">
        <v>46022</v>
      </c>
      <c r="B862" s="54">
        <f>Table134[[#This Row],[Date]]</f>
        <v>46022</v>
      </c>
      <c r="C862" s="55" t="s">
        <v>23</v>
      </c>
      <c r="D862" s="55"/>
      <c r="E862" s="59" t="s">
        <v>146</v>
      </c>
      <c r="F862" s="55" t="s">
        <v>18</v>
      </c>
      <c r="G862" s="55" t="s">
        <v>19</v>
      </c>
      <c r="H862" s="55">
        <v>1</v>
      </c>
      <c r="I862" s="57"/>
    </row>
    <row r="863" spans="1:9" s="24" customFormat="1">
      <c r="A863" s="53">
        <v>46022</v>
      </c>
      <c r="B863" s="54">
        <f>Table134[[#This Row],[Date]]</f>
        <v>46022</v>
      </c>
      <c r="C863" s="55" t="s">
        <v>23</v>
      </c>
      <c r="D863" s="55"/>
      <c r="E863" s="59" t="s">
        <v>146</v>
      </c>
      <c r="F863" s="55" t="s">
        <v>21</v>
      </c>
      <c r="G863" s="55" t="s">
        <v>19</v>
      </c>
      <c r="H863" s="55">
        <v>1</v>
      </c>
      <c r="I863" s="57"/>
    </row>
    <row r="864" spans="1:9" s="24" customFormat="1">
      <c r="A864" s="53">
        <v>46022</v>
      </c>
      <c r="B864" s="54">
        <f>Table134[[#This Row],[Date]]</f>
        <v>46022</v>
      </c>
      <c r="C864" s="55" t="s">
        <v>23</v>
      </c>
      <c r="D864" s="55"/>
      <c r="E864" s="59" t="s">
        <v>146</v>
      </c>
      <c r="F864" s="55" t="s">
        <v>147</v>
      </c>
      <c r="G864" s="55" t="s">
        <v>19</v>
      </c>
      <c r="H864" s="55">
        <v>1</v>
      </c>
      <c r="I864" s="57"/>
    </row>
    <row r="865" spans="1:9" s="24" customFormat="1">
      <c r="A865" s="53">
        <v>46022</v>
      </c>
      <c r="B865" s="54">
        <f>Table134[[#This Row],[Date]]</f>
        <v>46022</v>
      </c>
      <c r="C865" s="55" t="s">
        <v>23</v>
      </c>
      <c r="D865" s="55"/>
      <c r="E865" s="59" t="s">
        <v>146</v>
      </c>
      <c r="F865" s="55" t="s">
        <v>148</v>
      </c>
      <c r="G865" s="55" t="s">
        <v>19</v>
      </c>
      <c r="H865" s="55">
        <v>1</v>
      </c>
      <c r="I865" s="57"/>
    </row>
    <row r="866" spans="1:9" s="24" customFormat="1">
      <c r="A866" s="41">
        <v>46023</v>
      </c>
      <c r="B866" s="42">
        <f>Table134[[#This Row],[Date]]</f>
        <v>46023</v>
      </c>
      <c r="C866" s="43"/>
      <c r="D866" s="43"/>
      <c r="E866" s="44" t="s">
        <v>190</v>
      </c>
      <c r="F866" s="43"/>
      <c r="G866" s="43"/>
      <c r="H866" s="43"/>
      <c r="I866" s="45"/>
    </row>
    <row r="867" spans="1:9" s="24" customFormat="1">
      <c r="A867" s="53">
        <v>46024</v>
      </c>
      <c r="B867" s="54">
        <f>Table134[[#This Row],[Date]]</f>
        <v>46024</v>
      </c>
      <c r="C867" s="55" t="s">
        <v>16</v>
      </c>
      <c r="D867" s="55"/>
      <c r="E867" s="61" t="s">
        <v>17</v>
      </c>
      <c r="F867" s="55" t="s">
        <v>18</v>
      </c>
      <c r="G867" s="55" t="s">
        <v>19</v>
      </c>
      <c r="H867" s="55">
        <v>1</v>
      </c>
      <c r="I867" s="57"/>
    </row>
    <row r="868" spans="1:9" s="24" customFormat="1">
      <c r="A868" s="53">
        <v>46024</v>
      </c>
      <c r="B868" s="54">
        <f>Table134[[#This Row],[Date]]</f>
        <v>46024</v>
      </c>
      <c r="C868" s="55" t="s">
        <v>16</v>
      </c>
      <c r="D868" s="55"/>
      <c r="E868" s="59" t="s">
        <v>20</v>
      </c>
      <c r="F868" s="55" t="s">
        <v>21</v>
      </c>
      <c r="G868" s="55" t="s">
        <v>19</v>
      </c>
      <c r="H868" s="55">
        <v>1</v>
      </c>
      <c r="I868" s="57"/>
    </row>
    <row r="869" spans="1:9" s="24" customFormat="1">
      <c r="A869" s="103">
        <v>46024</v>
      </c>
      <c r="B869" s="104">
        <f>Table134[[#This Row],[Date]]</f>
        <v>46024</v>
      </c>
      <c r="C869" s="105" t="s">
        <v>16</v>
      </c>
      <c r="D869" s="105"/>
      <c r="E869" s="109" t="s">
        <v>51</v>
      </c>
      <c r="F869" s="105" t="s">
        <v>18</v>
      </c>
      <c r="G869" s="105" t="s">
        <v>19</v>
      </c>
      <c r="H869" s="105">
        <v>1</v>
      </c>
      <c r="I869" s="108"/>
    </row>
    <row r="870" spans="1:9" s="24" customFormat="1">
      <c r="A870" s="41">
        <v>46024</v>
      </c>
      <c r="B870" s="42">
        <f>Table134[[#This Row],[Date]]</f>
        <v>46024</v>
      </c>
      <c r="C870" s="43"/>
      <c r="D870" s="43"/>
      <c r="E870" s="44" t="s">
        <v>190</v>
      </c>
      <c r="F870" s="43"/>
      <c r="G870" s="43"/>
      <c r="H870" s="43"/>
      <c r="I870" s="45"/>
    </row>
    <row r="871" spans="1:9" s="24" customFormat="1">
      <c r="A871" s="16">
        <v>46025</v>
      </c>
      <c r="B871" s="18">
        <f>Table134[[#This Row],[Date]]</f>
        <v>46025</v>
      </c>
      <c r="C871" s="10" t="s">
        <v>14</v>
      </c>
      <c r="D871" s="196"/>
      <c r="E871" s="7" t="s">
        <v>56</v>
      </c>
      <c r="F871" s="10" t="s">
        <v>18</v>
      </c>
      <c r="G871" s="10" t="s">
        <v>19</v>
      </c>
      <c r="H871" s="10">
        <v>1</v>
      </c>
      <c r="I871" s="13"/>
    </row>
    <row r="872" spans="1:9" s="24" customFormat="1" ht="28.9">
      <c r="A872" s="16">
        <v>46026</v>
      </c>
      <c r="B872" s="18">
        <f>Table134[[#This Row],[Date]]</f>
        <v>46026</v>
      </c>
      <c r="C872" s="10" t="s">
        <v>16</v>
      </c>
      <c r="D872" s="196"/>
      <c r="E872" s="7" t="s">
        <v>62</v>
      </c>
      <c r="F872" s="10" t="s">
        <v>18</v>
      </c>
      <c r="G872" s="10" t="s">
        <v>19</v>
      </c>
      <c r="H872" s="10">
        <v>1</v>
      </c>
      <c r="I872" s="13"/>
    </row>
    <row r="873" spans="1:9" s="24" customFormat="1">
      <c r="A873" s="16">
        <v>46026</v>
      </c>
      <c r="B873" s="18">
        <f>Table134[[#This Row],[Date]]</f>
        <v>46026</v>
      </c>
      <c r="C873" s="10" t="s">
        <v>16</v>
      </c>
      <c r="D873" s="196"/>
      <c r="E873" s="7" t="s">
        <v>63</v>
      </c>
      <c r="F873" s="10" t="s">
        <v>18</v>
      </c>
      <c r="G873" s="10" t="s">
        <v>19</v>
      </c>
      <c r="H873" s="10">
        <v>1</v>
      </c>
      <c r="I873" s="13"/>
    </row>
    <row r="874" spans="1:9" s="24" customFormat="1">
      <c r="A874" s="41">
        <v>46026</v>
      </c>
      <c r="B874" s="42">
        <f>Table134[[#This Row],[Date]]</f>
        <v>46026</v>
      </c>
      <c r="C874" s="43"/>
      <c r="D874" s="195"/>
      <c r="E874" s="155" t="s">
        <v>191</v>
      </c>
      <c r="F874" s="43"/>
      <c r="G874" s="43"/>
      <c r="H874" s="43"/>
      <c r="I874" s="45"/>
    </row>
    <row r="875" spans="1:9" s="24" customFormat="1">
      <c r="A875" s="53">
        <v>46027</v>
      </c>
      <c r="B875" s="54">
        <f>Table134[[#This Row],[Date]]</f>
        <v>46027</v>
      </c>
      <c r="C875" s="55" t="s">
        <v>23</v>
      </c>
      <c r="D875" s="71"/>
      <c r="E875" s="156" t="s">
        <v>24</v>
      </c>
      <c r="F875" s="64" t="s">
        <v>18</v>
      </c>
      <c r="G875" s="55" t="s">
        <v>19</v>
      </c>
      <c r="H875" s="55">
        <v>1</v>
      </c>
      <c r="I875" s="57"/>
    </row>
    <row r="876" spans="1:9" s="24" customFormat="1">
      <c r="A876" s="53">
        <v>46027</v>
      </c>
      <c r="B876" s="54">
        <f>Table134[[#This Row],[Date]]</f>
        <v>46027</v>
      </c>
      <c r="C876" s="55" t="s">
        <v>23</v>
      </c>
      <c r="D876" s="71"/>
      <c r="E876" s="156" t="s">
        <v>25</v>
      </c>
      <c r="F876" s="64" t="s">
        <v>18</v>
      </c>
      <c r="G876" s="55" t="s">
        <v>19</v>
      </c>
      <c r="H876" s="55">
        <v>1</v>
      </c>
      <c r="I876" s="57"/>
    </row>
    <row r="877" spans="1:9">
      <c r="A877" s="53">
        <v>46027</v>
      </c>
      <c r="B877" s="54">
        <f>Table134[[#This Row],[Date]]</f>
        <v>46027</v>
      </c>
      <c r="C877" s="55" t="s">
        <v>23</v>
      </c>
      <c r="D877" s="55"/>
      <c r="E877" s="91" t="s">
        <v>25</v>
      </c>
      <c r="F877" s="64" t="s">
        <v>21</v>
      </c>
      <c r="G877" s="55" t="s">
        <v>19</v>
      </c>
      <c r="H877" s="55">
        <v>1</v>
      </c>
      <c r="I877" s="57"/>
    </row>
    <row r="878" spans="1:9">
      <c r="A878" s="53">
        <v>46027</v>
      </c>
      <c r="B878" s="54">
        <f>Table134[[#This Row],[Date]]</f>
        <v>46027</v>
      </c>
      <c r="C878" s="55" t="s">
        <v>26</v>
      </c>
      <c r="D878" s="55"/>
      <c r="E878" s="74" t="s">
        <v>27</v>
      </c>
      <c r="F878" s="55" t="s">
        <v>18</v>
      </c>
      <c r="G878" s="55" t="s">
        <v>19</v>
      </c>
      <c r="H878" s="55">
        <v>1</v>
      </c>
      <c r="I878" s="57"/>
    </row>
    <row r="879" spans="1:9">
      <c r="A879" s="53">
        <v>46027</v>
      </c>
      <c r="B879" s="54">
        <f>Table134[[#This Row],[Date]]</f>
        <v>46027</v>
      </c>
      <c r="C879" s="55" t="s">
        <v>26</v>
      </c>
      <c r="D879" s="55"/>
      <c r="E879" s="74" t="s">
        <v>27</v>
      </c>
      <c r="F879" s="55" t="s">
        <v>28</v>
      </c>
      <c r="G879" s="55" t="s">
        <v>19</v>
      </c>
      <c r="H879" s="55">
        <v>1</v>
      </c>
      <c r="I879" s="57"/>
    </row>
    <row r="880" spans="1:9" s="24" customFormat="1">
      <c r="A880" s="53">
        <v>46027</v>
      </c>
      <c r="B880" s="54">
        <f>Table134[[#This Row],[Date]]</f>
        <v>46027</v>
      </c>
      <c r="C880" s="55" t="s">
        <v>26</v>
      </c>
      <c r="D880" s="71"/>
      <c r="E880" s="154" t="s">
        <v>29</v>
      </c>
      <c r="F880" s="55" t="s">
        <v>18</v>
      </c>
      <c r="G880" s="55" t="s">
        <v>19</v>
      </c>
      <c r="H880" s="55">
        <v>1</v>
      </c>
      <c r="I880" s="57"/>
    </row>
    <row r="881" spans="1:9" s="24" customFormat="1">
      <c r="A881" s="53">
        <v>46027</v>
      </c>
      <c r="B881" s="54">
        <f>Table134[[#This Row],[Date]]</f>
        <v>46027</v>
      </c>
      <c r="C881" s="55" t="s">
        <v>26</v>
      </c>
      <c r="D881" s="71"/>
      <c r="E881" s="154" t="s">
        <v>29</v>
      </c>
      <c r="F881" s="55" t="s">
        <v>28</v>
      </c>
      <c r="G881" s="55" t="s">
        <v>19</v>
      </c>
      <c r="H881" s="55">
        <v>1</v>
      </c>
      <c r="I881" s="57"/>
    </row>
    <row r="882" spans="1:9" s="24" customFormat="1">
      <c r="A882" s="53">
        <v>46028</v>
      </c>
      <c r="B882" s="54">
        <f>Table134[[#This Row],[Date]]</f>
        <v>46028</v>
      </c>
      <c r="C882" s="55" t="s">
        <v>26</v>
      </c>
      <c r="D882" s="71"/>
      <c r="E882" s="154" t="s">
        <v>30</v>
      </c>
      <c r="F882" s="55" t="s">
        <v>18</v>
      </c>
      <c r="G882" s="55" t="s">
        <v>19</v>
      </c>
      <c r="H882" s="55">
        <v>1</v>
      </c>
      <c r="I882" s="57"/>
    </row>
    <row r="883" spans="1:9" s="24" customFormat="1">
      <c r="A883" s="53">
        <v>46028</v>
      </c>
      <c r="B883" s="54">
        <f>Table134[[#This Row],[Date]]</f>
        <v>46028</v>
      </c>
      <c r="C883" s="55" t="s">
        <v>26</v>
      </c>
      <c r="D883" s="71"/>
      <c r="E883" s="154" t="s">
        <v>30</v>
      </c>
      <c r="F883" s="55" t="s">
        <v>28</v>
      </c>
      <c r="G883" s="55" t="s">
        <v>19</v>
      </c>
      <c r="H883" s="55">
        <v>1</v>
      </c>
      <c r="I883" s="57"/>
    </row>
    <row r="884" spans="1:9" s="24" customFormat="1">
      <c r="A884" s="53">
        <v>46028</v>
      </c>
      <c r="B884" s="54">
        <f>Table134[[#This Row],[Date]]</f>
        <v>46028</v>
      </c>
      <c r="C884" s="55" t="s">
        <v>26</v>
      </c>
      <c r="D884" s="71"/>
      <c r="E884" s="154" t="s">
        <v>31</v>
      </c>
      <c r="F884" s="55" t="s">
        <v>18</v>
      </c>
      <c r="G884" s="55" t="s">
        <v>19</v>
      </c>
      <c r="H884" s="55">
        <v>1</v>
      </c>
      <c r="I884" s="57"/>
    </row>
    <row r="885" spans="1:9" s="24" customFormat="1">
      <c r="A885" s="53">
        <v>46028</v>
      </c>
      <c r="B885" s="54">
        <f>Table134[[#This Row],[Date]]</f>
        <v>46028</v>
      </c>
      <c r="C885" s="55" t="s">
        <v>26</v>
      </c>
      <c r="D885" s="71"/>
      <c r="E885" s="154" t="s">
        <v>31</v>
      </c>
      <c r="F885" s="55" t="s">
        <v>28</v>
      </c>
      <c r="G885" s="55" t="s">
        <v>19</v>
      </c>
      <c r="H885" s="55">
        <v>1</v>
      </c>
      <c r="I885" s="57"/>
    </row>
    <row r="886" spans="1:9" s="24" customFormat="1">
      <c r="A886" s="48">
        <v>46028</v>
      </c>
      <c r="B886" s="49">
        <f>Table134[[#This Row],[Date]]</f>
        <v>46028</v>
      </c>
      <c r="C886" s="50" t="s">
        <v>4</v>
      </c>
      <c r="D886" s="165"/>
      <c r="E886" s="159" t="s">
        <v>32</v>
      </c>
      <c r="F886" s="50"/>
      <c r="G886" s="50"/>
      <c r="H886" s="50"/>
      <c r="I886" s="52"/>
    </row>
    <row r="887" spans="1:9" s="24" customFormat="1">
      <c r="A887" s="53">
        <v>46029</v>
      </c>
      <c r="B887" s="54">
        <f>Table134[[#This Row],[Date]]</f>
        <v>46029</v>
      </c>
      <c r="C887" s="55" t="s">
        <v>14</v>
      </c>
      <c r="D887" s="71"/>
      <c r="E887" s="156" t="s">
        <v>33</v>
      </c>
      <c r="F887" s="77" t="s">
        <v>18</v>
      </c>
      <c r="G887" s="55" t="s">
        <v>19</v>
      </c>
      <c r="H887" s="55">
        <v>1</v>
      </c>
      <c r="I887" s="57"/>
    </row>
    <row r="888" spans="1:9" s="24" customFormat="1">
      <c r="A888" s="53">
        <v>46029</v>
      </c>
      <c r="B888" s="54">
        <f>Table134[[#This Row],[Date]]</f>
        <v>46029</v>
      </c>
      <c r="C888" s="55" t="s">
        <v>14</v>
      </c>
      <c r="D888" s="71"/>
      <c r="E888" s="156" t="s">
        <v>33</v>
      </c>
      <c r="F888" s="55" t="s">
        <v>21</v>
      </c>
      <c r="G888" s="55" t="s">
        <v>19</v>
      </c>
      <c r="H888" s="55">
        <v>1</v>
      </c>
      <c r="I888" s="57"/>
    </row>
    <row r="889" spans="1:9" s="24" customFormat="1">
      <c r="A889" s="53">
        <v>46029</v>
      </c>
      <c r="B889" s="54">
        <f>Table134[[#This Row],[Date]]</f>
        <v>46029</v>
      </c>
      <c r="C889" s="55" t="s">
        <v>14</v>
      </c>
      <c r="D889" s="71"/>
      <c r="E889" s="156" t="s">
        <v>33</v>
      </c>
      <c r="F889" s="77" t="s">
        <v>34</v>
      </c>
      <c r="G889" s="55" t="s">
        <v>19</v>
      </c>
      <c r="H889" s="55">
        <v>1</v>
      </c>
      <c r="I889" s="57"/>
    </row>
    <row r="890" spans="1:9" s="24" customFormat="1">
      <c r="A890" s="53">
        <v>46029</v>
      </c>
      <c r="B890" s="54">
        <f>Table134[[#This Row],[Date]]</f>
        <v>46029</v>
      </c>
      <c r="C890" s="55" t="s">
        <v>14</v>
      </c>
      <c r="D890" s="71"/>
      <c r="E890" s="156" t="s">
        <v>33</v>
      </c>
      <c r="F890" s="77" t="s">
        <v>35</v>
      </c>
      <c r="G890" s="55" t="s">
        <v>19</v>
      </c>
      <c r="H890" s="55">
        <v>1</v>
      </c>
      <c r="I890" s="57"/>
    </row>
    <row r="891" spans="1:9" s="24" customFormat="1">
      <c r="A891" s="53">
        <v>46029</v>
      </c>
      <c r="B891" s="54">
        <f>Table134[[#This Row],[Date]]</f>
        <v>46029</v>
      </c>
      <c r="C891" s="55" t="s">
        <v>26</v>
      </c>
      <c r="D891" s="71"/>
      <c r="E891" s="154" t="s">
        <v>39</v>
      </c>
      <c r="F891" s="55" t="s">
        <v>18</v>
      </c>
      <c r="G891" s="55" t="s">
        <v>19</v>
      </c>
      <c r="H891" s="55">
        <v>1</v>
      </c>
      <c r="I891" s="57"/>
    </row>
    <row r="892" spans="1:9" s="24" customFormat="1">
      <c r="A892" s="53">
        <v>46029</v>
      </c>
      <c r="B892" s="54">
        <f>Table134[[#This Row],[Date]]</f>
        <v>46029</v>
      </c>
      <c r="C892" s="55" t="s">
        <v>26</v>
      </c>
      <c r="D892" s="55"/>
      <c r="E892" s="74" t="s">
        <v>39</v>
      </c>
      <c r="F892" s="55" t="s">
        <v>28</v>
      </c>
      <c r="G892" s="55" t="s">
        <v>19</v>
      </c>
      <c r="H892" s="55">
        <v>1</v>
      </c>
      <c r="I892" s="57"/>
    </row>
    <row r="893" spans="1:9" s="24" customFormat="1">
      <c r="A893" s="53">
        <v>46029</v>
      </c>
      <c r="B893" s="54">
        <f>Table134[[#This Row],[Date]]</f>
        <v>46029</v>
      </c>
      <c r="C893" s="55" t="s">
        <v>26</v>
      </c>
      <c r="D893" s="55"/>
      <c r="E893" s="74" t="s">
        <v>40</v>
      </c>
      <c r="F893" s="55" t="s">
        <v>18</v>
      </c>
      <c r="G893" s="55" t="s">
        <v>19</v>
      </c>
      <c r="H893" s="55">
        <v>1</v>
      </c>
      <c r="I893" s="57"/>
    </row>
    <row r="894" spans="1:9" s="24" customFormat="1">
      <c r="A894" s="53">
        <v>46029</v>
      </c>
      <c r="B894" s="54">
        <f>Table134[[#This Row],[Date]]</f>
        <v>46029</v>
      </c>
      <c r="C894" s="55" t="s">
        <v>26</v>
      </c>
      <c r="D894" s="71"/>
      <c r="E894" s="154" t="s">
        <v>40</v>
      </c>
      <c r="F894" s="55" t="s">
        <v>28</v>
      </c>
      <c r="G894" s="55" t="s">
        <v>19</v>
      </c>
      <c r="H894" s="55">
        <v>1</v>
      </c>
      <c r="I894" s="57"/>
    </row>
    <row r="895" spans="1:9" s="24" customFormat="1">
      <c r="A895" s="53">
        <v>46030</v>
      </c>
      <c r="B895" s="54">
        <f>Table134[[#This Row],[Date]]</f>
        <v>46030</v>
      </c>
      <c r="C895" s="55" t="s">
        <v>14</v>
      </c>
      <c r="D895" s="71"/>
      <c r="E895" s="156" t="s">
        <v>33</v>
      </c>
      <c r="F895" s="64" t="s">
        <v>41</v>
      </c>
      <c r="G895" s="55" t="s">
        <v>19</v>
      </c>
      <c r="H895" s="55">
        <v>1</v>
      </c>
      <c r="I895" s="57"/>
    </row>
    <row r="896" spans="1:9" s="24" customFormat="1">
      <c r="A896" s="53">
        <v>46030</v>
      </c>
      <c r="B896" s="54">
        <f>Table134[[#This Row],[Date]]</f>
        <v>46030</v>
      </c>
      <c r="C896" s="55" t="s">
        <v>14</v>
      </c>
      <c r="D896" s="71"/>
      <c r="E896" s="156" t="s">
        <v>33</v>
      </c>
      <c r="F896" s="55" t="s">
        <v>42</v>
      </c>
      <c r="G896" s="55" t="s">
        <v>19</v>
      </c>
      <c r="H896" s="55">
        <v>1</v>
      </c>
      <c r="I896" s="57"/>
    </row>
    <row r="897" spans="1:9" s="24" customFormat="1">
      <c r="A897" s="53">
        <v>46030</v>
      </c>
      <c r="B897" s="54">
        <f>Table134[[#This Row],[Date]]</f>
        <v>46030</v>
      </c>
      <c r="C897" s="55" t="s">
        <v>14</v>
      </c>
      <c r="D897" s="71"/>
      <c r="E897" s="156" t="s">
        <v>33</v>
      </c>
      <c r="F897" s="55" t="s">
        <v>43</v>
      </c>
      <c r="G897" s="55" t="s">
        <v>19</v>
      </c>
      <c r="H897" s="55">
        <v>1</v>
      </c>
      <c r="I897" s="57"/>
    </row>
    <row r="898" spans="1:9" s="24" customFormat="1">
      <c r="A898" s="53">
        <v>46030</v>
      </c>
      <c r="B898" s="54">
        <f>Table134[[#This Row],[Date]]</f>
        <v>46030</v>
      </c>
      <c r="C898" s="55" t="s">
        <v>14</v>
      </c>
      <c r="D898" s="71"/>
      <c r="E898" s="156" t="s">
        <v>33</v>
      </c>
      <c r="F898" s="64" t="s">
        <v>44</v>
      </c>
      <c r="G898" s="55" t="s">
        <v>19</v>
      </c>
      <c r="H898" s="55">
        <v>1</v>
      </c>
      <c r="I898" s="57"/>
    </row>
    <row r="899" spans="1:9" s="24" customFormat="1">
      <c r="A899" s="53">
        <v>46030</v>
      </c>
      <c r="B899" s="54">
        <f>Table134[[#This Row],[Date]]</f>
        <v>46030</v>
      </c>
      <c r="C899" s="55" t="s">
        <v>14</v>
      </c>
      <c r="D899" s="71"/>
      <c r="E899" s="156" t="s">
        <v>33</v>
      </c>
      <c r="F899" s="64" t="s">
        <v>45</v>
      </c>
      <c r="G899" s="55" t="s">
        <v>19</v>
      </c>
      <c r="H899" s="55">
        <v>1</v>
      </c>
      <c r="I899" s="57"/>
    </row>
    <row r="900" spans="1:9" s="24" customFormat="1">
      <c r="A900" s="53">
        <v>46030</v>
      </c>
      <c r="B900" s="54">
        <f>Table134[[#This Row],[Date]]</f>
        <v>46030</v>
      </c>
      <c r="C900" s="55" t="s">
        <v>16</v>
      </c>
      <c r="D900" s="71"/>
      <c r="E900" s="70" t="s">
        <v>46</v>
      </c>
      <c r="F900" s="64" t="s">
        <v>18</v>
      </c>
      <c r="G900" s="55" t="s">
        <v>19</v>
      </c>
      <c r="H900" s="55">
        <v>1</v>
      </c>
      <c r="I900" s="57"/>
    </row>
    <row r="901" spans="1:9" s="24" customFormat="1">
      <c r="A901" s="53">
        <v>46030</v>
      </c>
      <c r="B901" s="54">
        <f>Table134[[#This Row],[Date]]</f>
        <v>46030</v>
      </c>
      <c r="C901" s="55" t="s">
        <v>16</v>
      </c>
      <c r="D901" s="71"/>
      <c r="E901" s="70" t="s">
        <v>46</v>
      </c>
      <c r="F901" s="64" t="s">
        <v>21</v>
      </c>
      <c r="G901" s="55" t="s">
        <v>19</v>
      </c>
      <c r="H901" s="55">
        <v>1</v>
      </c>
      <c r="I901" s="71"/>
    </row>
    <row r="902" spans="1:9" s="24" customFormat="1">
      <c r="A902" s="53">
        <v>46030</v>
      </c>
      <c r="B902" s="54">
        <f>Table134[[#This Row],[Date]]</f>
        <v>46030</v>
      </c>
      <c r="C902" s="55" t="s">
        <v>16</v>
      </c>
      <c r="D902" s="55"/>
      <c r="E902" s="59" t="s">
        <v>46</v>
      </c>
      <c r="F902" s="64" t="s">
        <v>47</v>
      </c>
      <c r="G902" s="55" t="s">
        <v>19</v>
      </c>
      <c r="H902" s="55">
        <v>1</v>
      </c>
      <c r="I902" s="57"/>
    </row>
    <row r="903" spans="1:9" s="24" customFormat="1">
      <c r="A903" s="53">
        <v>46030</v>
      </c>
      <c r="B903" s="54">
        <f>Table134[[#This Row],[Date]]</f>
        <v>46030</v>
      </c>
      <c r="C903" s="55" t="s">
        <v>26</v>
      </c>
      <c r="D903" s="55"/>
      <c r="E903" s="61" t="s">
        <v>48</v>
      </c>
      <c r="F903" s="64" t="s">
        <v>18</v>
      </c>
      <c r="G903" s="55" t="s">
        <v>19</v>
      </c>
      <c r="H903" s="55">
        <v>1</v>
      </c>
      <c r="I903" s="57"/>
    </row>
    <row r="904" spans="1:9" s="24" customFormat="1">
      <c r="A904" s="53">
        <v>46030</v>
      </c>
      <c r="B904" s="54">
        <f>Table134[[#This Row],[Date]]</f>
        <v>46030</v>
      </c>
      <c r="C904" s="55" t="s">
        <v>26</v>
      </c>
      <c r="D904" s="55"/>
      <c r="E904" s="61" t="s">
        <v>48</v>
      </c>
      <c r="F904" s="64" t="s">
        <v>21</v>
      </c>
      <c r="G904" s="55" t="s">
        <v>19</v>
      </c>
      <c r="H904" s="55">
        <v>1</v>
      </c>
      <c r="I904" s="57"/>
    </row>
    <row r="905" spans="1:9" s="24" customFormat="1">
      <c r="A905" s="53">
        <v>46030</v>
      </c>
      <c r="B905" s="54">
        <f>Table134[[#This Row],[Date]]</f>
        <v>46030</v>
      </c>
      <c r="C905" s="55" t="s">
        <v>26</v>
      </c>
      <c r="D905" s="55"/>
      <c r="E905" s="61" t="s">
        <v>48</v>
      </c>
      <c r="F905" s="65" t="s">
        <v>49</v>
      </c>
      <c r="G905" s="55" t="s">
        <v>19</v>
      </c>
      <c r="H905" s="55">
        <v>1</v>
      </c>
      <c r="I905" s="57"/>
    </row>
    <row r="906" spans="1:9" s="24" customFormat="1">
      <c r="A906" s="53">
        <v>46030</v>
      </c>
      <c r="B906" s="54">
        <f>Table134[[#This Row],[Date]]</f>
        <v>46030</v>
      </c>
      <c r="C906" s="55" t="s">
        <v>26</v>
      </c>
      <c r="D906" s="55"/>
      <c r="E906" s="61" t="s">
        <v>48</v>
      </c>
      <c r="F906" s="64" t="s">
        <v>41</v>
      </c>
      <c r="G906" s="55" t="s">
        <v>19</v>
      </c>
      <c r="H906" s="55">
        <v>1</v>
      </c>
      <c r="I906" s="57"/>
    </row>
    <row r="907" spans="1:9" s="24" customFormat="1">
      <c r="A907" s="53">
        <v>46031</v>
      </c>
      <c r="B907" s="54">
        <f>Table134[[#This Row],[Date]]</f>
        <v>46031</v>
      </c>
      <c r="C907" s="55" t="s">
        <v>16</v>
      </c>
      <c r="D907" s="55"/>
      <c r="E907" s="118" t="s">
        <v>50</v>
      </c>
      <c r="F907" s="64" t="s">
        <v>47</v>
      </c>
      <c r="G907" s="55" t="s">
        <v>19</v>
      </c>
      <c r="H907" s="55">
        <v>1</v>
      </c>
      <c r="I907" s="57"/>
    </row>
    <row r="908" spans="1:9" s="24" customFormat="1">
      <c r="A908" s="53">
        <v>46031</v>
      </c>
      <c r="B908" s="54">
        <f>Table134[[#This Row],[Date]]</f>
        <v>46031</v>
      </c>
      <c r="C908" s="55" t="s">
        <v>16</v>
      </c>
      <c r="D908" s="71"/>
      <c r="E908" s="160" t="s">
        <v>50</v>
      </c>
      <c r="F908" s="64" t="s">
        <v>18</v>
      </c>
      <c r="G908" s="55" t="s">
        <v>19</v>
      </c>
      <c r="H908" s="55">
        <v>1</v>
      </c>
      <c r="I908" s="57"/>
    </row>
    <row r="909" spans="1:9" s="24" customFormat="1">
      <c r="A909" s="53">
        <v>46031</v>
      </c>
      <c r="B909" s="54">
        <f>Table134[[#This Row],[Date]]</f>
        <v>46031</v>
      </c>
      <c r="C909" s="55" t="s">
        <v>16</v>
      </c>
      <c r="D909" s="71"/>
      <c r="E909" s="160" t="s">
        <v>50</v>
      </c>
      <c r="F909" s="64" t="s">
        <v>21</v>
      </c>
      <c r="G909" s="55" t="s">
        <v>19</v>
      </c>
      <c r="H909" s="55">
        <v>1</v>
      </c>
      <c r="I909" s="57"/>
    </row>
    <row r="910" spans="1:9" s="24" customFormat="1">
      <c r="A910" s="53">
        <v>46031</v>
      </c>
      <c r="B910" s="54">
        <f>Table134[[#This Row],[Date]]</f>
        <v>46031</v>
      </c>
      <c r="C910" s="55" t="s">
        <v>23</v>
      </c>
      <c r="D910" s="55"/>
      <c r="E910" s="59" t="s">
        <v>82</v>
      </c>
      <c r="F910" s="55" t="s">
        <v>18</v>
      </c>
      <c r="G910" s="55" t="s">
        <v>19</v>
      </c>
      <c r="H910" s="55">
        <v>1</v>
      </c>
      <c r="I910" s="57"/>
    </row>
    <row r="911" spans="1:9" s="24" customFormat="1">
      <c r="A911" s="53">
        <v>46031</v>
      </c>
      <c r="B911" s="54">
        <f>Table134[[#This Row],[Date]]</f>
        <v>46031</v>
      </c>
      <c r="C911" s="55" t="s">
        <v>23</v>
      </c>
      <c r="D911" s="55"/>
      <c r="E911" s="123" t="s">
        <v>52</v>
      </c>
      <c r="F911" s="65" t="s">
        <v>47</v>
      </c>
      <c r="G911" s="55" t="s">
        <v>19</v>
      </c>
      <c r="H911" s="55">
        <v>1</v>
      </c>
      <c r="I911" s="57"/>
    </row>
    <row r="912" spans="1:9" s="24" customFormat="1">
      <c r="A912" s="53">
        <v>46031</v>
      </c>
      <c r="B912" s="54">
        <f>Table134[[#This Row],[Date]]</f>
        <v>46031</v>
      </c>
      <c r="C912" s="55" t="s">
        <v>23</v>
      </c>
      <c r="D912" s="71"/>
      <c r="E912" s="163" t="s">
        <v>52</v>
      </c>
      <c r="F912" s="64" t="s">
        <v>53</v>
      </c>
      <c r="G912" s="55" t="s">
        <v>19</v>
      </c>
      <c r="H912" s="55">
        <v>1</v>
      </c>
      <c r="I912" s="57"/>
    </row>
    <row r="913" spans="1:9" s="24" customFormat="1">
      <c r="A913" s="53">
        <v>46031</v>
      </c>
      <c r="B913" s="54">
        <f>Table134[[#This Row],[Date]]</f>
        <v>46031</v>
      </c>
      <c r="C913" s="55" t="s">
        <v>23</v>
      </c>
      <c r="D913" s="55"/>
      <c r="E913" s="91" t="s">
        <v>54</v>
      </c>
      <c r="F913" s="64" t="s">
        <v>18</v>
      </c>
      <c r="G913" s="55" t="s">
        <v>19</v>
      </c>
      <c r="H913" s="55">
        <v>1</v>
      </c>
      <c r="I913" s="57"/>
    </row>
    <row r="914" spans="1:9" s="24" customFormat="1">
      <c r="A914" s="53">
        <v>46031</v>
      </c>
      <c r="B914" s="54">
        <f>Table134[[#This Row],[Date]]</f>
        <v>46031</v>
      </c>
      <c r="C914" s="55" t="s">
        <v>23</v>
      </c>
      <c r="D914" s="71"/>
      <c r="E914" s="156" t="s">
        <v>54</v>
      </c>
      <c r="F914" s="64" t="s">
        <v>21</v>
      </c>
      <c r="G914" s="55" t="s">
        <v>19</v>
      </c>
      <c r="H914" s="55">
        <v>1</v>
      </c>
      <c r="I914" s="57"/>
    </row>
    <row r="915" spans="1:9" s="24" customFormat="1">
      <c r="A915" s="53">
        <v>46031</v>
      </c>
      <c r="B915" s="54">
        <f>Table134[[#This Row],[Date]]</f>
        <v>46031</v>
      </c>
      <c r="C915" s="55" t="s">
        <v>26</v>
      </c>
      <c r="D915" s="55"/>
      <c r="E915" s="61" t="s">
        <v>55</v>
      </c>
      <c r="F915" s="64" t="s">
        <v>18</v>
      </c>
      <c r="G915" s="55" t="s">
        <v>19</v>
      </c>
      <c r="H915" s="55">
        <v>1</v>
      </c>
      <c r="I915" s="57"/>
    </row>
    <row r="916" spans="1:9" s="24" customFormat="1">
      <c r="A916" s="53">
        <v>46031</v>
      </c>
      <c r="B916" s="54">
        <f>Table134[[#This Row],[Date]]</f>
        <v>46031</v>
      </c>
      <c r="C916" s="55" t="s">
        <v>26</v>
      </c>
      <c r="D916" s="55"/>
      <c r="E916" s="61" t="s">
        <v>55</v>
      </c>
      <c r="F916" s="64" t="s">
        <v>21</v>
      </c>
      <c r="G916" s="55" t="s">
        <v>19</v>
      </c>
      <c r="H916" s="55">
        <v>1</v>
      </c>
      <c r="I916" s="57"/>
    </row>
    <row r="917" spans="1:9" s="24" customFormat="1">
      <c r="A917" s="16">
        <v>46032</v>
      </c>
      <c r="B917" s="18">
        <f>Table134[[#This Row],[Date]]</f>
        <v>46032</v>
      </c>
      <c r="C917" s="10" t="s">
        <v>23</v>
      </c>
      <c r="D917" s="196"/>
      <c r="E917" s="7" t="s">
        <v>86</v>
      </c>
      <c r="F917" s="10" t="s">
        <v>18</v>
      </c>
      <c r="G917" s="10" t="s">
        <v>19</v>
      </c>
      <c r="H917" s="10">
        <v>1</v>
      </c>
      <c r="I917" s="13"/>
    </row>
    <row r="918" spans="1:9" s="24" customFormat="1">
      <c r="A918" s="16">
        <v>46032</v>
      </c>
      <c r="B918" s="18">
        <f>Table134[[#This Row],[Date]]</f>
        <v>46032</v>
      </c>
      <c r="C918" s="10" t="s">
        <v>23</v>
      </c>
      <c r="D918" s="196"/>
      <c r="E918" s="7" t="s">
        <v>86</v>
      </c>
      <c r="F918" s="10" t="s">
        <v>21</v>
      </c>
      <c r="G918" s="10" t="s">
        <v>19</v>
      </c>
      <c r="H918" s="10">
        <v>1</v>
      </c>
      <c r="I918" s="13"/>
    </row>
    <row r="919" spans="1:9" s="24" customFormat="1">
      <c r="A919" s="16">
        <v>46032</v>
      </c>
      <c r="B919" s="18">
        <f>Table134[[#This Row],[Date]]</f>
        <v>46032</v>
      </c>
      <c r="C919" s="10" t="s">
        <v>23</v>
      </c>
      <c r="D919" s="196"/>
      <c r="E919" s="7" t="s">
        <v>86</v>
      </c>
      <c r="F919" s="10" t="s">
        <v>49</v>
      </c>
      <c r="G919" s="10" t="s">
        <v>19</v>
      </c>
      <c r="H919" s="10">
        <v>1</v>
      </c>
      <c r="I919" s="13"/>
    </row>
    <row r="920" spans="1:9" s="24" customFormat="1">
      <c r="A920" s="53">
        <v>46034</v>
      </c>
      <c r="B920" s="54">
        <f>Table134[[#This Row],[Date]]</f>
        <v>46034</v>
      </c>
      <c r="C920" s="55" t="s">
        <v>14</v>
      </c>
      <c r="D920" s="55"/>
      <c r="E920" s="59" t="s">
        <v>65</v>
      </c>
      <c r="F920" s="55" t="s">
        <v>18</v>
      </c>
      <c r="G920" s="55" t="s">
        <v>19</v>
      </c>
      <c r="H920" s="55">
        <v>1</v>
      </c>
      <c r="I920" s="57"/>
    </row>
    <row r="921" spans="1:9" s="24" customFormat="1">
      <c r="A921" s="53">
        <v>46034</v>
      </c>
      <c r="B921" s="54">
        <f>Table134[[#This Row],[Date]]</f>
        <v>46034</v>
      </c>
      <c r="C921" s="55" t="s">
        <v>23</v>
      </c>
      <c r="D921" s="55"/>
      <c r="E921" s="59" t="s">
        <v>68</v>
      </c>
      <c r="F921" s="65" t="s">
        <v>18</v>
      </c>
      <c r="G921" s="55" t="s">
        <v>19</v>
      </c>
      <c r="H921" s="55">
        <v>1</v>
      </c>
      <c r="I921" s="57"/>
    </row>
    <row r="922" spans="1:9" s="24" customFormat="1">
      <c r="A922" s="53">
        <v>46034</v>
      </c>
      <c r="B922" s="54">
        <f>Table134[[#This Row],[Date]]</f>
        <v>46034</v>
      </c>
      <c r="C922" s="55" t="s">
        <v>23</v>
      </c>
      <c r="D922" s="71"/>
      <c r="E922" s="70" t="s">
        <v>68</v>
      </c>
      <c r="F922" s="64" t="s">
        <v>21</v>
      </c>
      <c r="G922" s="55" t="s">
        <v>19</v>
      </c>
      <c r="H922" s="55">
        <v>1</v>
      </c>
      <c r="I922" s="57"/>
    </row>
    <row r="923" spans="1:9" s="24" customFormat="1">
      <c r="A923" s="53">
        <v>46034</v>
      </c>
      <c r="B923" s="54">
        <f>Table134[[#This Row],[Date]]</f>
        <v>46034</v>
      </c>
      <c r="C923" s="55" t="s">
        <v>23</v>
      </c>
      <c r="D923" s="55"/>
      <c r="E923" s="59" t="s">
        <v>68</v>
      </c>
      <c r="F923" s="64" t="s">
        <v>49</v>
      </c>
      <c r="G923" s="55" t="s">
        <v>19</v>
      </c>
      <c r="H923" s="55">
        <v>1</v>
      </c>
      <c r="I923" s="57"/>
    </row>
    <row r="924" spans="1:9" s="24" customFormat="1">
      <c r="A924" s="53">
        <v>46034</v>
      </c>
      <c r="B924" s="54">
        <f>Table134[[#This Row],[Date]]</f>
        <v>46034</v>
      </c>
      <c r="C924" s="55" t="s">
        <v>23</v>
      </c>
      <c r="D924" s="71"/>
      <c r="E924" s="70" t="s">
        <v>68</v>
      </c>
      <c r="F924" s="64" t="s">
        <v>41</v>
      </c>
      <c r="G924" s="55" t="s">
        <v>19</v>
      </c>
      <c r="H924" s="55">
        <v>1</v>
      </c>
      <c r="I924" s="57"/>
    </row>
    <row r="925" spans="1:9" s="24" customFormat="1">
      <c r="A925" s="53">
        <v>46034</v>
      </c>
      <c r="B925" s="54">
        <f>Table134[[#This Row],[Date]]</f>
        <v>46034</v>
      </c>
      <c r="C925" s="55" t="s">
        <v>26</v>
      </c>
      <c r="D925" s="55"/>
      <c r="E925" s="61" t="s">
        <v>69</v>
      </c>
      <c r="F925" s="64" t="s">
        <v>18</v>
      </c>
      <c r="G925" s="55" t="s">
        <v>19</v>
      </c>
      <c r="H925" s="55">
        <v>1</v>
      </c>
      <c r="I925" s="57"/>
    </row>
    <row r="926" spans="1:9" s="24" customFormat="1">
      <c r="A926" s="53">
        <v>46034</v>
      </c>
      <c r="B926" s="54">
        <f>Table134[[#This Row],[Date]]</f>
        <v>46034</v>
      </c>
      <c r="C926" s="55" t="s">
        <v>26</v>
      </c>
      <c r="D926" s="55"/>
      <c r="E926" s="61" t="s">
        <v>69</v>
      </c>
      <c r="F926" s="64" t="s">
        <v>21</v>
      </c>
      <c r="G926" s="55" t="s">
        <v>19</v>
      </c>
      <c r="H926" s="55">
        <v>1</v>
      </c>
      <c r="I926" s="57"/>
    </row>
    <row r="927" spans="1:9" s="24" customFormat="1">
      <c r="A927" s="53">
        <v>46034</v>
      </c>
      <c r="B927" s="54">
        <f>Table134[[#This Row],[Date]]</f>
        <v>46034</v>
      </c>
      <c r="C927" s="55" t="s">
        <v>26</v>
      </c>
      <c r="D927" s="71"/>
      <c r="E927" s="75" t="s">
        <v>69</v>
      </c>
      <c r="F927" s="64" t="s">
        <v>49</v>
      </c>
      <c r="G927" s="55" t="s">
        <v>19</v>
      </c>
      <c r="H927" s="55">
        <v>1</v>
      </c>
      <c r="I927" s="57"/>
    </row>
    <row r="928" spans="1:9" s="24" customFormat="1">
      <c r="A928" s="53">
        <v>46034</v>
      </c>
      <c r="B928" s="54">
        <f>Table134[[#This Row],[Date]]</f>
        <v>46034</v>
      </c>
      <c r="C928" s="55" t="s">
        <v>26</v>
      </c>
      <c r="D928" s="71"/>
      <c r="E928" s="75" t="s">
        <v>69</v>
      </c>
      <c r="F928" s="64" t="s">
        <v>41</v>
      </c>
      <c r="G928" s="55" t="s">
        <v>19</v>
      </c>
      <c r="H928" s="55">
        <v>1</v>
      </c>
      <c r="I928" s="57"/>
    </row>
    <row r="929" spans="1:9" s="24" customFormat="1">
      <c r="A929" s="53">
        <v>46035</v>
      </c>
      <c r="B929" s="54">
        <f>Table134[[#This Row],[Date]]</f>
        <v>46035</v>
      </c>
      <c r="C929" s="55" t="s">
        <v>14</v>
      </c>
      <c r="D929" s="71"/>
      <c r="E929" s="70" t="s">
        <v>104</v>
      </c>
      <c r="F929" s="55" t="s">
        <v>59</v>
      </c>
      <c r="G929" s="55" t="s">
        <v>60</v>
      </c>
      <c r="H929" s="55">
        <v>1</v>
      </c>
      <c r="I929" s="57"/>
    </row>
    <row r="930" spans="1:9" s="24" customFormat="1">
      <c r="A930" s="53">
        <v>46035</v>
      </c>
      <c r="B930" s="54">
        <f>Table134[[#This Row],[Date]]</f>
        <v>46035</v>
      </c>
      <c r="C930" s="55" t="s">
        <v>14</v>
      </c>
      <c r="D930" s="55"/>
      <c r="E930" s="59" t="s">
        <v>104</v>
      </c>
      <c r="F930" s="55" t="s">
        <v>61</v>
      </c>
      <c r="G930" s="55" t="s">
        <v>60</v>
      </c>
      <c r="H930" s="55">
        <v>1</v>
      </c>
      <c r="I930" s="57"/>
    </row>
    <row r="931" spans="1:9" s="24" customFormat="1">
      <c r="A931" s="53">
        <v>46035</v>
      </c>
      <c r="B931" s="54">
        <f>Table134[[#This Row],[Date]]</f>
        <v>46035</v>
      </c>
      <c r="C931" s="55" t="s">
        <v>26</v>
      </c>
      <c r="D931" s="55"/>
      <c r="E931" s="61" t="s">
        <v>70</v>
      </c>
      <c r="F931" s="65" t="s">
        <v>18</v>
      </c>
      <c r="G931" s="55" t="s">
        <v>19</v>
      </c>
      <c r="H931" s="55">
        <v>1</v>
      </c>
      <c r="I931" s="57"/>
    </row>
    <row r="932" spans="1:9" s="24" customFormat="1">
      <c r="A932" s="53">
        <v>46035</v>
      </c>
      <c r="B932" s="54">
        <f>Table134[[#This Row],[Date]]</f>
        <v>46035</v>
      </c>
      <c r="C932" s="55" t="s">
        <v>26</v>
      </c>
      <c r="D932" s="71"/>
      <c r="E932" s="75" t="s">
        <v>70</v>
      </c>
      <c r="F932" s="64" t="s">
        <v>21</v>
      </c>
      <c r="G932" s="55" t="s">
        <v>19</v>
      </c>
      <c r="H932" s="55">
        <v>1</v>
      </c>
      <c r="I932" s="57"/>
    </row>
    <row r="933" spans="1:9" s="24" customFormat="1">
      <c r="A933" s="53">
        <v>46035</v>
      </c>
      <c r="B933" s="54">
        <f>Table134[[#This Row],[Date]]</f>
        <v>46035</v>
      </c>
      <c r="C933" s="55" t="s">
        <v>26</v>
      </c>
      <c r="D933" s="55"/>
      <c r="E933" s="61" t="s">
        <v>70</v>
      </c>
      <c r="F933" s="64" t="s">
        <v>49</v>
      </c>
      <c r="G933" s="55" t="s">
        <v>19</v>
      </c>
      <c r="H933" s="55">
        <v>1</v>
      </c>
      <c r="I933" s="57"/>
    </row>
    <row r="934" spans="1:9" s="24" customFormat="1">
      <c r="A934" s="53">
        <v>46035</v>
      </c>
      <c r="B934" s="54">
        <f>Table134[[#This Row],[Date]]</f>
        <v>46035</v>
      </c>
      <c r="C934" s="55" t="s">
        <v>26</v>
      </c>
      <c r="D934" s="71"/>
      <c r="E934" s="75" t="s">
        <v>70</v>
      </c>
      <c r="F934" s="64" t="s">
        <v>41</v>
      </c>
      <c r="G934" s="55" t="s">
        <v>19</v>
      </c>
      <c r="H934" s="55">
        <v>1</v>
      </c>
      <c r="I934" s="57"/>
    </row>
    <row r="935" spans="1:9" s="24" customFormat="1">
      <c r="A935" s="48">
        <v>46035</v>
      </c>
      <c r="B935" s="49">
        <f>Table134[[#This Row],[Date]]</f>
        <v>46035</v>
      </c>
      <c r="C935" s="50" t="s">
        <v>4</v>
      </c>
      <c r="D935" s="50"/>
      <c r="E935" s="51" t="s">
        <v>32</v>
      </c>
      <c r="F935" s="50"/>
      <c r="G935" s="50"/>
      <c r="H935" s="50"/>
      <c r="I935" s="52"/>
    </row>
    <row r="936" spans="1:9" s="24" customFormat="1">
      <c r="A936" s="53">
        <v>46036</v>
      </c>
      <c r="B936" s="54">
        <f>Table134[[#This Row],[Date]]</f>
        <v>46036</v>
      </c>
      <c r="C936" s="55" t="s">
        <v>23</v>
      </c>
      <c r="D936" s="55"/>
      <c r="E936" s="59" t="s">
        <v>68</v>
      </c>
      <c r="F936" s="55" t="s">
        <v>47</v>
      </c>
      <c r="G936" s="55" t="s">
        <v>19</v>
      </c>
      <c r="H936" s="55">
        <v>1</v>
      </c>
      <c r="I936" s="57"/>
    </row>
    <row r="937" spans="1:9" s="24" customFormat="1">
      <c r="A937" s="53">
        <v>46036</v>
      </c>
      <c r="B937" s="54">
        <f>Table134[[#This Row],[Date]]</f>
        <v>46036</v>
      </c>
      <c r="C937" s="55" t="s">
        <v>26</v>
      </c>
      <c r="D937" s="71"/>
      <c r="E937" s="75" t="s">
        <v>75</v>
      </c>
      <c r="F937" s="55" t="s">
        <v>18</v>
      </c>
      <c r="G937" s="55" t="s">
        <v>19</v>
      </c>
      <c r="H937" s="55">
        <v>1</v>
      </c>
      <c r="I937" s="57"/>
    </row>
    <row r="938" spans="1:9" s="24" customFormat="1">
      <c r="A938" s="53">
        <v>46036</v>
      </c>
      <c r="B938" s="54">
        <f>Table134[[#This Row],[Date]]</f>
        <v>46036</v>
      </c>
      <c r="C938" s="55" t="s">
        <v>26</v>
      </c>
      <c r="D938" s="71"/>
      <c r="E938" s="75" t="s">
        <v>75</v>
      </c>
      <c r="F938" s="55" t="s">
        <v>21</v>
      </c>
      <c r="G938" s="55" t="s">
        <v>19</v>
      </c>
      <c r="H938" s="55">
        <v>1</v>
      </c>
      <c r="I938" s="57"/>
    </row>
    <row r="939" spans="1:9" s="24" customFormat="1">
      <c r="A939" s="53">
        <v>46036</v>
      </c>
      <c r="B939" s="54">
        <f>Table134[[#This Row],[Date]]</f>
        <v>46036</v>
      </c>
      <c r="C939" s="55" t="s">
        <v>26</v>
      </c>
      <c r="D939" s="71"/>
      <c r="E939" s="75" t="s">
        <v>75</v>
      </c>
      <c r="F939" s="55" t="s">
        <v>28</v>
      </c>
      <c r="G939" s="55" t="s">
        <v>19</v>
      </c>
      <c r="H939" s="55">
        <v>1</v>
      </c>
      <c r="I939" s="57"/>
    </row>
    <row r="940" spans="1:9" s="24" customFormat="1">
      <c r="A940" s="103">
        <v>46036</v>
      </c>
      <c r="B940" s="104">
        <f>Table134[[#This Row],[Date]]</f>
        <v>46036</v>
      </c>
      <c r="C940" s="105"/>
      <c r="D940" s="105"/>
      <c r="E940" s="109" t="s">
        <v>79</v>
      </c>
      <c r="F940" s="107" t="s">
        <v>18</v>
      </c>
      <c r="G940" s="105" t="s">
        <v>19</v>
      </c>
      <c r="H940" s="105">
        <v>1</v>
      </c>
      <c r="I940" s="108"/>
    </row>
    <row r="941" spans="1:9" s="24" customFormat="1">
      <c r="A941" s="103">
        <v>46036</v>
      </c>
      <c r="B941" s="104">
        <f>Table134[[#This Row],[Date]]</f>
        <v>46036</v>
      </c>
      <c r="C941" s="105"/>
      <c r="D941" s="105"/>
      <c r="E941" s="109" t="s">
        <v>79</v>
      </c>
      <c r="F941" s="116" t="s">
        <v>21</v>
      </c>
      <c r="G941" s="105" t="s">
        <v>19</v>
      </c>
      <c r="H941" s="105">
        <v>1</v>
      </c>
      <c r="I941" s="108"/>
    </row>
    <row r="942" spans="1:9" s="24" customFormat="1">
      <c r="A942" s="103">
        <v>46036</v>
      </c>
      <c r="B942" s="104">
        <f>Table134[[#This Row],[Date]]</f>
        <v>46036</v>
      </c>
      <c r="C942" s="105"/>
      <c r="D942" s="197"/>
      <c r="E942" s="128" t="s">
        <v>80</v>
      </c>
      <c r="F942" s="107" t="s">
        <v>18</v>
      </c>
      <c r="G942" s="105" t="s">
        <v>19</v>
      </c>
      <c r="H942" s="105">
        <v>1</v>
      </c>
      <c r="I942" s="108"/>
    </row>
    <row r="943" spans="1:9" s="24" customFormat="1">
      <c r="A943" s="103">
        <v>46036</v>
      </c>
      <c r="B943" s="104">
        <f>Table134[[#This Row],[Date]]</f>
        <v>46036</v>
      </c>
      <c r="C943" s="105"/>
      <c r="D943" s="105"/>
      <c r="E943" s="109" t="s">
        <v>80</v>
      </c>
      <c r="F943" s="105" t="s">
        <v>21</v>
      </c>
      <c r="G943" s="105" t="s">
        <v>19</v>
      </c>
      <c r="H943" s="105">
        <v>1</v>
      </c>
      <c r="I943" s="108"/>
    </row>
    <row r="944" spans="1:9" s="24" customFormat="1">
      <c r="A944" s="53">
        <v>46037</v>
      </c>
      <c r="B944" s="54">
        <f>Table134[[#This Row],[Date]]</f>
        <v>46037</v>
      </c>
      <c r="C944" s="55" t="s">
        <v>26</v>
      </c>
      <c r="D944" s="71"/>
      <c r="E944" s="75" t="s">
        <v>78</v>
      </c>
      <c r="F944" s="55" t="s">
        <v>18</v>
      </c>
      <c r="G944" s="55" t="s">
        <v>19</v>
      </c>
      <c r="H944" s="55">
        <v>1</v>
      </c>
      <c r="I944" s="57"/>
    </row>
    <row r="945" spans="1:9" s="24" customFormat="1">
      <c r="A945" s="53">
        <v>46037</v>
      </c>
      <c r="B945" s="54">
        <f>Table134[[#This Row],[Date]]</f>
        <v>46037</v>
      </c>
      <c r="C945" s="55" t="s">
        <v>26</v>
      </c>
      <c r="D945" s="55"/>
      <c r="E945" s="61" t="s">
        <v>78</v>
      </c>
      <c r="F945" s="55" t="s">
        <v>21</v>
      </c>
      <c r="G945" s="55" t="s">
        <v>19</v>
      </c>
      <c r="H945" s="55">
        <v>1</v>
      </c>
      <c r="I945" s="57"/>
    </row>
    <row r="946" spans="1:9" s="24" customFormat="1">
      <c r="A946" s="53">
        <v>46037</v>
      </c>
      <c r="B946" s="54">
        <f>Table134[[#This Row],[Date]]</f>
        <v>46037</v>
      </c>
      <c r="C946" s="55" t="s">
        <v>26</v>
      </c>
      <c r="D946" s="55"/>
      <c r="E946" s="61" t="s">
        <v>78</v>
      </c>
      <c r="F946" s="55" t="s">
        <v>28</v>
      </c>
      <c r="G946" s="55" t="s">
        <v>19</v>
      </c>
      <c r="H946" s="55">
        <v>1</v>
      </c>
      <c r="I946" s="57"/>
    </row>
    <row r="947" spans="1:9" s="24" customFormat="1">
      <c r="A947" s="103">
        <v>46037</v>
      </c>
      <c r="B947" s="104">
        <f>Table134[[#This Row],[Date]]</f>
        <v>46037</v>
      </c>
      <c r="C947" s="105"/>
      <c r="D947" s="197"/>
      <c r="E947" s="128" t="s">
        <v>71</v>
      </c>
      <c r="F947" s="105" t="s">
        <v>59</v>
      </c>
      <c r="G947" s="105" t="s">
        <v>60</v>
      </c>
      <c r="H947" s="105">
        <v>1</v>
      </c>
      <c r="I947" s="108"/>
    </row>
    <row r="948" spans="1:9" s="24" customFormat="1">
      <c r="A948" s="103">
        <v>46037</v>
      </c>
      <c r="B948" s="104">
        <f>Table134[[#This Row],[Date]]</f>
        <v>46037</v>
      </c>
      <c r="C948" s="105"/>
      <c r="D948" s="197"/>
      <c r="E948" s="128" t="s">
        <v>71</v>
      </c>
      <c r="F948" s="105" t="s">
        <v>72</v>
      </c>
      <c r="G948" s="105" t="s">
        <v>60</v>
      </c>
      <c r="H948" s="105">
        <v>1</v>
      </c>
      <c r="I948" s="108"/>
    </row>
    <row r="949" spans="1:9" s="24" customFormat="1">
      <c r="A949" s="103">
        <v>46037</v>
      </c>
      <c r="B949" s="104">
        <f>Table134[[#This Row],[Date]]</f>
        <v>46037</v>
      </c>
      <c r="C949" s="105"/>
      <c r="D949" s="197"/>
      <c r="E949" s="128" t="s">
        <v>71</v>
      </c>
      <c r="F949" s="105" t="s">
        <v>73</v>
      </c>
      <c r="G949" s="105" t="s">
        <v>60</v>
      </c>
      <c r="H949" s="105">
        <v>1</v>
      </c>
      <c r="I949" s="108"/>
    </row>
    <row r="950" spans="1:9" s="24" customFormat="1">
      <c r="A950" s="53">
        <v>46038</v>
      </c>
      <c r="B950" s="54">
        <f>Table134[[#This Row],[Date]]</f>
        <v>46038</v>
      </c>
      <c r="C950" s="55" t="s">
        <v>14</v>
      </c>
      <c r="D950" s="71"/>
      <c r="E950" s="70" t="s">
        <v>111</v>
      </c>
      <c r="F950" s="55" t="s">
        <v>18</v>
      </c>
      <c r="G950" s="55" t="s">
        <v>99</v>
      </c>
      <c r="H950" s="55">
        <v>1</v>
      </c>
      <c r="I950" s="57"/>
    </row>
    <row r="951" spans="1:9" s="24" customFormat="1">
      <c r="A951" s="53">
        <v>46038</v>
      </c>
      <c r="B951" s="54">
        <f>Table134[[#This Row],[Date]]</f>
        <v>46038</v>
      </c>
      <c r="C951" s="55" t="s">
        <v>14</v>
      </c>
      <c r="D951" s="71"/>
      <c r="E951" s="75" t="s">
        <v>112</v>
      </c>
      <c r="F951" s="55" t="s">
        <v>18</v>
      </c>
      <c r="G951" s="55" t="s">
        <v>99</v>
      </c>
      <c r="H951" s="55">
        <v>1</v>
      </c>
      <c r="I951" s="57"/>
    </row>
    <row r="952" spans="1:9" s="24" customFormat="1">
      <c r="A952" s="53">
        <v>46038</v>
      </c>
      <c r="B952" s="54">
        <f>Table134[[#This Row],[Date]]</f>
        <v>46038</v>
      </c>
      <c r="C952" s="55" t="s">
        <v>23</v>
      </c>
      <c r="D952" s="55"/>
      <c r="E952" s="59" t="s">
        <v>81</v>
      </c>
      <c r="F952" s="55" t="s">
        <v>18</v>
      </c>
      <c r="G952" s="55" t="s">
        <v>19</v>
      </c>
      <c r="H952" s="55">
        <v>1</v>
      </c>
      <c r="I952" s="57"/>
    </row>
    <row r="953" spans="1:9" s="24" customFormat="1">
      <c r="A953" s="53">
        <v>46038</v>
      </c>
      <c r="B953" s="54">
        <f>Table134[[#This Row],[Date]]</f>
        <v>46038</v>
      </c>
      <c r="C953" s="55" t="s">
        <v>23</v>
      </c>
      <c r="D953" s="55"/>
      <c r="E953" s="59" t="s">
        <v>114</v>
      </c>
      <c r="F953" s="55" t="s">
        <v>18</v>
      </c>
      <c r="G953" s="55" t="s">
        <v>19</v>
      </c>
      <c r="H953" s="55">
        <v>1</v>
      </c>
      <c r="I953" s="57"/>
    </row>
    <row r="954" spans="1:9" s="24" customFormat="1">
      <c r="A954" s="53">
        <v>46038</v>
      </c>
      <c r="B954" s="54">
        <f>Table134[[#This Row],[Date]]</f>
        <v>46038</v>
      </c>
      <c r="C954" s="55" t="s">
        <v>23</v>
      </c>
      <c r="D954" s="71"/>
      <c r="E954" s="70" t="s">
        <v>114</v>
      </c>
      <c r="F954" s="55" t="s">
        <v>21</v>
      </c>
      <c r="G954" s="55" t="s">
        <v>19</v>
      </c>
      <c r="H954" s="55">
        <v>1</v>
      </c>
      <c r="I954" s="57"/>
    </row>
    <row r="955" spans="1:9" s="24" customFormat="1">
      <c r="A955" s="103">
        <v>46038</v>
      </c>
      <c r="B955" s="104">
        <f>Table134[[#This Row],[Date]]</f>
        <v>46038</v>
      </c>
      <c r="C955" s="105" t="s">
        <v>26</v>
      </c>
      <c r="D955" s="197"/>
      <c r="E955" s="212" t="s">
        <v>85</v>
      </c>
      <c r="F955" s="133" t="s">
        <v>18</v>
      </c>
      <c r="G955" s="105" t="s">
        <v>19</v>
      </c>
      <c r="H955" s="105">
        <v>1</v>
      </c>
      <c r="I955" s="108"/>
    </row>
    <row r="956" spans="1:9" s="24" customFormat="1">
      <c r="A956" s="103">
        <v>46038</v>
      </c>
      <c r="B956" s="104">
        <f>Table134[[#This Row],[Date]]</f>
        <v>46038</v>
      </c>
      <c r="C956" s="105" t="s">
        <v>26</v>
      </c>
      <c r="D956" s="105"/>
      <c r="E956" s="106" t="s">
        <v>85</v>
      </c>
      <c r="F956" s="133" t="s">
        <v>21</v>
      </c>
      <c r="G956" s="105" t="s">
        <v>19</v>
      </c>
      <c r="H956" s="105">
        <v>1</v>
      </c>
      <c r="I956" s="108"/>
    </row>
    <row r="957" spans="1:9" s="24" customFormat="1">
      <c r="A957" s="103">
        <v>46038</v>
      </c>
      <c r="B957" s="104">
        <f>Table134[[#This Row],[Date]]</f>
        <v>46038</v>
      </c>
      <c r="C957" s="105"/>
      <c r="D957" s="105"/>
      <c r="E957" s="109" t="s">
        <v>71</v>
      </c>
      <c r="F957" s="105" t="s">
        <v>61</v>
      </c>
      <c r="G957" s="105" t="s">
        <v>60</v>
      </c>
      <c r="H957" s="105">
        <v>1</v>
      </c>
      <c r="I957" s="108"/>
    </row>
    <row r="958" spans="1:9" s="24" customFormat="1">
      <c r="A958" s="103">
        <v>46038</v>
      </c>
      <c r="B958" s="104">
        <f>Table134[[#This Row],[Date]]</f>
        <v>46038</v>
      </c>
      <c r="C958" s="105"/>
      <c r="D958" s="105"/>
      <c r="E958" s="109" t="s">
        <v>71</v>
      </c>
      <c r="F958" s="116" t="s">
        <v>76</v>
      </c>
      <c r="G958" s="105" t="s">
        <v>60</v>
      </c>
      <c r="H958" s="105">
        <v>1</v>
      </c>
      <c r="I958" s="108"/>
    </row>
    <row r="959" spans="1:9" s="24" customFormat="1">
      <c r="A959" s="103">
        <v>46038</v>
      </c>
      <c r="B959" s="104">
        <f>Table134[[#This Row],[Date]]</f>
        <v>46038</v>
      </c>
      <c r="C959" s="105"/>
      <c r="D959" s="105"/>
      <c r="E959" s="109" t="s">
        <v>71</v>
      </c>
      <c r="F959" s="116" t="s">
        <v>77</v>
      </c>
      <c r="G959" s="105" t="s">
        <v>60</v>
      </c>
      <c r="H959" s="105">
        <v>1</v>
      </c>
      <c r="I959" s="108"/>
    </row>
    <row r="960" spans="1:9" s="24" customFormat="1">
      <c r="A960" s="16">
        <v>46039</v>
      </c>
      <c r="B960" s="18">
        <f>Table134[[#This Row],[Date]]</f>
        <v>46039</v>
      </c>
      <c r="C960" s="10" t="s">
        <v>4</v>
      </c>
      <c r="D960" s="10"/>
      <c r="E960" s="12" t="s">
        <v>116</v>
      </c>
      <c r="F960" s="14" t="s">
        <v>18</v>
      </c>
      <c r="G960" s="10" t="s">
        <v>99</v>
      </c>
      <c r="H960" s="10">
        <v>1</v>
      </c>
      <c r="I960" s="13"/>
    </row>
    <row r="961" spans="1:9" s="24" customFormat="1">
      <c r="A961" s="53">
        <v>46041</v>
      </c>
      <c r="B961" s="54">
        <f>Table134[[#This Row],[Date]]</f>
        <v>46041</v>
      </c>
      <c r="C961" s="55" t="s">
        <v>14</v>
      </c>
      <c r="D961" s="55"/>
      <c r="E961" s="59" t="s">
        <v>96</v>
      </c>
      <c r="F961" s="63" t="s">
        <v>18</v>
      </c>
      <c r="G961" s="55" t="s">
        <v>19</v>
      </c>
      <c r="H961" s="55">
        <v>1</v>
      </c>
      <c r="I961" s="57"/>
    </row>
    <row r="962" spans="1:9" s="24" customFormat="1">
      <c r="A962" s="53">
        <v>46041</v>
      </c>
      <c r="B962" s="54">
        <f>Table134[[#This Row],[Date]]</f>
        <v>46041</v>
      </c>
      <c r="C962" s="55" t="s">
        <v>14</v>
      </c>
      <c r="D962" s="55"/>
      <c r="E962" s="59" t="s">
        <v>97</v>
      </c>
      <c r="F962" s="63" t="s">
        <v>18</v>
      </c>
      <c r="G962" s="55" t="s">
        <v>19</v>
      </c>
      <c r="H962" s="55">
        <v>1</v>
      </c>
      <c r="I962" s="57"/>
    </row>
    <row r="963" spans="1:9" s="24" customFormat="1">
      <c r="A963" s="53">
        <v>46041</v>
      </c>
      <c r="B963" s="54">
        <f>Table134[[#This Row],[Date]]</f>
        <v>46041</v>
      </c>
      <c r="C963" s="55" t="s">
        <v>14</v>
      </c>
      <c r="D963" s="55"/>
      <c r="E963" s="122" t="s">
        <v>100</v>
      </c>
      <c r="F963" s="63" t="s">
        <v>18</v>
      </c>
      <c r="G963" s="55" t="s">
        <v>19</v>
      </c>
      <c r="H963" s="55">
        <v>1</v>
      </c>
      <c r="I963" s="57"/>
    </row>
    <row r="964" spans="1:9" s="24" customFormat="1">
      <c r="A964" s="53">
        <v>46041</v>
      </c>
      <c r="B964" s="54">
        <f>Table134[[#This Row],[Date]]</f>
        <v>46041</v>
      </c>
      <c r="C964" s="55" t="s">
        <v>16</v>
      </c>
      <c r="D964" s="55"/>
      <c r="E964" s="59" t="s">
        <v>101</v>
      </c>
      <c r="F964" s="65" t="s">
        <v>18</v>
      </c>
      <c r="G964" s="55" t="s">
        <v>19</v>
      </c>
      <c r="H964" s="55">
        <v>1</v>
      </c>
      <c r="I964" s="57"/>
    </row>
    <row r="965" spans="1:9" s="24" customFormat="1">
      <c r="A965" s="53">
        <v>46041</v>
      </c>
      <c r="B965" s="54">
        <f>Table134[[#This Row],[Date]]</f>
        <v>46041</v>
      </c>
      <c r="C965" s="55" t="s">
        <v>16</v>
      </c>
      <c r="D965" s="55"/>
      <c r="E965" s="59" t="s">
        <v>101</v>
      </c>
      <c r="F965" s="65" t="s">
        <v>21</v>
      </c>
      <c r="G965" s="55" t="s">
        <v>19</v>
      </c>
      <c r="H965" s="55">
        <v>1</v>
      </c>
      <c r="I965" s="57"/>
    </row>
    <row r="966" spans="1:9" s="24" customFormat="1">
      <c r="A966" s="53">
        <v>46041</v>
      </c>
      <c r="B966" s="54">
        <f>Table134[[#This Row],[Date]]</f>
        <v>46041</v>
      </c>
      <c r="C966" s="55" t="s">
        <v>16</v>
      </c>
      <c r="D966" s="55"/>
      <c r="E966" s="59" t="s">
        <v>101</v>
      </c>
      <c r="F966" s="63" t="s">
        <v>47</v>
      </c>
      <c r="G966" s="55" t="s">
        <v>19</v>
      </c>
      <c r="H966" s="55">
        <v>1</v>
      </c>
      <c r="I966" s="57"/>
    </row>
    <row r="967" spans="1:9" s="24" customFormat="1">
      <c r="A967" s="53">
        <v>46041</v>
      </c>
      <c r="B967" s="54">
        <f>Table134[[#This Row],[Date]]</f>
        <v>46041</v>
      </c>
      <c r="C967" s="55" t="s">
        <v>26</v>
      </c>
      <c r="D967" s="55"/>
      <c r="E967" s="61" t="s">
        <v>102</v>
      </c>
      <c r="F967" s="65" t="s">
        <v>18</v>
      </c>
      <c r="G967" s="55" t="s">
        <v>19</v>
      </c>
      <c r="H967" s="55">
        <v>1</v>
      </c>
      <c r="I967" s="57"/>
    </row>
    <row r="968" spans="1:9" s="24" customFormat="1">
      <c r="A968" s="53">
        <v>46041</v>
      </c>
      <c r="B968" s="54">
        <f>Table134[[#This Row],[Date]]</f>
        <v>46041</v>
      </c>
      <c r="C968" s="55" t="s">
        <v>26</v>
      </c>
      <c r="D968" s="55"/>
      <c r="E968" s="61" t="s">
        <v>103</v>
      </c>
      <c r="F968" s="63" t="s">
        <v>18</v>
      </c>
      <c r="G968" s="55" t="s">
        <v>19</v>
      </c>
      <c r="H968" s="55">
        <v>1</v>
      </c>
      <c r="I968" s="57"/>
    </row>
    <row r="969" spans="1:9" s="24" customFormat="1">
      <c r="A969" s="53">
        <v>46041</v>
      </c>
      <c r="B969" s="54">
        <f>Table134[[#This Row],[Date]]</f>
        <v>46041</v>
      </c>
      <c r="C969" s="55" t="s">
        <v>26</v>
      </c>
      <c r="D969" s="55"/>
      <c r="E969" s="61" t="s">
        <v>103</v>
      </c>
      <c r="F969" s="63" t="s">
        <v>21</v>
      </c>
      <c r="G969" s="55" t="s">
        <v>19</v>
      </c>
      <c r="H969" s="55">
        <v>1</v>
      </c>
      <c r="I969" s="57"/>
    </row>
    <row r="970" spans="1:9" s="24" customFormat="1">
      <c r="A970" s="103">
        <v>46041</v>
      </c>
      <c r="B970" s="104">
        <f>Table134[[#This Row],[Date]]</f>
        <v>46041</v>
      </c>
      <c r="C970" s="105" t="s">
        <v>26</v>
      </c>
      <c r="D970" s="105"/>
      <c r="E970" s="106" t="s">
        <v>84</v>
      </c>
      <c r="F970" s="116" t="s">
        <v>47</v>
      </c>
      <c r="G970" s="105" t="s">
        <v>19</v>
      </c>
      <c r="H970" s="105">
        <v>1</v>
      </c>
      <c r="I970" s="108"/>
    </row>
    <row r="971" spans="1:9" s="24" customFormat="1">
      <c r="A971" s="53">
        <v>46042</v>
      </c>
      <c r="B971" s="54">
        <f>Table134[[#This Row],[Date]]</f>
        <v>46042</v>
      </c>
      <c r="C971" s="55" t="s">
        <v>14</v>
      </c>
      <c r="D971" s="55"/>
      <c r="E971" s="59" t="s">
        <v>104</v>
      </c>
      <c r="F971" s="63" t="s">
        <v>72</v>
      </c>
      <c r="G971" s="55" t="s">
        <v>60</v>
      </c>
      <c r="H971" s="55">
        <v>1</v>
      </c>
      <c r="I971" s="57"/>
    </row>
    <row r="972" spans="1:9" s="24" customFormat="1">
      <c r="A972" s="53">
        <v>46042</v>
      </c>
      <c r="B972" s="54">
        <f>Table134[[#This Row],[Date]]</f>
        <v>46042</v>
      </c>
      <c r="C972" s="55" t="s">
        <v>14</v>
      </c>
      <c r="D972" s="55"/>
      <c r="E972" s="59" t="s">
        <v>104</v>
      </c>
      <c r="F972" s="63" t="s">
        <v>76</v>
      </c>
      <c r="G972" s="55" t="s">
        <v>60</v>
      </c>
      <c r="H972" s="55">
        <v>1</v>
      </c>
      <c r="I972" s="57"/>
    </row>
    <row r="973" spans="1:9" s="24" customFormat="1">
      <c r="A973" s="48">
        <v>46042</v>
      </c>
      <c r="B973" s="49">
        <f>Table134[[#This Row],[Date]]</f>
        <v>46042</v>
      </c>
      <c r="C973" s="50" t="s">
        <v>4</v>
      </c>
      <c r="D973" s="50"/>
      <c r="E973" s="51" t="s">
        <v>32</v>
      </c>
      <c r="F973" s="84"/>
      <c r="G973" s="50"/>
      <c r="H973" s="50"/>
      <c r="I973" s="52"/>
    </row>
    <row r="974" spans="1:9" s="24" customFormat="1">
      <c r="A974" s="53">
        <v>46043</v>
      </c>
      <c r="B974" s="54">
        <f>Table134[[#This Row],[Date]]</f>
        <v>46043</v>
      </c>
      <c r="C974" s="55" t="s">
        <v>16</v>
      </c>
      <c r="D974" s="57"/>
      <c r="E974" s="69" t="s">
        <v>105</v>
      </c>
      <c r="F974" s="76" t="s">
        <v>18</v>
      </c>
      <c r="G974" s="55" t="s">
        <v>19</v>
      </c>
      <c r="H974" s="55">
        <v>1</v>
      </c>
      <c r="I974" s="57"/>
    </row>
    <row r="975" spans="1:9" s="33" customFormat="1">
      <c r="A975" s="53">
        <v>46043</v>
      </c>
      <c r="B975" s="54">
        <f>Table134[[#This Row],[Date]]</f>
        <v>46043</v>
      </c>
      <c r="C975" s="55" t="s">
        <v>16</v>
      </c>
      <c r="D975" s="55"/>
      <c r="E975" s="59" t="s">
        <v>105</v>
      </c>
      <c r="F975" s="77" t="s">
        <v>21</v>
      </c>
      <c r="G975" s="55" t="s">
        <v>19</v>
      </c>
      <c r="H975" s="55">
        <v>1</v>
      </c>
      <c r="I975" s="57"/>
    </row>
    <row r="976" spans="1:9" s="24" customFormat="1">
      <c r="A976" s="53">
        <v>46043</v>
      </c>
      <c r="B976" s="54">
        <f>Table134[[#This Row],[Date]]</f>
        <v>46043</v>
      </c>
      <c r="C976" s="55" t="s">
        <v>16</v>
      </c>
      <c r="D976" s="55"/>
      <c r="E976" s="59" t="s">
        <v>105</v>
      </c>
      <c r="F976" s="77" t="s">
        <v>49</v>
      </c>
      <c r="G976" s="55" t="s">
        <v>19</v>
      </c>
      <c r="H976" s="55">
        <v>1</v>
      </c>
      <c r="I976" s="57"/>
    </row>
    <row r="977" spans="1:9" s="24" customFormat="1">
      <c r="A977" s="53">
        <v>46043</v>
      </c>
      <c r="B977" s="54">
        <f>Table134[[#This Row],[Date]]</f>
        <v>46043</v>
      </c>
      <c r="C977" s="55" t="s">
        <v>23</v>
      </c>
      <c r="D977" s="55"/>
      <c r="E977" s="61" t="s">
        <v>106</v>
      </c>
      <c r="F977" s="64" t="s">
        <v>28</v>
      </c>
      <c r="G977" s="55" t="s">
        <v>19</v>
      </c>
      <c r="H977" s="55">
        <v>1</v>
      </c>
      <c r="I977" s="57"/>
    </row>
    <row r="978" spans="1:9" s="24" customFormat="1">
      <c r="A978" s="53">
        <v>46043</v>
      </c>
      <c r="B978" s="54">
        <f>Table134[[#This Row],[Date]]</f>
        <v>46043</v>
      </c>
      <c r="C978" s="55" t="s">
        <v>23</v>
      </c>
      <c r="D978" s="55"/>
      <c r="E978" s="61" t="s">
        <v>106</v>
      </c>
      <c r="F978" s="55" t="s">
        <v>107</v>
      </c>
      <c r="G978" s="55" t="s">
        <v>19</v>
      </c>
      <c r="H978" s="55">
        <v>1</v>
      </c>
      <c r="I978" s="57"/>
    </row>
    <row r="979" spans="1:9" s="24" customFormat="1">
      <c r="A979" s="53">
        <v>46043</v>
      </c>
      <c r="B979" s="54">
        <f>Table134[[#This Row],[Date]]</f>
        <v>46043</v>
      </c>
      <c r="C979" s="55" t="s">
        <v>23</v>
      </c>
      <c r="D979" s="55"/>
      <c r="E979" s="61" t="s">
        <v>106</v>
      </c>
      <c r="F979" s="64" t="s">
        <v>41</v>
      </c>
      <c r="G979" s="55" t="s">
        <v>19</v>
      </c>
      <c r="H979" s="55">
        <v>1</v>
      </c>
      <c r="I979" s="57"/>
    </row>
    <row r="980" spans="1:9" s="24" customFormat="1">
      <c r="A980" s="53">
        <v>46043</v>
      </c>
      <c r="B980" s="54">
        <f>Table134[[#This Row],[Date]]</f>
        <v>46043</v>
      </c>
      <c r="C980" s="55" t="s">
        <v>26</v>
      </c>
      <c r="D980" s="55"/>
      <c r="E980" s="61" t="s">
        <v>108</v>
      </c>
      <c r="F980" s="55" t="s">
        <v>28</v>
      </c>
      <c r="G980" s="55" t="s">
        <v>19</v>
      </c>
      <c r="H980" s="55">
        <v>1</v>
      </c>
      <c r="I980" s="57"/>
    </row>
    <row r="981" spans="1:9" s="24" customFormat="1">
      <c r="A981" s="53">
        <v>46043</v>
      </c>
      <c r="B981" s="54">
        <f>Table134[[#This Row],[Date]]</f>
        <v>46043</v>
      </c>
      <c r="C981" s="55" t="s">
        <v>26</v>
      </c>
      <c r="D981" s="55"/>
      <c r="E981" s="61" t="s">
        <v>108</v>
      </c>
      <c r="F981" s="55" t="s">
        <v>107</v>
      </c>
      <c r="G981" s="55" t="s">
        <v>19</v>
      </c>
      <c r="H981" s="55">
        <v>1</v>
      </c>
      <c r="I981" s="57"/>
    </row>
    <row r="982" spans="1:9" s="24" customFormat="1">
      <c r="A982" s="53">
        <v>46043</v>
      </c>
      <c r="B982" s="54">
        <f>Table134[[#This Row],[Date]]</f>
        <v>46043</v>
      </c>
      <c r="C982" s="55" t="s">
        <v>26</v>
      </c>
      <c r="D982" s="55"/>
      <c r="E982" s="61" t="s">
        <v>108</v>
      </c>
      <c r="F982" s="55" t="s">
        <v>35</v>
      </c>
      <c r="G982" s="55" t="s">
        <v>19</v>
      </c>
      <c r="H982" s="55">
        <v>1</v>
      </c>
      <c r="I982" s="57"/>
    </row>
    <row r="983" spans="1:9" s="24" customFormat="1">
      <c r="A983" s="53">
        <v>46043</v>
      </c>
      <c r="B983" s="54">
        <f>Table134[[#This Row],[Date]]</f>
        <v>46043</v>
      </c>
      <c r="C983" s="55" t="s">
        <v>26</v>
      </c>
      <c r="D983" s="55"/>
      <c r="E983" s="61" t="s">
        <v>108</v>
      </c>
      <c r="F983" s="55" t="s">
        <v>109</v>
      </c>
      <c r="G983" s="55" t="s">
        <v>19</v>
      </c>
      <c r="H983" s="55">
        <v>1</v>
      </c>
      <c r="I983" s="57"/>
    </row>
    <row r="984" spans="1:9" s="24" customFormat="1">
      <c r="A984" s="53">
        <v>46044</v>
      </c>
      <c r="B984" s="54">
        <f>Table134[[#This Row],[Date]]</f>
        <v>46044</v>
      </c>
      <c r="C984" s="55" t="s">
        <v>16</v>
      </c>
      <c r="D984" s="55"/>
      <c r="E984" s="59" t="s">
        <v>105</v>
      </c>
      <c r="F984" s="77" t="s">
        <v>47</v>
      </c>
      <c r="G984" s="55" t="s">
        <v>19</v>
      </c>
      <c r="H984" s="55">
        <v>1</v>
      </c>
      <c r="I984" s="57"/>
    </row>
    <row r="985" spans="1:9" s="24" customFormat="1">
      <c r="A985" s="53">
        <v>46044</v>
      </c>
      <c r="B985" s="54">
        <f>Table134[[#This Row],[Date]]</f>
        <v>46044</v>
      </c>
      <c r="C985" s="55" t="s">
        <v>16</v>
      </c>
      <c r="D985" s="55"/>
      <c r="E985" s="59" t="s">
        <v>105</v>
      </c>
      <c r="F985" s="77" t="s">
        <v>53</v>
      </c>
      <c r="G985" s="55" t="s">
        <v>19</v>
      </c>
      <c r="H985" s="55">
        <v>1</v>
      </c>
      <c r="I985" s="57"/>
    </row>
    <row r="986" spans="1:9" s="24" customFormat="1">
      <c r="A986" s="53">
        <v>46044</v>
      </c>
      <c r="B986" s="54">
        <f>Table134[[#This Row],[Date]]</f>
        <v>46044</v>
      </c>
      <c r="C986" s="55" t="s">
        <v>16</v>
      </c>
      <c r="D986" s="55"/>
      <c r="E986" s="59" t="s">
        <v>105</v>
      </c>
      <c r="F986" s="77" t="s">
        <v>41</v>
      </c>
      <c r="G986" s="55" t="s">
        <v>19</v>
      </c>
      <c r="H986" s="55">
        <v>1</v>
      </c>
      <c r="I986" s="57"/>
    </row>
    <row r="987" spans="1:9" s="24" customFormat="1">
      <c r="A987" s="53">
        <v>46044</v>
      </c>
      <c r="B987" s="54">
        <f>Table134[[#This Row],[Date]]</f>
        <v>46044</v>
      </c>
      <c r="C987" s="55" t="s">
        <v>23</v>
      </c>
      <c r="D987" s="55"/>
      <c r="E987" s="59" t="s">
        <v>106</v>
      </c>
      <c r="F987" s="64" t="s">
        <v>18</v>
      </c>
      <c r="G987" s="55" t="s">
        <v>19</v>
      </c>
      <c r="H987" s="55">
        <v>1</v>
      </c>
      <c r="I987" s="57"/>
    </row>
    <row r="988" spans="1:9" s="24" customFormat="1">
      <c r="A988" s="53">
        <v>46044</v>
      </c>
      <c r="B988" s="54">
        <f>Table134[[#This Row],[Date]]</f>
        <v>46044</v>
      </c>
      <c r="C988" s="55" t="s">
        <v>23</v>
      </c>
      <c r="D988" s="55"/>
      <c r="E988" s="59" t="s">
        <v>106</v>
      </c>
      <c r="F988" s="64" t="s">
        <v>21</v>
      </c>
      <c r="G988" s="55" t="s">
        <v>19</v>
      </c>
      <c r="H988" s="55">
        <v>1</v>
      </c>
      <c r="I988" s="57"/>
    </row>
    <row r="989" spans="1:9" s="24" customFormat="1">
      <c r="A989" s="53">
        <v>46044</v>
      </c>
      <c r="B989" s="54">
        <f>Table134[[#This Row],[Date]]</f>
        <v>46044</v>
      </c>
      <c r="C989" s="55" t="s">
        <v>23</v>
      </c>
      <c r="D989" s="55"/>
      <c r="E989" s="59" t="s">
        <v>106</v>
      </c>
      <c r="F989" s="64" t="s">
        <v>49</v>
      </c>
      <c r="G989" s="55" t="s">
        <v>19</v>
      </c>
      <c r="H989" s="55">
        <v>1</v>
      </c>
      <c r="I989" s="57"/>
    </row>
    <row r="990" spans="1:9" s="24" customFormat="1">
      <c r="A990" s="53">
        <v>46044</v>
      </c>
      <c r="B990" s="54">
        <f>Table134[[#This Row],[Date]]</f>
        <v>46044</v>
      </c>
      <c r="C990" s="55" t="s">
        <v>26</v>
      </c>
      <c r="D990" s="55"/>
      <c r="E990" s="59" t="s">
        <v>110</v>
      </c>
      <c r="F990" s="55" t="s">
        <v>18</v>
      </c>
      <c r="G990" s="55" t="s">
        <v>19</v>
      </c>
      <c r="H990" s="55">
        <v>1</v>
      </c>
      <c r="I990" s="57"/>
    </row>
    <row r="991" spans="1:9" s="24" customFormat="1">
      <c r="A991" s="53">
        <v>46044</v>
      </c>
      <c r="B991" s="54">
        <f>Table134[[#This Row],[Date]]</f>
        <v>46044</v>
      </c>
      <c r="C991" s="55" t="s">
        <v>26</v>
      </c>
      <c r="D991" s="55"/>
      <c r="E991" s="59" t="s">
        <v>110</v>
      </c>
      <c r="F991" s="55" t="s">
        <v>21</v>
      </c>
      <c r="G991" s="55" t="s">
        <v>19</v>
      </c>
      <c r="H991" s="55">
        <v>1</v>
      </c>
      <c r="I991" s="57"/>
    </row>
    <row r="992" spans="1:9" s="24" customFormat="1">
      <c r="A992" s="53">
        <v>46045</v>
      </c>
      <c r="B992" s="54">
        <f>Table134[[#This Row],[Date]]</f>
        <v>46045</v>
      </c>
      <c r="C992" s="55" t="s">
        <v>14</v>
      </c>
      <c r="D992" s="55"/>
      <c r="E992" s="59" t="s">
        <v>105</v>
      </c>
      <c r="F992" s="55" t="s">
        <v>59</v>
      </c>
      <c r="G992" s="55" t="s">
        <v>60</v>
      </c>
      <c r="H992" s="55">
        <v>1</v>
      </c>
      <c r="I992" s="57"/>
    </row>
    <row r="993" spans="1:9" s="24" customFormat="1">
      <c r="A993" s="53">
        <v>46045</v>
      </c>
      <c r="B993" s="54">
        <f>Table134[[#This Row],[Date]]</f>
        <v>46045</v>
      </c>
      <c r="C993" s="55" t="s">
        <v>14</v>
      </c>
      <c r="D993" s="55"/>
      <c r="E993" s="59" t="s">
        <v>105</v>
      </c>
      <c r="F993" s="77" t="s">
        <v>61</v>
      </c>
      <c r="G993" s="55" t="s">
        <v>60</v>
      </c>
      <c r="H993" s="55">
        <v>1</v>
      </c>
      <c r="I993" s="57"/>
    </row>
    <row r="994" spans="1:9" s="24" customFormat="1">
      <c r="A994" s="53">
        <v>46045</v>
      </c>
      <c r="B994" s="54">
        <f>Table134[[#This Row],[Date]]</f>
        <v>46045</v>
      </c>
      <c r="C994" s="55" t="s">
        <v>14</v>
      </c>
      <c r="D994" s="55"/>
      <c r="E994" s="59" t="s">
        <v>105</v>
      </c>
      <c r="F994" s="77" t="s">
        <v>72</v>
      </c>
      <c r="G994" s="55" t="s">
        <v>60</v>
      </c>
      <c r="H994" s="55">
        <v>1</v>
      </c>
      <c r="I994" s="57"/>
    </row>
    <row r="995" spans="1:9" s="24" customFormat="1">
      <c r="A995" s="53">
        <v>46045</v>
      </c>
      <c r="B995" s="54">
        <f>Table134[[#This Row],[Date]]</f>
        <v>46045</v>
      </c>
      <c r="C995" s="55" t="s">
        <v>14</v>
      </c>
      <c r="D995" s="55"/>
      <c r="E995" s="59" t="s">
        <v>105</v>
      </c>
      <c r="F995" s="77" t="s">
        <v>76</v>
      </c>
      <c r="G995" s="55" t="s">
        <v>60</v>
      </c>
      <c r="H995" s="55">
        <v>1</v>
      </c>
      <c r="I995" s="57"/>
    </row>
    <row r="996" spans="1:9" s="24" customFormat="1">
      <c r="A996" s="53">
        <v>46045</v>
      </c>
      <c r="B996" s="54">
        <f>Table134[[#This Row],[Date]]</f>
        <v>46045</v>
      </c>
      <c r="C996" s="55" t="s">
        <v>26</v>
      </c>
      <c r="D996" s="55"/>
      <c r="E996" s="61" t="s">
        <v>123</v>
      </c>
      <c r="F996" s="55" t="s">
        <v>18</v>
      </c>
      <c r="G996" s="55" t="s">
        <v>19</v>
      </c>
      <c r="H996" s="55">
        <v>1</v>
      </c>
      <c r="I996" s="57"/>
    </row>
    <row r="997" spans="1:9" s="24" customFormat="1">
      <c r="A997" s="53">
        <v>46045</v>
      </c>
      <c r="B997" s="54">
        <f>Table134[[#This Row],[Date]]</f>
        <v>46045</v>
      </c>
      <c r="C997" s="55" t="s">
        <v>26</v>
      </c>
      <c r="D997" s="55"/>
      <c r="E997" s="61" t="s">
        <v>123</v>
      </c>
      <c r="F997" s="55" t="s">
        <v>21</v>
      </c>
      <c r="G997" s="55" t="s">
        <v>19</v>
      </c>
      <c r="H997" s="55">
        <v>1</v>
      </c>
      <c r="I997" s="57"/>
    </row>
    <row r="998" spans="1:9" s="24" customFormat="1">
      <c r="A998" s="53">
        <v>46045</v>
      </c>
      <c r="B998" s="54">
        <f>Table134[[#This Row],[Date]]</f>
        <v>46045</v>
      </c>
      <c r="C998" s="55" t="s">
        <v>26</v>
      </c>
      <c r="D998" s="55"/>
      <c r="E998" s="61" t="s">
        <v>123</v>
      </c>
      <c r="F998" s="55" t="s">
        <v>47</v>
      </c>
      <c r="G998" s="55" t="s">
        <v>19</v>
      </c>
      <c r="H998" s="55">
        <v>1</v>
      </c>
      <c r="I998" s="57"/>
    </row>
    <row r="999" spans="1:9" s="24" customFormat="1">
      <c r="A999" s="53">
        <v>46045</v>
      </c>
      <c r="B999" s="54">
        <f>Table134[[#This Row],[Date]]</f>
        <v>46045</v>
      </c>
      <c r="C999" s="55" t="s">
        <v>26</v>
      </c>
      <c r="D999" s="55"/>
      <c r="E999" s="61" t="s">
        <v>115</v>
      </c>
      <c r="F999" s="64" t="s">
        <v>18</v>
      </c>
      <c r="G999" s="55" t="s">
        <v>19</v>
      </c>
      <c r="H999" s="55">
        <v>1</v>
      </c>
      <c r="I999" s="57"/>
    </row>
    <row r="1000" spans="1:9" s="24" customFormat="1">
      <c r="A1000" s="16">
        <v>46046</v>
      </c>
      <c r="B1000" s="18">
        <f>Table134[[#This Row],[Date]]</f>
        <v>46046</v>
      </c>
      <c r="C1000" s="10" t="s">
        <v>23</v>
      </c>
      <c r="D1000" s="10"/>
      <c r="E1000" s="9" t="s">
        <v>143</v>
      </c>
      <c r="F1000" s="10" t="s">
        <v>41</v>
      </c>
      <c r="G1000" s="10" t="s">
        <v>19</v>
      </c>
      <c r="H1000" s="10">
        <v>1</v>
      </c>
      <c r="I1000" s="13"/>
    </row>
    <row r="1001" spans="1:9" s="24" customFormat="1">
      <c r="A1001" s="16">
        <v>46046</v>
      </c>
      <c r="B1001" s="18">
        <f>Table134[[#This Row],[Date]]</f>
        <v>46046</v>
      </c>
      <c r="C1001" s="10" t="s">
        <v>23</v>
      </c>
      <c r="D1001" s="10"/>
      <c r="E1001" s="9" t="s">
        <v>143</v>
      </c>
      <c r="F1001" s="10" t="s">
        <v>42</v>
      </c>
      <c r="G1001" s="10" t="s">
        <v>19</v>
      </c>
      <c r="H1001" s="10">
        <v>1</v>
      </c>
      <c r="I1001" s="13"/>
    </row>
    <row r="1002" spans="1:9" s="24" customFormat="1">
      <c r="A1002" s="16">
        <v>46047</v>
      </c>
      <c r="B1002" s="18">
        <f>Table134[[#This Row],[Date]]</f>
        <v>46047</v>
      </c>
      <c r="C1002" s="10" t="s">
        <v>14</v>
      </c>
      <c r="D1002" s="10"/>
      <c r="E1002" s="9" t="s">
        <v>144</v>
      </c>
      <c r="F1002" s="10" t="s">
        <v>18</v>
      </c>
      <c r="G1002" s="10" t="s">
        <v>19</v>
      </c>
      <c r="H1002" s="10">
        <v>1</v>
      </c>
      <c r="I1002" s="13"/>
    </row>
    <row r="1003" spans="1:9" s="24" customFormat="1">
      <c r="A1003" s="16">
        <v>46047</v>
      </c>
      <c r="B1003" s="18">
        <f>Table134[[#This Row],[Date]]</f>
        <v>46047</v>
      </c>
      <c r="C1003" s="10" t="s">
        <v>14</v>
      </c>
      <c r="D1003" s="10"/>
      <c r="E1003" s="9" t="s">
        <v>144</v>
      </c>
      <c r="F1003" s="10" t="s">
        <v>21</v>
      </c>
      <c r="G1003" s="10" t="s">
        <v>19</v>
      </c>
      <c r="H1003" s="10">
        <v>1</v>
      </c>
      <c r="I1003" s="13"/>
    </row>
    <row r="1004" spans="1:9" s="24" customFormat="1">
      <c r="A1004" s="53">
        <v>46048</v>
      </c>
      <c r="B1004" s="54">
        <f>Table134[[#This Row],[Date]]</f>
        <v>46048</v>
      </c>
      <c r="C1004" s="55" t="s">
        <v>16</v>
      </c>
      <c r="D1004" s="55"/>
      <c r="E1004" s="59" t="s">
        <v>119</v>
      </c>
      <c r="F1004" s="55" t="s">
        <v>47</v>
      </c>
      <c r="G1004" s="55" t="s">
        <v>19</v>
      </c>
      <c r="H1004" s="55">
        <v>1</v>
      </c>
      <c r="I1004" s="57"/>
    </row>
    <row r="1005" spans="1:9" s="24" customFormat="1">
      <c r="A1005" s="53">
        <v>46048</v>
      </c>
      <c r="B1005" s="54">
        <f>Table134[[#This Row],[Date]]</f>
        <v>46048</v>
      </c>
      <c r="C1005" s="55" t="s">
        <v>23</v>
      </c>
      <c r="D1005" s="55"/>
      <c r="E1005" s="59" t="s">
        <v>199</v>
      </c>
      <c r="F1005" s="55" t="s">
        <v>21</v>
      </c>
      <c r="G1005" s="55" t="s">
        <v>19</v>
      </c>
      <c r="H1005" s="55">
        <v>1</v>
      </c>
      <c r="I1005" s="57"/>
    </row>
    <row r="1006" spans="1:9" s="24" customFormat="1">
      <c r="A1006" s="53">
        <v>46048</v>
      </c>
      <c r="B1006" s="54">
        <f>Table134[[#This Row],[Date]]</f>
        <v>46048</v>
      </c>
      <c r="C1006" s="55" t="s">
        <v>23</v>
      </c>
      <c r="D1006" s="55"/>
      <c r="E1006" s="132" t="s">
        <v>122</v>
      </c>
      <c r="F1006" s="55" t="s">
        <v>18</v>
      </c>
      <c r="G1006" s="55" t="s">
        <v>19</v>
      </c>
      <c r="H1006" s="55">
        <v>1</v>
      </c>
      <c r="I1006" s="57"/>
    </row>
    <row r="1007" spans="1:9" s="24" customFormat="1">
      <c r="A1007" s="53">
        <v>46048</v>
      </c>
      <c r="B1007" s="54">
        <f>Table134[[#This Row],[Date]]</f>
        <v>46048</v>
      </c>
      <c r="C1007" s="55" t="s">
        <v>26</v>
      </c>
      <c r="D1007" s="55"/>
      <c r="E1007" s="59" t="s">
        <v>128</v>
      </c>
      <c r="F1007" s="55" t="s">
        <v>21</v>
      </c>
      <c r="G1007" s="55" t="s">
        <v>19</v>
      </c>
      <c r="H1007" s="55">
        <v>1</v>
      </c>
      <c r="I1007" s="57"/>
    </row>
    <row r="1008" spans="1:9" s="24" customFormat="1">
      <c r="A1008" s="103">
        <v>46048</v>
      </c>
      <c r="B1008" s="104">
        <f>Table134[[#This Row],[Date]]</f>
        <v>46048</v>
      </c>
      <c r="C1008" s="105" t="s">
        <v>26</v>
      </c>
      <c r="D1008" s="105"/>
      <c r="E1008" s="109" t="s">
        <v>129</v>
      </c>
      <c r="F1008" s="105"/>
      <c r="G1008" s="105"/>
      <c r="H1008" s="105">
        <v>1</v>
      </c>
      <c r="I1008" s="108"/>
    </row>
    <row r="1009" spans="1:9" s="24" customFormat="1">
      <c r="A1009" s="53">
        <v>46049</v>
      </c>
      <c r="B1009" s="54">
        <f>Table134[[#This Row],[Date]]</f>
        <v>46049</v>
      </c>
      <c r="C1009" s="55" t="s">
        <v>14</v>
      </c>
      <c r="D1009" s="55"/>
      <c r="E1009" s="59" t="s">
        <v>104</v>
      </c>
      <c r="F1009" s="55" t="s">
        <v>18</v>
      </c>
      <c r="G1009" s="55" t="s">
        <v>19</v>
      </c>
      <c r="H1009" s="55">
        <v>1</v>
      </c>
      <c r="I1009" s="57"/>
    </row>
    <row r="1010" spans="1:9" s="24" customFormat="1">
      <c r="A1010" s="53">
        <v>46049</v>
      </c>
      <c r="B1010" s="54">
        <f>Table134[[#This Row],[Date]]</f>
        <v>46049</v>
      </c>
      <c r="C1010" s="55" t="s">
        <v>14</v>
      </c>
      <c r="D1010" s="55"/>
      <c r="E1010" s="59" t="s">
        <v>104</v>
      </c>
      <c r="F1010" s="55" t="s">
        <v>21</v>
      </c>
      <c r="G1010" s="55" t="s">
        <v>19</v>
      </c>
      <c r="H1010" s="55">
        <v>1</v>
      </c>
      <c r="I1010" s="57"/>
    </row>
    <row r="1011" spans="1:9" s="24" customFormat="1">
      <c r="A1011" s="48">
        <v>46049</v>
      </c>
      <c r="B1011" s="49">
        <f>Table134[[#This Row],[Date]]</f>
        <v>46049</v>
      </c>
      <c r="C1011" s="50" t="s">
        <v>4</v>
      </c>
      <c r="D1011" s="50"/>
      <c r="E1011" s="51" t="s">
        <v>32</v>
      </c>
      <c r="F1011" s="50"/>
      <c r="G1011" s="50"/>
      <c r="H1011" s="50"/>
      <c r="I1011" s="52"/>
    </row>
    <row r="1012" spans="1:9" s="24" customFormat="1">
      <c r="A1012" s="48">
        <v>46049</v>
      </c>
      <c r="B1012" s="49">
        <f>Table134[[#This Row],[Date]]</f>
        <v>46049</v>
      </c>
      <c r="C1012" s="50" t="s">
        <v>149</v>
      </c>
      <c r="D1012" s="50"/>
      <c r="E1012" s="51" t="s">
        <v>150</v>
      </c>
      <c r="F1012" s="50"/>
      <c r="G1012" s="50"/>
      <c r="H1012" s="50"/>
      <c r="I1012" s="52"/>
    </row>
    <row r="1013" spans="1:9" s="24" customFormat="1">
      <c r="A1013" s="53">
        <v>46050</v>
      </c>
      <c r="B1013" s="54">
        <f>Table134[[#This Row],[Date]]</f>
        <v>46050</v>
      </c>
      <c r="C1013" s="55" t="s">
        <v>16</v>
      </c>
      <c r="D1013" s="55"/>
      <c r="E1013" s="59" t="s">
        <v>119</v>
      </c>
      <c r="F1013" s="55" t="s">
        <v>18</v>
      </c>
      <c r="G1013" s="55" t="s">
        <v>19</v>
      </c>
      <c r="H1013" s="55">
        <v>1</v>
      </c>
      <c r="I1013" s="57"/>
    </row>
    <row r="1014" spans="1:9" s="24" customFormat="1">
      <c r="A1014" s="53">
        <v>46050</v>
      </c>
      <c r="B1014" s="54">
        <f>Table134[[#This Row],[Date]]</f>
        <v>46050</v>
      </c>
      <c r="C1014" s="55" t="s">
        <v>16</v>
      </c>
      <c r="D1014" s="55"/>
      <c r="E1014" s="59" t="s">
        <v>119</v>
      </c>
      <c r="F1014" s="55" t="s">
        <v>21</v>
      </c>
      <c r="G1014" s="55" t="s">
        <v>19</v>
      </c>
      <c r="H1014" s="55">
        <v>1</v>
      </c>
      <c r="I1014" s="57"/>
    </row>
    <row r="1015" spans="1:9" s="24" customFormat="1">
      <c r="A1015" s="53">
        <v>46050</v>
      </c>
      <c r="B1015" s="54">
        <f>Table134[[#This Row],[Date]]</f>
        <v>46050</v>
      </c>
      <c r="C1015" s="55" t="s">
        <v>23</v>
      </c>
      <c r="D1015" s="55"/>
      <c r="E1015" s="61" t="s">
        <v>125</v>
      </c>
      <c r="F1015" s="55" t="s">
        <v>18</v>
      </c>
      <c r="G1015" s="55" t="s">
        <v>19</v>
      </c>
      <c r="H1015" s="55">
        <v>1</v>
      </c>
      <c r="I1015" s="57"/>
    </row>
    <row r="1016" spans="1:9" s="24" customFormat="1">
      <c r="A1016" s="53">
        <v>46050</v>
      </c>
      <c r="B1016" s="54">
        <f>Table134[[#This Row],[Date]]</f>
        <v>46050</v>
      </c>
      <c r="C1016" s="55" t="s">
        <v>23</v>
      </c>
      <c r="D1016" s="55"/>
      <c r="E1016" s="61" t="s">
        <v>127</v>
      </c>
      <c r="F1016" s="55" t="s">
        <v>18</v>
      </c>
      <c r="G1016" s="55" t="s">
        <v>19</v>
      </c>
      <c r="H1016" s="55">
        <v>1</v>
      </c>
      <c r="I1016" s="57"/>
    </row>
    <row r="1017" spans="1:9" s="24" customFormat="1">
      <c r="A1017" s="53">
        <v>46051</v>
      </c>
      <c r="B1017" s="54">
        <f>Table134[[#This Row],[Date]]</f>
        <v>46051</v>
      </c>
      <c r="C1017" s="55" t="s">
        <v>14</v>
      </c>
      <c r="D1017" s="55"/>
      <c r="E1017" s="59" t="s">
        <v>130</v>
      </c>
      <c r="F1017" s="55" t="s">
        <v>18</v>
      </c>
      <c r="G1017" s="55" t="s">
        <v>19</v>
      </c>
      <c r="H1017" s="55">
        <v>1</v>
      </c>
      <c r="I1017" s="57"/>
    </row>
    <row r="1018" spans="1:9" s="24" customFormat="1">
      <c r="A1018" s="53">
        <v>46051</v>
      </c>
      <c r="B1018" s="54">
        <f>Table134[[#This Row],[Date]]</f>
        <v>46051</v>
      </c>
      <c r="C1018" s="55" t="s">
        <v>14</v>
      </c>
      <c r="D1018" s="55"/>
      <c r="E1018" s="59" t="s">
        <v>131</v>
      </c>
      <c r="F1018" s="64" t="s">
        <v>18</v>
      </c>
      <c r="G1018" s="55" t="s">
        <v>19</v>
      </c>
      <c r="H1018" s="55">
        <v>1</v>
      </c>
      <c r="I1018" s="57"/>
    </row>
    <row r="1019" spans="1:9" s="24" customFormat="1">
      <c r="A1019" s="53">
        <v>46051</v>
      </c>
      <c r="B1019" s="54">
        <f>Table134[[#This Row],[Date]]</f>
        <v>46051</v>
      </c>
      <c r="C1019" s="55" t="s">
        <v>14</v>
      </c>
      <c r="D1019" s="55"/>
      <c r="E1019" s="59" t="s">
        <v>132</v>
      </c>
      <c r="F1019" s="55" t="s">
        <v>18</v>
      </c>
      <c r="G1019" s="55" t="s">
        <v>19</v>
      </c>
      <c r="H1019" s="55">
        <v>1</v>
      </c>
      <c r="I1019" s="57"/>
    </row>
    <row r="1020" spans="1:9" s="24" customFormat="1">
      <c r="A1020" s="53">
        <v>46051</v>
      </c>
      <c r="B1020" s="54">
        <f>Table134[[#This Row],[Date]]</f>
        <v>46051</v>
      </c>
      <c r="C1020" s="55" t="s">
        <v>16</v>
      </c>
      <c r="D1020" s="55"/>
      <c r="E1020" s="59" t="s">
        <v>133</v>
      </c>
      <c r="F1020" s="55" t="s">
        <v>21</v>
      </c>
      <c r="G1020" s="55" t="s">
        <v>19</v>
      </c>
      <c r="H1020" s="55">
        <v>1</v>
      </c>
      <c r="I1020" s="57"/>
    </row>
    <row r="1021" spans="1:9" s="24" customFormat="1">
      <c r="A1021" s="53">
        <v>46051</v>
      </c>
      <c r="B1021" s="54">
        <f>Table134[[#This Row],[Date]]</f>
        <v>46051</v>
      </c>
      <c r="C1021" s="55" t="s">
        <v>16</v>
      </c>
      <c r="D1021" s="55"/>
      <c r="E1021" s="59" t="s">
        <v>134</v>
      </c>
      <c r="F1021" s="55" t="s">
        <v>18</v>
      </c>
      <c r="G1021" s="55" t="s">
        <v>19</v>
      </c>
      <c r="H1021" s="55">
        <v>1</v>
      </c>
      <c r="I1021" s="57"/>
    </row>
    <row r="1022" spans="1:9" s="24" customFormat="1">
      <c r="A1022" s="53">
        <v>46051</v>
      </c>
      <c r="B1022" s="54">
        <f>Table134[[#This Row],[Date]]</f>
        <v>46051</v>
      </c>
      <c r="C1022" s="55" t="s">
        <v>16</v>
      </c>
      <c r="D1022" s="55"/>
      <c r="E1022" s="59" t="s">
        <v>135</v>
      </c>
      <c r="F1022" s="77" t="s">
        <v>47</v>
      </c>
      <c r="G1022" s="55" t="s">
        <v>19</v>
      </c>
      <c r="H1022" s="55">
        <v>1</v>
      </c>
      <c r="I1022" s="57"/>
    </row>
    <row r="1023" spans="1:9" s="24" customFormat="1">
      <c r="A1023" s="53">
        <v>46051</v>
      </c>
      <c r="B1023" s="54">
        <f>Table134[[#This Row],[Date]]</f>
        <v>46051</v>
      </c>
      <c r="C1023" s="55" t="s">
        <v>16</v>
      </c>
      <c r="D1023" s="55"/>
      <c r="E1023" s="59" t="s">
        <v>135</v>
      </c>
      <c r="F1023" s="77" t="s">
        <v>53</v>
      </c>
      <c r="G1023" s="55" t="s">
        <v>19</v>
      </c>
      <c r="H1023" s="55">
        <v>1</v>
      </c>
      <c r="I1023" s="57"/>
    </row>
    <row r="1024" spans="1:9" s="24" customFormat="1">
      <c r="A1024" s="53">
        <v>46052</v>
      </c>
      <c r="B1024" s="54">
        <f>Table134[[#This Row],[Date]]</f>
        <v>46052</v>
      </c>
      <c r="C1024" s="55" t="s">
        <v>14</v>
      </c>
      <c r="D1024" s="55"/>
      <c r="E1024" s="59" t="s">
        <v>145</v>
      </c>
      <c r="F1024" s="55" t="s">
        <v>18</v>
      </c>
      <c r="G1024" s="55" t="s">
        <v>19</v>
      </c>
      <c r="H1024" s="55">
        <v>1</v>
      </c>
      <c r="I1024" s="57"/>
    </row>
    <row r="1025" spans="1:9" s="24" customFormat="1">
      <c r="A1025" s="53">
        <v>46052</v>
      </c>
      <c r="B1025" s="54">
        <f>Table134[[#This Row],[Date]]</f>
        <v>46052</v>
      </c>
      <c r="C1025" s="55" t="s">
        <v>16</v>
      </c>
      <c r="D1025" s="55"/>
      <c r="E1025" s="59" t="s">
        <v>136</v>
      </c>
      <c r="F1025" s="55" t="s">
        <v>18</v>
      </c>
      <c r="G1025" s="55" t="s">
        <v>19</v>
      </c>
      <c r="H1025" s="55">
        <v>1</v>
      </c>
      <c r="I1025" s="57"/>
    </row>
    <row r="1026" spans="1:9" s="24" customFormat="1">
      <c r="A1026" s="53">
        <v>46052</v>
      </c>
      <c r="B1026" s="54">
        <f>Table134[[#This Row],[Date]]</f>
        <v>46052</v>
      </c>
      <c r="C1026" s="55" t="s">
        <v>16</v>
      </c>
      <c r="D1026" s="55"/>
      <c r="E1026" s="59" t="s">
        <v>137</v>
      </c>
      <c r="F1026" s="55" t="s">
        <v>18</v>
      </c>
      <c r="G1026" s="55" t="s">
        <v>19</v>
      </c>
      <c r="H1026" s="55">
        <v>1</v>
      </c>
      <c r="I1026" s="57"/>
    </row>
    <row r="1027" spans="1:9" s="24" customFormat="1">
      <c r="A1027" s="53">
        <v>46052</v>
      </c>
      <c r="B1027" s="54">
        <f>Table134[[#This Row],[Date]]</f>
        <v>46052</v>
      </c>
      <c r="C1027" s="55" t="s">
        <v>16</v>
      </c>
      <c r="D1027" s="55"/>
      <c r="E1027" s="59" t="s">
        <v>138</v>
      </c>
      <c r="F1027" s="55" t="s">
        <v>18</v>
      </c>
      <c r="G1027" s="55" t="s">
        <v>19</v>
      </c>
      <c r="H1027" s="55">
        <v>1</v>
      </c>
      <c r="I1027" s="57"/>
    </row>
    <row r="1028" spans="1:9" s="24" customFormat="1">
      <c r="A1028" s="53">
        <v>46052</v>
      </c>
      <c r="B1028" s="54">
        <f>Table134[[#This Row],[Date]]</f>
        <v>46052</v>
      </c>
      <c r="C1028" s="55" t="s">
        <v>23</v>
      </c>
      <c r="D1028" s="55"/>
      <c r="E1028" s="59" t="s">
        <v>139</v>
      </c>
      <c r="F1028" s="55" t="s">
        <v>18</v>
      </c>
      <c r="G1028" s="55" t="s">
        <v>19</v>
      </c>
      <c r="H1028" s="55">
        <v>1</v>
      </c>
      <c r="I1028" s="57"/>
    </row>
    <row r="1029" spans="1:9" s="24" customFormat="1">
      <c r="A1029" s="53">
        <v>46052</v>
      </c>
      <c r="B1029" s="54">
        <f>Table134[[#This Row],[Date]]</f>
        <v>46052</v>
      </c>
      <c r="C1029" s="55" t="s">
        <v>23</v>
      </c>
      <c r="D1029" s="55"/>
      <c r="E1029" s="59" t="s">
        <v>140</v>
      </c>
      <c r="F1029" s="55" t="s">
        <v>18</v>
      </c>
      <c r="G1029" s="55" t="s">
        <v>19</v>
      </c>
      <c r="H1029" s="55">
        <v>1</v>
      </c>
      <c r="I1029" s="57"/>
    </row>
    <row r="1030" spans="1:9" s="24" customFormat="1">
      <c r="A1030" s="53">
        <v>46052</v>
      </c>
      <c r="B1030" s="54">
        <f>Table134[[#This Row],[Date]]</f>
        <v>46052</v>
      </c>
      <c r="C1030" s="55" t="s">
        <v>23</v>
      </c>
      <c r="D1030" s="55"/>
      <c r="E1030" s="59" t="s">
        <v>141</v>
      </c>
      <c r="F1030" s="55" t="s">
        <v>18</v>
      </c>
      <c r="G1030" s="55" t="s">
        <v>19</v>
      </c>
      <c r="H1030" s="55">
        <v>1</v>
      </c>
      <c r="I1030" s="57"/>
    </row>
    <row r="1031" spans="1:9" s="24" customFormat="1">
      <c r="A1031" s="53">
        <v>46052</v>
      </c>
      <c r="B1031" s="54">
        <f>Table134[[#This Row],[Date]]</f>
        <v>46052</v>
      </c>
      <c r="C1031" s="55" t="s">
        <v>23</v>
      </c>
      <c r="D1031" s="55"/>
      <c r="E1031" s="59" t="s">
        <v>142</v>
      </c>
      <c r="F1031" s="55" t="s">
        <v>18</v>
      </c>
      <c r="G1031" s="55" t="s">
        <v>19</v>
      </c>
      <c r="H1031" s="55">
        <v>1</v>
      </c>
      <c r="I1031" s="57"/>
    </row>
    <row r="1032" spans="1:9" s="24" customFormat="1">
      <c r="A1032" s="53">
        <v>46052</v>
      </c>
      <c r="B1032" s="80">
        <f>Table134[[#This Row],[Date]]</f>
        <v>46052</v>
      </c>
      <c r="C1032" s="63" t="s">
        <v>23</v>
      </c>
      <c r="D1032" s="63"/>
      <c r="E1032" s="59" t="s">
        <v>146</v>
      </c>
      <c r="F1032" s="55" t="s">
        <v>18</v>
      </c>
      <c r="G1032" s="63" t="s">
        <v>19</v>
      </c>
      <c r="H1032" s="55">
        <v>1</v>
      </c>
      <c r="I1032" s="71"/>
    </row>
    <row r="1033" spans="1:9" s="24" customFormat="1">
      <c r="A1033" s="53">
        <v>46052</v>
      </c>
      <c r="B1033" s="80">
        <f>Table134[[#This Row],[Date]]</f>
        <v>46052</v>
      </c>
      <c r="C1033" s="63" t="s">
        <v>23</v>
      </c>
      <c r="D1033" s="63"/>
      <c r="E1033" s="59" t="s">
        <v>146</v>
      </c>
      <c r="F1033" s="55" t="s">
        <v>21</v>
      </c>
      <c r="G1033" s="63" t="s">
        <v>19</v>
      </c>
      <c r="H1033" s="55">
        <v>1</v>
      </c>
      <c r="I1033" s="57"/>
    </row>
    <row r="1034" spans="1:9" s="24" customFormat="1">
      <c r="A1034" s="53">
        <v>46052</v>
      </c>
      <c r="B1034" s="80">
        <f>Table134[[#This Row],[Date]]</f>
        <v>46052</v>
      </c>
      <c r="C1034" s="63" t="s">
        <v>23</v>
      </c>
      <c r="D1034" s="63"/>
      <c r="E1034" s="59" t="s">
        <v>146</v>
      </c>
      <c r="F1034" s="55" t="s">
        <v>147</v>
      </c>
      <c r="G1034" s="63" t="s">
        <v>19</v>
      </c>
      <c r="H1034" s="55">
        <v>1</v>
      </c>
      <c r="I1034" s="57"/>
    </row>
    <row r="1035" spans="1:9" s="24" customFormat="1">
      <c r="A1035" s="53">
        <v>46052</v>
      </c>
      <c r="B1035" s="54">
        <f>Table134[[#This Row],[Date]]</f>
        <v>46052</v>
      </c>
      <c r="C1035" s="55" t="s">
        <v>23</v>
      </c>
      <c r="D1035" s="55"/>
      <c r="E1035" s="59" t="s">
        <v>146</v>
      </c>
      <c r="F1035" s="55" t="s">
        <v>148</v>
      </c>
      <c r="G1035" s="55" t="s">
        <v>19</v>
      </c>
      <c r="H1035" s="55">
        <v>1</v>
      </c>
      <c r="I1035" s="57"/>
    </row>
    <row r="1036" spans="1:9" s="24" customFormat="1">
      <c r="A1036" s="53">
        <v>46055</v>
      </c>
      <c r="B1036" s="54">
        <f>Table134[[#This Row],[Date]]</f>
        <v>46055</v>
      </c>
      <c r="C1036" s="55" t="s">
        <v>23</v>
      </c>
      <c r="D1036" s="55"/>
      <c r="E1036" s="91" t="s">
        <v>24</v>
      </c>
      <c r="F1036" s="64" t="s">
        <v>18</v>
      </c>
      <c r="G1036" s="55" t="s">
        <v>19</v>
      </c>
      <c r="H1036" s="55">
        <v>1</v>
      </c>
      <c r="I1036" s="57"/>
    </row>
    <row r="1037" spans="1:9" s="24" customFormat="1">
      <c r="A1037" s="53">
        <v>46055</v>
      </c>
      <c r="B1037" s="54">
        <f>Table134[[#This Row],[Date]]</f>
        <v>46055</v>
      </c>
      <c r="C1037" s="55" t="s">
        <v>23</v>
      </c>
      <c r="D1037" s="55"/>
      <c r="E1037" s="91" t="s">
        <v>25</v>
      </c>
      <c r="F1037" s="64" t="s">
        <v>18</v>
      </c>
      <c r="G1037" s="55" t="s">
        <v>19</v>
      </c>
      <c r="H1037" s="55">
        <v>1</v>
      </c>
      <c r="I1037" s="57"/>
    </row>
    <row r="1038" spans="1:9" s="24" customFormat="1">
      <c r="A1038" s="53">
        <v>46055</v>
      </c>
      <c r="B1038" s="54">
        <f>Table134[[#This Row],[Date]]</f>
        <v>46055</v>
      </c>
      <c r="C1038" s="55" t="s">
        <v>23</v>
      </c>
      <c r="D1038" s="55"/>
      <c r="E1038" s="91" t="s">
        <v>25</v>
      </c>
      <c r="F1038" s="64" t="s">
        <v>21</v>
      </c>
      <c r="G1038" s="55" t="s">
        <v>19</v>
      </c>
      <c r="H1038" s="55">
        <v>1</v>
      </c>
      <c r="I1038" s="57"/>
    </row>
    <row r="1039" spans="1:9" s="33" customFormat="1">
      <c r="A1039" s="53">
        <v>46055</v>
      </c>
      <c r="B1039" s="54">
        <f>Table134[[#This Row],[Date]]</f>
        <v>46055</v>
      </c>
      <c r="C1039" s="55" t="s">
        <v>26</v>
      </c>
      <c r="D1039" s="55"/>
      <c r="E1039" s="61" t="s">
        <v>151</v>
      </c>
      <c r="F1039" s="55" t="s">
        <v>18</v>
      </c>
      <c r="G1039" s="55" t="s">
        <v>19</v>
      </c>
      <c r="H1039" s="55">
        <v>1</v>
      </c>
      <c r="I1039" s="57"/>
    </row>
    <row r="1040" spans="1:9" s="24" customFormat="1">
      <c r="A1040" s="53">
        <v>46055</v>
      </c>
      <c r="B1040" s="54">
        <f>Table134[[#This Row],[Date]]</f>
        <v>46055</v>
      </c>
      <c r="C1040" s="55" t="s">
        <v>26</v>
      </c>
      <c r="D1040" s="55"/>
      <c r="E1040" s="61" t="s">
        <v>151</v>
      </c>
      <c r="F1040" s="55" t="s">
        <v>28</v>
      </c>
      <c r="G1040" s="55" t="s">
        <v>19</v>
      </c>
      <c r="H1040" s="55">
        <v>1</v>
      </c>
      <c r="I1040" s="57"/>
    </row>
    <row r="1041" spans="1:9" s="24" customFormat="1">
      <c r="A1041" s="53">
        <v>46055</v>
      </c>
      <c r="B1041" s="54">
        <f>Table134[[#This Row],[Date]]</f>
        <v>46055</v>
      </c>
      <c r="C1041" s="55" t="s">
        <v>26</v>
      </c>
      <c r="D1041" s="55"/>
      <c r="E1041" s="61" t="s">
        <v>152</v>
      </c>
      <c r="F1041" s="55" t="s">
        <v>18</v>
      </c>
      <c r="G1041" s="55" t="s">
        <v>19</v>
      </c>
      <c r="H1041" s="55">
        <v>1</v>
      </c>
      <c r="I1041" s="57"/>
    </row>
    <row r="1042" spans="1:9" s="24" customFormat="1">
      <c r="A1042" s="53">
        <v>46055</v>
      </c>
      <c r="B1042" s="54">
        <f>Table134[[#This Row],[Date]]</f>
        <v>46055</v>
      </c>
      <c r="C1042" s="55" t="s">
        <v>26</v>
      </c>
      <c r="D1042" s="55"/>
      <c r="E1042" s="61" t="s">
        <v>152</v>
      </c>
      <c r="F1042" s="55" t="s">
        <v>28</v>
      </c>
      <c r="G1042" s="55" t="s">
        <v>19</v>
      </c>
      <c r="H1042" s="55">
        <v>1</v>
      </c>
      <c r="I1042" s="57"/>
    </row>
    <row r="1043" spans="1:9" s="24" customFormat="1">
      <c r="A1043" s="53">
        <v>46056</v>
      </c>
      <c r="B1043" s="54">
        <f>Table134[[#This Row],[Date]]</f>
        <v>46056</v>
      </c>
      <c r="C1043" s="55" t="s">
        <v>26</v>
      </c>
      <c r="D1043" s="55"/>
      <c r="E1043" s="61" t="s">
        <v>153</v>
      </c>
      <c r="F1043" s="55" t="s">
        <v>18</v>
      </c>
      <c r="G1043" s="55" t="s">
        <v>19</v>
      </c>
      <c r="H1043" s="55">
        <v>1</v>
      </c>
      <c r="I1043" s="57"/>
    </row>
    <row r="1044" spans="1:9" s="24" customFormat="1">
      <c r="A1044" s="53">
        <v>46056</v>
      </c>
      <c r="B1044" s="54">
        <f>Table134[[#This Row],[Date]]</f>
        <v>46056</v>
      </c>
      <c r="C1044" s="55" t="s">
        <v>26</v>
      </c>
      <c r="D1044" s="55"/>
      <c r="E1044" s="61" t="s">
        <v>153</v>
      </c>
      <c r="F1044" s="55" t="s">
        <v>28</v>
      </c>
      <c r="G1044" s="55" t="s">
        <v>19</v>
      </c>
      <c r="H1044" s="55">
        <v>1</v>
      </c>
      <c r="I1044" s="57"/>
    </row>
    <row r="1045" spans="1:9" s="24" customFormat="1">
      <c r="A1045" s="53">
        <v>46056</v>
      </c>
      <c r="B1045" s="54">
        <f>Table134[[#This Row],[Date]]</f>
        <v>46056</v>
      </c>
      <c r="C1045" s="55" t="s">
        <v>26</v>
      </c>
      <c r="D1045" s="55"/>
      <c r="E1045" s="61" t="s">
        <v>154</v>
      </c>
      <c r="F1045" s="55" t="s">
        <v>18</v>
      </c>
      <c r="G1045" s="55" t="s">
        <v>19</v>
      </c>
      <c r="H1045" s="55">
        <v>1</v>
      </c>
      <c r="I1045" s="57"/>
    </row>
    <row r="1046" spans="1:9" s="24" customFormat="1">
      <c r="A1046" s="53">
        <v>46056</v>
      </c>
      <c r="B1046" s="54">
        <f>Table134[[#This Row],[Date]]</f>
        <v>46056</v>
      </c>
      <c r="C1046" s="55" t="s">
        <v>26</v>
      </c>
      <c r="D1046" s="55"/>
      <c r="E1046" s="61" t="s">
        <v>154</v>
      </c>
      <c r="F1046" s="55" t="s">
        <v>28</v>
      </c>
      <c r="G1046" s="55" t="s">
        <v>19</v>
      </c>
      <c r="H1046" s="55">
        <v>1</v>
      </c>
      <c r="I1046" s="57"/>
    </row>
    <row r="1047" spans="1:9" s="24" customFormat="1">
      <c r="A1047" s="48">
        <v>46056</v>
      </c>
      <c r="B1047" s="49">
        <f>Table134[[#This Row],[Date]]</f>
        <v>46056</v>
      </c>
      <c r="C1047" s="50" t="s">
        <v>4</v>
      </c>
      <c r="D1047" s="50"/>
      <c r="E1047" s="51" t="s">
        <v>32</v>
      </c>
      <c r="F1047" s="50"/>
      <c r="G1047" s="50"/>
      <c r="H1047" s="50"/>
      <c r="I1047" s="52"/>
    </row>
    <row r="1048" spans="1:9" s="24" customFormat="1">
      <c r="A1048" s="53">
        <v>46057</v>
      </c>
      <c r="B1048" s="54">
        <f>Table134[[#This Row],[Date]]</f>
        <v>46057</v>
      </c>
      <c r="C1048" s="55" t="s">
        <v>14</v>
      </c>
      <c r="D1048" s="55"/>
      <c r="E1048" s="91" t="s">
        <v>33</v>
      </c>
      <c r="F1048" s="77" t="s">
        <v>18</v>
      </c>
      <c r="G1048" s="55" t="s">
        <v>19</v>
      </c>
      <c r="H1048" s="55">
        <v>1</v>
      </c>
      <c r="I1048" s="57"/>
    </row>
    <row r="1049" spans="1:9" s="24" customFormat="1">
      <c r="A1049" s="53">
        <v>46057</v>
      </c>
      <c r="B1049" s="54">
        <f>Table134[[#This Row],[Date]]</f>
        <v>46057</v>
      </c>
      <c r="C1049" s="55" t="s">
        <v>14</v>
      </c>
      <c r="D1049" s="55"/>
      <c r="E1049" s="91" t="s">
        <v>33</v>
      </c>
      <c r="F1049" s="55" t="s">
        <v>21</v>
      </c>
      <c r="G1049" s="55" t="s">
        <v>19</v>
      </c>
      <c r="H1049" s="55">
        <v>1</v>
      </c>
      <c r="I1049" s="57"/>
    </row>
    <row r="1050" spans="1:9" s="24" customFormat="1">
      <c r="A1050" s="53">
        <v>46057</v>
      </c>
      <c r="B1050" s="54">
        <f>Table134[[#This Row],[Date]]</f>
        <v>46057</v>
      </c>
      <c r="C1050" s="55" t="s">
        <v>14</v>
      </c>
      <c r="D1050" s="55"/>
      <c r="E1050" s="91" t="s">
        <v>33</v>
      </c>
      <c r="F1050" s="77" t="s">
        <v>34</v>
      </c>
      <c r="G1050" s="55" t="s">
        <v>19</v>
      </c>
      <c r="H1050" s="55">
        <v>1</v>
      </c>
      <c r="I1050" s="57"/>
    </row>
    <row r="1051" spans="1:9" s="24" customFormat="1">
      <c r="A1051" s="53">
        <v>46057</v>
      </c>
      <c r="B1051" s="54">
        <f>Table134[[#This Row],[Date]]</f>
        <v>46057</v>
      </c>
      <c r="C1051" s="55" t="s">
        <v>14</v>
      </c>
      <c r="D1051" s="55"/>
      <c r="E1051" s="91" t="s">
        <v>33</v>
      </c>
      <c r="F1051" s="77" t="s">
        <v>35</v>
      </c>
      <c r="G1051" s="55" t="s">
        <v>19</v>
      </c>
      <c r="H1051" s="55">
        <v>1</v>
      </c>
      <c r="I1051" s="57"/>
    </row>
    <row r="1052" spans="1:9" s="24" customFormat="1">
      <c r="A1052" s="53">
        <v>46057</v>
      </c>
      <c r="B1052" s="54">
        <f>Table134[[#This Row],[Date]]</f>
        <v>46057</v>
      </c>
      <c r="C1052" s="55" t="s">
        <v>23</v>
      </c>
      <c r="D1052" s="55"/>
      <c r="E1052" s="59" t="s">
        <v>36</v>
      </c>
      <c r="F1052" s="55" t="s">
        <v>18</v>
      </c>
      <c r="G1052" s="55" t="s">
        <v>19</v>
      </c>
      <c r="H1052" s="55">
        <v>1</v>
      </c>
      <c r="I1052" s="57"/>
    </row>
    <row r="1053" spans="1:9" s="24" customFormat="1">
      <c r="A1053" s="53">
        <v>46057</v>
      </c>
      <c r="B1053" s="54">
        <f>Table134[[#This Row],[Date]]</f>
        <v>46057</v>
      </c>
      <c r="C1053" s="55" t="s">
        <v>26</v>
      </c>
      <c r="D1053" s="55"/>
      <c r="E1053" s="74" t="s">
        <v>40</v>
      </c>
      <c r="F1053" s="55" t="s">
        <v>18</v>
      </c>
      <c r="G1053" s="55" t="s">
        <v>19</v>
      </c>
      <c r="H1053" s="55">
        <v>1</v>
      </c>
      <c r="I1053" s="57"/>
    </row>
    <row r="1054" spans="1:9" s="24" customFormat="1">
      <c r="A1054" s="53">
        <v>46057</v>
      </c>
      <c r="B1054" s="54">
        <f>Table134[[#This Row],[Date]]</f>
        <v>46057</v>
      </c>
      <c r="C1054" s="55" t="s">
        <v>26</v>
      </c>
      <c r="D1054" s="55"/>
      <c r="E1054" s="74" t="s">
        <v>40</v>
      </c>
      <c r="F1054" s="55" t="s">
        <v>28</v>
      </c>
      <c r="G1054" s="55" t="s">
        <v>19</v>
      </c>
      <c r="H1054" s="55">
        <v>1</v>
      </c>
      <c r="I1054" s="57"/>
    </row>
    <row r="1055" spans="1:9" s="24" customFormat="1">
      <c r="A1055" s="53">
        <v>46057</v>
      </c>
      <c r="B1055" s="54">
        <f>Table134[[#This Row],[Date]]</f>
        <v>46057</v>
      </c>
      <c r="C1055" s="55" t="s">
        <v>26</v>
      </c>
      <c r="D1055" s="55"/>
      <c r="E1055" s="61" t="s">
        <v>155</v>
      </c>
      <c r="F1055" s="55" t="s">
        <v>18</v>
      </c>
      <c r="G1055" s="55" t="s">
        <v>19</v>
      </c>
      <c r="H1055" s="55">
        <v>1</v>
      </c>
      <c r="I1055" s="57"/>
    </row>
    <row r="1056" spans="1:9" s="24" customFormat="1">
      <c r="A1056" s="53">
        <v>46057</v>
      </c>
      <c r="B1056" s="54">
        <f>Table134[[#This Row],[Date]]</f>
        <v>46057</v>
      </c>
      <c r="C1056" s="55" t="s">
        <v>26</v>
      </c>
      <c r="D1056" s="55"/>
      <c r="E1056" s="61" t="s">
        <v>155</v>
      </c>
      <c r="F1056" s="55" t="s">
        <v>28</v>
      </c>
      <c r="G1056" s="55" t="s">
        <v>19</v>
      </c>
      <c r="H1056" s="55">
        <v>1</v>
      </c>
      <c r="I1056" s="57"/>
    </row>
    <row r="1057" spans="1:9" s="24" customFormat="1">
      <c r="A1057" s="53">
        <v>46058</v>
      </c>
      <c r="B1057" s="54">
        <f>Table134[[#This Row],[Date]]</f>
        <v>46058</v>
      </c>
      <c r="C1057" s="55" t="s">
        <v>14</v>
      </c>
      <c r="D1057" s="55"/>
      <c r="E1057" s="91" t="s">
        <v>33</v>
      </c>
      <c r="F1057" s="64" t="s">
        <v>41</v>
      </c>
      <c r="G1057" s="55" t="s">
        <v>19</v>
      </c>
      <c r="H1057" s="55">
        <v>1</v>
      </c>
      <c r="I1057" s="57"/>
    </row>
    <row r="1058" spans="1:9" s="24" customFormat="1">
      <c r="A1058" s="53">
        <v>46058</v>
      </c>
      <c r="B1058" s="54">
        <f>Table134[[#This Row],[Date]]</f>
        <v>46058</v>
      </c>
      <c r="C1058" s="55" t="s">
        <v>14</v>
      </c>
      <c r="D1058" s="55"/>
      <c r="E1058" s="91" t="s">
        <v>33</v>
      </c>
      <c r="F1058" s="55" t="s">
        <v>42</v>
      </c>
      <c r="G1058" s="55" t="s">
        <v>19</v>
      </c>
      <c r="H1058" s="55">
        <v>1</v>
      </c>
      <c r="I1058" s="57"/>
    </row>
    <row r="1059" spans="1:9" s="33" customFormat="1">
      <c r="A1059" s="53">
        <v>46058</v>
      </c>
      <c r="B1059" s="54">
        <f>Table134[[#This Row],[Date]]</f>
        <v>46058</v>
      </c>
      <c r="C1059" s="55" t="s">
        <v>14</v>
      </c>
      <c r="D1059" s="55"/>
      <c r="E1059" s="91" t="s">
        <v>33</v>
      </c>
      <c r="F1059" s="55" t="s">
        <v>43</v>
      </c>
      <c r="G1059" s="55" t="s">
        <v>19</v>
      </c>
      <c r="H1059" s="55">
        <v>1</v>
      </c>
      <c r="I1059" s="57"/>
    </row>
    <row r="1060" spans="1:9" s="24" customFormat="1">
      <c r="A1060" s="53">
        <v>46058</v>
      </c>
      <c r="B1060" s="54">
        <f>Table134[[#This Row],[Date]]</f>
        <v>46058</v>
      </c>
      <c r="C1060" s="55" t="s">
        <v>14</v>
      </c>
      <c r="D1060" s="55"/>
      <c r="E1060" s="91" t="s">
        <v>33</v>
      </c>
      <c r="F1060" s="64" t="s">
        <v>44</v>
      </c>
      <c r="G1060" s="55" t="s">
        <v>19</v>
      </c>
      <c r="H1060" s="55">
        <v>1</v>
      </c>
      <c r="I1060" s="57"/>
    </row>
    <row r="1061" spans="1:9" s="24" customFormat="1">
      <c r="A1061" s="53">
        <v>46058</v>
      </c>
      <c r="B1061" s="54">
        <f>Table134[[#This Row],[Date]]</f>
        <v>46058</v>
      </c>
      <c r="C1061" s="55" t="s">
        <v>14</v>
      </c>
      <c r="D1061" s="55"/>
      <c r="E1061" s="91" t="s">
        <v>33</v>
      </c>
      <c r="F1061" s="64" t="s">
        <v>45</v>
      </c>
      <c r="G1061" s="55" t="s">
        <v>19</v>
      </c>
      <c r="H1061" s="55">
        <v>1</v>
      </c>
      <c r="I1061" s="57"/>
    </row>
    <row r="1062" spans="1:9" s="24" customFormat="1">
      <c r="A1062" s="53">
        <v>46058</v>
      </c>
      <c r="B1062" s="54">
        <f>Table134[[#This Row],[Date]]</f>
        <v>46058</v>
      </c>
      <c r="C1062" s="55" t="s">
        <v>16</v>
      </c>
      <c r="D1062" s="55"/>
      <c r="E1062" s="59" t="s">
        <v>46</v>
      </c>
      <c r="F1062" s="64" t="s">
        <v>18</v>
      </c>
      <c r="G1062" s="55" t="s">
        <v>19</v>
      </c>
      <c r="H1062" s="55">
        <v>1</v>
      </c>
      <c r="I1062" s="57"/>
    </row>
    <row r="1063" spans="1:9" s="24" customFormat="1">
      <c r="A1063" s="53">
        <v>46058</v>
      </c>
      <c r="B1063" s="54">
        <f>Table134[[#This Row],[Date]]</f>
        <v>46058</v>
      </c>
      <c r="C1063" s="55" t="s">
        <v>16</v>
      </c>
      <c r="D1063" s="55"/>
      <c r="E1063" s="59" t="s">
        <v>46</v>
      </c>
      <c r="F1063" s="64" t="s">
        <v>21</v>
      </c>
      <c r="G1063" s="55" t="s">
        <v>19</v>
      </c>
      <c r="H1063" s="55">
        <v>1</v>
      </c>
      <c r="I1063" s="57"/>
    </row>
    <row r="1064" spans="1:9" s="24" customFormat="1">
      <c r="A1064" s="53">
        <v>46058</v>
      </c>
      <c r="B1064" s="54">
        <f>Table134[[#This Row],[Date]]</f>
        <v>46058</v>
      </c>
      <c r="C1064" s="55" t="s">
        <v>16</v>
      </c>
      <c r="D1064" s="55"/>
      <c r="E1064" s="59" t="s">
        <v>46</v>
      </c>
      <c r="F1064" s="64" t="s">
        <v>47</v>
      </c>
      <c r="G1064" s="55" t="s">
        <v>19</v>
      </c>
      <c r="H1064" s="55">
        <v>1</v>
      </c>
      <c r="I1064" s="57"/>
    </row>
    <row r="1065" spans="1:9" s="24" customFormat="1">
      <c r="A1065" s="53">
        <v>46058</v>
      </c>
      <c r="B1065" s="54">
        <f>Table134[[#This Row],[Date]]</f>
        <v>46058</v>
      </c>
      <c r="C1065" s="55" t="s">
        <v>26</v>
      </c>
      <c r="D1065" s="55"/>
      <c r="E1065" s="61" t="s">
        <v>157</v>
      </c>
      <c r="F1065" s="64" t="s">
        <v>18</v>
      </c>
      <c r="G1065" s="55" t="s">
        <v>19</v>
      </c>
      <c r="H1065" s="55">
        <v>1</v>
      </c>
      <c r="I1065" s="57"/>
    </row>
    <row r="1066" spans="1:9" s="24" customFormat="1">
      <c r="A1066" s="53">
        <v>46058</v>
      </c>
      <c r="B1066" s="54">
        <f>Table134[[#This Row],[Date]]</f>
        <v>46058</v>
      </c>
      <c r="C1066" s="55" t="s">
        <v>26</v>
      </c>
      <c r="D1066" s="55"/>
      <c r="E1066" s="61" t="s">
        <v>157</v>
      </c>
      <c r="F1066" s="64" t="s">
        <v>21</v>
      </c>
      <c r="G1066" s="55" t="s">
        <v>19</v>
      </c>
      <c r="H1066" s="55">
        <v>1</v>
      </c>
      <c r="I1066" s="57"/>
    </row>
    <row r="1067" spans="1:9" s="24" customFormat="1">
      <c r="A1067" s="53">
        <v>46058</v>
      </c>
      <c r="B1067" s="54">
        <f>Table134[[#This Row],[Date]]</f>
        <v>46058</v>
      </c>
      <c r="C1067" s="55" t="s">
        <v>26</v>
      </c>
      <c r="D1067" s="55"/>
      <c r="E1067" s="61" t="s">
        <v>159</v>
      </c>
      <c r="F1067" s="64" t="s">
        <v>18</v>
      </c>
      <c r="G1067" s="55" t="s">
        <v>19</v>
      </c>
      <c r="H1067" s="55">
        <v>1</v>
      </c>
      <c r="I1067" s="57"/>
    </row>
    <row r="1068" spans="1:9" s="24" customFormat="1">
      <c r="A1068" s="53">
        <v>46058</v>
      </c>
      <c r="B1068" s="54">
        <f>Table134[[#This Row],[Date]]</f>
        <v>46058</v>
      </c>
      <c r="C1068" s="55" t="s">
        <v>26</v>
      </c>
      <c r="D1068" s="55"/>
      <c r="E1068" s="61" t="s">
        <v>159</v>
      </c>
      <c r="F1068" s="64" t="s">
        <v>21</v>
      </c>
      <c r="G1068" s="55" t="s">
        <v>19</v>
      </c>
      <c r="H1068" s="55">
        <v>1</v>
      </c>
      <c r="I1068" s="57"/>
    </row>
    <row r="1069" spans="1:9" s="24" customFormat="1">
      <c r="A1069" s="53">
        <v>46059</v>
      </c>
      <c r="B1069" s="54">
        <f>Table134[[#This Row],[Date]]</f>
        <v>46059</v>
      </c>
      <c r="C1069" s="55" t="s">
        <v>16</v>
      </c>
      <c r="D1069" s="55"/>
      <c r="E1069" s="118" t="s">
        <v>50</v>
      </c>
      <c r="F1069" s="64" t="s">
        <v>47</v>
      </c>
      <c r="G1069" s="55" t="s">
        <v>19</v>
      </c>
      <c r="H1069" s="55">
        <v>1</v>
      </c>
      <c r="I1069" s="57"/>
    </row>
    <row r="1070" spans="1:9" s="24" customFormat="1">
      <c r="A1070" s="53">
        <v>46059</v>
      </c>
      <c r="B1070" s="54">
        <f>Table134[[#This Row],[Date]]</f>
        <v>46059</v>
      </c>
      <c r="C1070" s="55" t="s">
        <v>16</v>
      </c>
      <c r="D1070" s="55"/>
      <c r="E1070" s="118" t="s">
        <v>50</v>
      </c>
      <c r="F1070" s="64" t="s">
        <v>18</v>
      </c>
      <c r="G1070" s="55" t="s">
        <v>19</v>
      </c>
      <c r="H1070" s="55">
        <v>1</v>
      </c>
      <c r="I1070" s="57"/>
    </row>
    <row r="1071" spans="1:9" s="24" customFormat="1">
      <c r="A1071" s="53">
        <v>46059</v>
      </c>
      <c r="B1071" s="54">
        <f>Table134[[#This Row],[Date]]</f>
        <v>46059</v>
      </c>
      <c r="C1071" s="55" t="s">
        <v>16</v>
      </c>
      <c r="D1071" s="55"/>
      <c r="E1071" s="118" t="s">
        <v>50</v>
      </c>
      <c r="F1071" s="64" t="s">
        <v>21</v>
      </c>
      <c r="G1071" s="55" t="s">
        <v>19</v>
      </c>
      <c r="H1071" s="55">
        <v>1</v>
      </c>
      <c r="I1071" s="57"/>
    </row>
    <row r="1072" spans="1:9" s="24" customFormat="1">
      <c r="A1072" s="53">
        <v>46059</v>
      </c>
      <c r="B1072" s="54">
        <f>Table134[[#This Row],[Date]]</f>
        <v>46059</v>
      </c>
      <c r="C1072" s="55" t="s">
        <v>23</v>
      </c>
      <c r="D1072" s="55"/>
      <c r="E1072" s="123" t="s">
        <v>52</v>
      </c>
      <c r="F1072" s="64" t="s">
        <v>47</v>
      </c>
      <c r="G1072" s="55" t="s">
        <v>19</v>
      </c>
      <c r="H1072" s="55">
        <v>1</v>
      </c>
      <c r="I1072" s="57"/>
    </row>
    <row r="1073" spans="1:9" s="24" customFormat="1">
      <c r="A1073" s="53">
        <v>46059</v>
      </c>
      <c r="B1073" s="54">
        <f>Table134[[#This Row],[Date]]</f>
        <v>46059</v>
      </c>
      <c r="C1073" s="55" t="s">
        <v>23</v>
      </c>
      <c r="D1073" s="55"/>
      <c r="E1073" s="123" t="s">
        <v>52</v>
      </c>
      <c r="F1073" s="64" t="s">
        <v>53</v>
      </c>
      <c r="G1073" s="55" t="s">
        <v>19</v>
      </c>
      <c r="H1073" s="55">
        <v>1</v>
      </c>
      <c r="I1073" s="57"/>
    </row>
    <row r="1074" spans="1:9" s="24" customFormat="1">
      <c r="A1074" s="53">
        <v>46059</v>
      </c>
      <c r="B1074" s="54">
        <f>Table134[[#This Row],[Date]]</f>
        <v>46059</v>
      </c>
      <c r="C1074" s="55" t="s">
        <v>23</v>
      </c>
      <c r="D1074" s="55"/>
      <c r="E1074" s="91" t="s">
        <v>54</v>
      </c>
      <c r="F1074" s="64" t="s">
        <v>18</v>
      </c>
      <c r="G1074" s="55" t="s">
        <v>19</v>
      </c>
      <c r="H1074" s="55">
        <v>1</v>
      </c>
      <c r="I1074" s="57"/>
    </row>
    <row r="1075" spans="1:9" s="24" customFormat="1">
      <c r="A1075" s="53">
        <v>46059</v>
      </c>
      <c r="B1075" s="54">
        <f>Table134[[#This Row],[Date]]</f>
        <v>46059</v>
      </c>
      <c r="C1075" s="55" t="s">
        <v>23</v>
      </c>
      <c r="D1075" s="55"/>
      <c r="E1075" s="91" t="s">
        <v>54</v>
      </c>
      <c r="F1075" s="64" t="s">
        <v>21</v>
      </c>
      <c r="G1075" s="55" t="s">
        <v>19</v>
      </c>
      <c r="H1075" s="55">
        <v>1</v>
      </c>
      <c r="I1075" s="57"/>
    </row>
    <row r="1076" spans="1:9" s="24" customFormat="1">
      <c r="A1076" s="53">
        <v>46059</v>
      </c>
      <c r="B1076" s="54">
        <f>Table134[[#This Row],[Date]]</f>
        <v>46059</v>
      </c>
      <c r="C1076" s="55" t="s">
        <v>26</v>
      </c>
      <c r="D1076" s="55"/>
      <c r="E1076" s="61" t="s">
        <v>158</v>
      </c>
      <c r="F1076" s="64" t="s">
        <v>49</v>
      </c>
      <c r="G1076" s="55" t="s">
        <v>19</v>
      </c>
      <c r="H1076" s="55">
        <v>1</v>
      </c>
      <c r="I1076" s="57"/>
    </row>
    <row r="1077" spans="1:9" s="24" customFormat="1">
      <c r="A1077" s="53">
        <v>46059</v>
      </c>
      <c r="B1077" s="54">
        <f>Table134[[#This Row],[Date]]</f>
        <v>46059</v>
      </c>
      <c r="C1077" s="55" t="s">
        <v>26</v>
      </c>
      <c r="D1077" s="55"/>
      <c r="E1077" s="61" t="s">
        <v>158</v>
      </c>
      <c r="F1077" s="64" t="s">
        <v>41</v>
      </c>
      <c r="G1077" s="55" t="s">
        <v>19</v>
      </c>
      <c r="H1077" s="55">
        <v>1</v>
      </c>
      <c r="I1077" s="57"/>
    </row>
    <row r="1078" spans="1:9" s="24" customFormat="1" ht="28.9">
      <c r="A1078" s="16">
        <v>46061</v>
      </c>
      <c r="B1078" s="18">
        <f>Table134[[#This Row],[Date]]</f>
        <v>46061</v>
      </c>
      <c r="C1078" s="10" t="s">
        <v>16</v>
      </c>
      <c r="D1078" s="10"/>
      <c r="E1078" s="9" t="s">
        <v>62</v>
      </c>
      <c r="F1078" s="10" t="s">
        <v>18</v>
      </c>
      <c r="G1078" s="10" t="s">
        <v>19</v>
      </c>
      <c r="H1078" s="10">
        <v>1</v>
      </c>
      <c r="I1078" s="13"/>
    </row>
    <row r="1079" spans="1:9" s="24" customFormat="1">
      <c r="A1079" s="16">
        <v>46061</v>
      </c>
      <c r="B1079" s="18">
        <f>Table134[[#This Row],[Date]]</f>
        <v>46061</v>
      </c>
      <c r="C1079" s="10" t="s">
        <v>16</v>
      </c>
      <c r="D1079" s="10"/>
      <c r="E1079" s="9" t="s">
        <v>63</v>
      </c>
      <c r="F1079" s="10" t="s">
        <v>18</v>
      </c>
      <c r="G1079" s="10" t="s">
        <v>19</v>
      </c>
      <c r="H1079" s="10">
        <v>1</v>
      </c>
      <c r="I1079" s="13"/>
    </row>
    <row r="1080" spans="1:9" s="24" customFormat="1">
      <c r="A1080" s="53">
        <v>46062</v>
      </c>
      <c r="B1080" s="54">
        <f>Table134[[#This Row],[Date]]</f>
        <v>46062</v>
      </c>
      <c r="C1080" s="55" t="s">
        <v>14</v>
      </c>
      <c r="D1080" s="55"/>
      <c r="E1080" s="59" t="s">
        <v>65</v>
      </c>
      <c r="F1080" s="55" t="s">
        <v>18</v>
      </c>
      <c r="G1080" s="55" t="s">
        <v>19</v>
      </c>
      <c r="H1080" s="55">
        <v>1</v>
      </c>
      <c r="I1080" s="57"/>
    </row>
    <row r="1081" spans="1:9" s="24" customFormat="1">
      <c r="A1081" s="53">
        <v>46062</v>
      </c>
      <c r="B1081" s="54">
        <f>Table134[[#This Row],[Date]]</f>
        <v>46062</v>
      </c>
      <c r="C1081" s="55" t="s">
        <v>23</v>
      </c>
      <c r="D1081" s="55"/>
      <c r="E1081" s="59" t="s">
        <v>68</v>
      </c>
      <c r="F1081" s="64" t="s">
        <v>18</v>
      </c>
      <c r="G1081" s="55" t="s">
        <v>19</v>
      </c>
      <c r="H1081" s="55">
        <v>1</v>
      </c>
      <c r="I1081" s="57"/>
    </row>
    <row r="1082" spans="1:9" s="24" customFormat="1">
      <c r="A1082" s="53">
        <v>46062</v>
      </c>
      <c r="B1082" s="54">
        <f>Table134[[#This Row],[Date]]</f>
        <v>46062</v>
      </c>
      <c r="C1082" s="55" t="s">
        <v>23</v>
      </c>
      <c r="D1082" s="55"/>
      <c r="E1082" s="59" t="s">
        <v>68</v>
      </c>
      <c r="F1082" s="64" t="s">
        <v>21</v>
      </c>
      <c r="G1082" s="55" t="s">
        <v>19</v>
      </c>
      <c r="H1082" s="55">
        <v>1</v>
      </c>
      <c r="I1082" s="57"/>
    </row>
    <row r="1083" spans="1:9" s="24" customFormat="1">
      <c r="A1083" s="53">
        <v>46062</v>
      </c>
      <c r="B1083" s="54">
        <f>Table134[[#This Row],[Date]]</f>
        <v>46062</v>
      </c>
      <c r="C1083" s="55" t="s">
        <v>23</v>
      </c>
      <c r="D1083" s="55"/>
      <c r="E1083" s="59" t="s">
        <v>68</v>
      </c>
      <c r="F1083" s="64" t="s">
        <v>49</v>
      </c>
      <c r="G1083" s="55" t="s">
        <v>19</v>
      </c>
      <c r="H1083" s="55">
        <v>1</v>
      </c>
      <c r="I1083" s="57"/>
    </row>
    <row r="1084" spans="1:9" s="24" customFormat="1">
      <c r="A1084" s="53">
        <v>46062</v>
      </c>
      <c r="B1084" s="54">
        <f>Table134[[#This Row],[Date]]</f>
        <v>46062</v>
      </c>
      <c r="C1084" s="55" t="s">
        <v>23</v>
      </c>
      <c r="D1084" s="55"/>
      <c r="E1084" s="59" t="s">
        <v>68</v>
      </c>
      <c r="F1084" s="64" t="s">
        <v>41</v>
      </c>
      <c r="G1084" s="55" t="s">
        <v>19</v>
      </c>
      <c r="H1084" s="55">
        <v>1</v>
      </c>
      <c r="I1084" s="57"/>
    </row>
    <row r="1085" spans="1:9" s="24" customFormat="1">
      <c r="A1085" s="53">
        <v>46062</v>
      </c>
      <c r="B1085" s="54">
        <f>Table134[[#This Row],[Date]]</f>
        <v>46062</v>
      </c>
      <c r="C1085" s="55" t="s">
        <v>26</v>
      </c>
      <c r="D1085" s="55"/>
      <c r="E1085" s="61" t="s">
        <v>160</v>
      </c>
      <c r="F1085" s="55" t="s">
        <v>18</v>
      </c>
      <c r="G1085" s="55" t="s">
        <v>19</v>
      </c>
      <c r="H1085" s="55">
        <v>1</v>
      </c>
      <c r="I1085" s="57"/>
    </row>
    <row r="1086" spans="1:9" s="24" customFormat="1">
      <c r="A1086" s="53">
        <v>46062</v>
      </c>
      <c r="B1086" s="54">
        <f>Table134[[#This Row],[Date]]</f>
        <v>46062</v>
      </c>
      <c r="C1086" s="55" t="s">
        <v>26</v>
      </c>
      <c r="D1086" s="55"/>
      <c r="E1086" s="61" t="s">
        <v>160</v>
      </c>
      <c r="F1086" s="55" t="s">
        <v>21</v>
      </c>
      <c r="G1086" s="55" t="s">
        <v>19</v>
      </c>
      <c r="H1086" s="55">
        <v>1</v>
      </c>
      <c r="I1086" s="57"/>
    </row>
    <row r="1087" spans="1:9" s="24" customFormat="1">
      <c r="A1087" s="53">
        <v>46062</v>
      </c>
      <c r="B1087" s="54">
        <f>Table134[[#This Row],[Date]]</f>
        <v>46062</v>
      </c>
      <c r="C1087" s="55" t="s">
        <v>26</v>
      </c>
      <c r="D1087" s="55"/>
      <c r="E1087" s="61" t="s">
        <v>165</v>
      </c>
      <c r="F1087" s="55" t="s">
        <v>18</v>
      </c>
      <c r="G1087" s="55" t="s">
        <v>19</v>
      </c>
      <c r="H1087" s="55">
        <v>1</v>
      </c>
      <c r="I1087" s="57"/>
    </row>
    <row r="1088" spans="1:9" s="24" customFormat="1">
      <c r="A1088" s="53">
        <v>46062</v>
      </c>
      <c r="B1088" s="54">
        <f>Table134[[#This Row],[Date]]</f>
        <v>46062</v>
      </c>
      <c r="C1088" s="55" t="s">
        <v>26</v>
      </c>
      <c r="D1088" s="55"/>
      <c r="E1088" s="61" t="s">
        <v>165</v>
      </c>
      <c r="F1088" s="55" t="s">
        <v>21</v>
      </c>
      <c r="G1088" s="55" t="s">
        <v>19</v>
      </c>
      <c r="H1088" s="55">
        <v>1</v>
      </c>
      <c r="I1088" s="57"/>
    </row>
    <row r="1089" spans="1:9" s="33" customFormat="1">
      <c r="A1089" s="53">
        <v>46063</v>
      </c>
      <c r="B1089" s="54">
        <f>Table134[[#This Row],[Date]]</f>
        <v>46063</v>
      </c>
      <c r="C1089" s="55" t="s">
        <v>14</v>
      </c>
      <c r="D1089" s="55"/>
      <c r="E1089" s="59" t="s">
        <v>104</v>
      </c>
      <c r="F1089" s="55" t="s">
        <v>59</v>
      </c>
      <c r="G1089" s="55" t="s">
        <v>60</v>
      </c>
      <c r="H1089" s="55">
        <v>1</v>
      </c>
      <c r="I1089" s="57"/>
    </row>
    <row r="1090" spans="1:9" s="24" customFormat="1">
      <c r="A1090" s="53">
        <v>46063</v>
      </c>
      <c r="B1090" s="54">
        <f>Table134[[#This Row],[Date]]</f>
        <v>46063</v>
      </c>
      <c r="C1090" s="55" t="s">
        <v>14</v>
      </c>
      <c r="D1090" s="55"/>
      <c r="E1090" s="59" t="s">
        <v>104</v>
      </c>
      <c r="F1090" s="55" t="s">
        <v>61</v>
      </c>
      <c r="G1090" s="55" t="s">
        <v>60</v>
      </c>
      <c r="H1090" s="55">
        <v>1</v>
      </c>
      <c r="I1090" s="57"/>
    </row>
    <row r="1091" spans="1:9" s="24" customFormat="1">
      <c r="A1091" s="53">
        <v>46063</v>
      </c>
      <c r="B1091" s="54">
        <f>Table134[[#This Row],[Date]]</f>
        <v>46063</v>
      </c>
      <c r="C1091" s="55" t="s">
        <v>26</v>
      </c>
      <c r="D1091" s="55"/>
      <c r="E1091" s="61" t="s">
        <v>166</v>
      </c>
      <c r="F1091" s="55" t="s">
        <v>18</v>
      </c>
      <c r="G1091" s="55" t="s">
        <v>19</v>
      </c>
      <c r="H1091" s="55">
        <v>1</v>
      </c>
      <c r="I1091" s="57"/>
    </row>
    <row r="1092" spans="1:9" s="24" customFormat="1">
      <c r="A1092" s="53">
        <v>46063</v>
      </c>
      <c r="B1092" s="54">
        <f>Table134[[#This Row],[Date]]</f>
        <v>46063</v>
      </c>
      <c r="C1092" s="55" t="s">
        <v>26</v>
      </c>
      <c r="D1092" s="55"/>
      <c r="E1092" s="61" t="s">
        <v>166</v>
      </c>
      <c r="F1092" s="55" t="s">
        <v>21</v>
      </c>
      <c r="G1092" s="55" t="s">
        <v>19</v>
      </c>
      <c r="H1092" s="55">
        <v>1</v>
      </c>
      <c r="I1092" s="57"/>
    </row>
    <row r="1093" spans="1:9" s="24" customFormat="1">
      <c r="A1093" s="48">
        <v>46063</v>
      </c>
      <c r="B1093" s="49">
        <f>Table134[[#This Row],[Date]]</f>
        <v>46063</v>
      </c>
      <c r="C1093" s="50" t="s">
        <v>4</v>
      </c>
      <c r="D1093" s="50"/>
      <c r="E1093" s="51" t="s">
        <v>32</v>
      </c>
      <c r="F1093" s="50"/>
      <c r="G1093" s="50"/>
      <c r="H1093" s="50"/>
      <c r="I1093" s="52"/>
    </row>
    <row r="1094" spans="1:9" s="24" customFormat="1">
      <c r="A1094" s="53">
        <v>46064</v>
      </c>
      <c r="B1094" s="54">
        <f>Table134[[#This Row],[Date]]</f>
        <v>46064</v>
      </c>
      <c r="C1094" s="55" t="s">
        <v>23</v>
      </c>
      <c r="D1094" s="55"/>
      <c r="E1094" s="59" t="s">
        <v>68</v>
      </c>
      <c r="F1094" s="55" t="s">
        <v>47</v>
      </c>
      <c r="G1094" s="55" t="s">
        <v>19</v>
      </c>
      <c r="H1094" s="55">
        <v>1</v>
      </c>
      <c r="I1094" s="57"/>
    </row>
    <row r="1095" spans="1:9" s="24" customFormat="1">
      <c r="A1095" s="53">
        <v>46064</v>
      </c>
      <c r="B1095" s="54">
        <f>Table134[[#This Row],[Date]]</f>
        <v>46064</v>
      </c>
      <c r="C1095" s="55" t="s">
        <v>26</v>
      </c>
      <c r="D1095" s="55"/>
      <c r="E1095" s="61" t="s">
        <v>75</v>
      </c>
      <c r="F1095" s="55" t="s">
        <v>18</v>
      </c>
      <c r="G1095" s="55" t="s">
        <v>19</v>
      </c>
      <c r="H1095" s="55">
        <v>1</v>
      </c>
      <c r="I1095" s="57"/>
    </row>
    <row r="1096" spans="1:9" s="24" customFormat="1">
      <c r="A1096" s="53">
        <v>46064</v>
      </c>
      <c r="B1096" s="54">
        <f>Table134[[#This Row],[Date]]</f>
        <v>46064</v>
      </c>
      <c r="C1096" s="55" t="s">
        <v>26</v>
      </c>
      <c r="D1096" s="55"/>
      <c r="E1096" s="61" t="s">
        <v>75</v>
      </c>
      <c r="F1096" s="55" t="s">
        <v>21</v>
      </c>
      <c r="G1096" s="55" t="s">
        <v>19</v>
      </c>
      <c r="H1096" s="55">
        <v>1</v>
      </c>
      <c r="I1096" s="57"/>
    </row>
    <row r="1097" spans="1:9" s="24" customFormat="1">
      <c r="A1097" s="53">
        <v>46064</v>
      </c>
      <c r="B1097" s="54">
        <f>Table134[[#This Row],[Date]]</f>
        <v>46064</v>
      </c>
      <c r="C1097" s="55" t="s">
        <v>26</v>
      </c>
      <c r="D1097" s="55"/>
      <c r="E1097" s="61" t="s">
        <v>75</v>
      </c>
      <c r="F1097" s="55" t="s">
        <v>28</v>
      </c>
      <c r="G1097" s="55" t="s">
        <v>19</v>
      </c>
      <c r="H1097" s="55">
        <v>1</v>
      </c>
      <c r="I1097" s="57"/>
    </row>
    <row r="1098" spans="1:9" s="24" customFormat="1">
      <c r="A1098" s="53">
        <v>46066</v>
      </c>
      <c r="B1098" s="54">
        <f>Table134[[#This Row],[Date]]</f>
        <v>46066</v>
      </c>
      <c r="C1098" s="55" t="s">
        <v>23</v>
      </c>
      <c r="D1098" s="55"/>
      <c r="E1098" s="59" t="s">
        <v>81</v>
      </c>
      <c r="F1098" s="55" t="s">
        <v>18</v>
      </c>
      <c r="G1098" s="55" t="s">
        <v>19</v>
      </c>
      <c r="H1098" s="55">
        <v>1</v>
      </c>
      <c r="I1098" s="57"/>
    </row>
    <row r="1099" spans="1:9" s="24" customFormat="1">
      <c r="A1099" s="53">
        <v>46066</v>
      </c>
      <c r="B1099" s="54">
        <f>Table134[[#This Row],[Date]]</f>
        <v>46066</v>
      </c>
      <c r="C1099" s="55" t="s">
        <v>23</v>
      </c>
      <c r="D1099" s="55"/>
      <c r="E1099" s="59" t="s">
        <v>82</v>
      </c>
      <c r="F1099" s="55" t="s">
        <v>21</v>
      </c>
      <c r="G1099" s="55" t="s">
        <v>19</v>
      </c>
      <c r="H1099" s="55">
        <v>1</v>
      </c>
      <c r="I1099" s="57"/>
    </row>
    <row r="1100" spans="1:9" s="24" customFormat="1">
      <c r="A1100" s="53">
        <v>46066</v>
      </c>
      <c r="B1100" s="54">
        <f>Table134[[#This Row],[Date]]</f>
        <v>46066</v>
      </c>
      <c r="C1100" s="55" t="s">
        <v>23</v>
      </c>
      <c r="D1100" s="55"/>
      <c r="E1100" s="61" t="s">
        <v>83</v>
      </c>
      <c r="F1100" s="55" t="s">
        <v>18</v>
      </c>
      <c r="G1100" s="55" t="s">
        <v>19</v>
      </c>
      <c r="H1100" s="55">
        <v>1</v>
      </c>
      <c r="I1100" s="57"/>
    </row>
    <row r="1101" spans="1:9" s="24" customFormat="1">
      <c r="A1101" s="41">
        <v>46066</v>
      </c>
      <c r="B1101" s="42">
        <f>Table134[[#This Row],[Date]]</f>
        <v>46066</v>
      </c>
      <c r="C1101" s="43"/>
      <c r="D1101" s="43"/>
      <c r="E1101" s="44" t="s">
        <v>202</v>
      </c>
      <c r="F1101" s="43"/>
      <c r="G1101" s="43"/>
      <c r="H1101" s="43"/>
      <c r="I1101" s="45"/>
    </row>
    <row r="1102" spans="1:9" s="24" customFormat="1">
      <c r="A1102" s="16">
        <v>46067</v>
      </c>
      <c r="B1102" s="18">
        <f>Table134[[#This Row],[Date]]</f>
        <v>46067</v>
      </c>
      <c r="C1102" s="10" t="s">
        <v>23</v>
      </c>
      <c r="D1102" s="10"/>
      <c r="E1102" s="9" t="s">
        <v>86</v>
      </c>
      <c r="F1102" s="10" t="s">
        <v>18</v>
      </c>
      <c r="G1102" s="10" t="s">
        <v>19</v>
      </c>
      <c r="H1102" s="10">
        <v>1</v>
      </c>
      <c r="I1102" s="13"/>
    </row>
    <row r="1103" spans="1:9" s="24" customFormat="1">
      <c r="A1103" s="16">
        <v>46067</v>
      </c>
      <c r="B1103" s="18">
        <f>Table134[[#This Row],[Date]]</f>
        <v>46067</v>
      </c>
      <c r="C1103" s="10" t="s">
        <v>23</v>
      </c>
      <c r="D1103" s="10"/>
      <c r="E1103" s="9" t="s">
        <v>86</v>
      </c>
      <c r="F1103" s="10" t="s">
        <v>21</v>
      </c>
      <c r="G1103" s="10" t="s">
        <v>19</v>
      </c>
      <c r="H1103" s="10">
        <v>1</v>
      </c>
      <c r="I1103" s="13"/>
    </row>
    <row r="1104" spans="1:9" s="24" customFormat="1">
      <c r="A1104" s="16">
        <v>46067</v>
      </c>
      <c r="B1104" s="18">
        <f>Table134[[#This Row],[Date]]</f>
        <v>46067</v>
      </c>
      <c r="C1104" s="10" t="s">
        <v>23</v>
      </c>
      <c r="D1104" s="10"/>
      <c r="E1104" s="9" t="s">
        <v>86</v>
      </c>
      <c r="F1104" s="10" t="s">
        <v>49</v>
      </c>
      <c r="G1104" s="10" t="s">
        <v>19</v>
      </c>
      <c r="H1104" s="10">
        <v>1</v>
      </c>
      <c r="I1104" s="13"/>
    </row>
    <row r="1105" spans="1:9" s="24" customFormat="1">
      <c r="A1105" s="53">
        <v>46069</v>
      </c>
      <c r="B1105" s="54">
        <f>Table134[[#This Row],[Date]]</f>
        <v>46069</v>
      </c>
      <c r="C1105" s="55" t="s">
        <v>14</v>
      </c>
      <c r="D1105" s="55"/>
      <c r="E1105" s="61" t="s">
        <v>161</v>
      </c>
      <c r="F1105" s="55" t="s">
        <v>18</v>
      </c>
      <c r="G1105" s="55" t="s">
        <v>19</v>
      </c>
      <c r="H1105" s="55">
        <v>1</v>
      </c>
      <c r="I1105" s="57"/>
    </row>
    <row r="1106" spans="1:9" s="24" customFormat="1">
      <c r="A1106" s="53">
        <v>46069</v>
      </c>
      <c r="B1106" s="54">
        <f>Table134[[#This Row],[Date]]</f>
        <v>46069</v>
      </c>
      <c r="C1106" s="55" t="s">
        <v>14</v>
      </c>
      <c r="D1106" s="55"/>
      <c r="E1106" s="59" t="s">
        <v>96</v>
      </c>
      <c r="F1106" s="55" t="s">
        <v>18</v>
      </c>
      <c r="G1106" s="55" t="s">
        <v>19</v>
      </c>
      <c r="H1106" s="55">
        <v>1</v>
      </c>
      <c r="I1106" s="57"/>
    </row>
    <row r="1107" spans="1:9" s="24" customFormat="1">
      <c r="A1107" s="53">
        <v>46069</v>
      </c>
      <c r="B1107" s="54">
        <f>Table134[[#This Row],[Date]]</f>
        <v>46069</v>
      </c>
      <c r="C1107" s="55" t="s">
        <v>14</v>
      </c>
      <c r="D1107" s="55"/>
      <c r="E1107" s="59" t="s">
        <v>97</v>
      </c>
      <c r="F1107" s="55" t="s">
        <v>18</v>
      </c>
      <c r="G1107" s="55" t="s">
        <v>19</v>
      </c>
      <c r="H1107" s="55">
        <v>1</v>
      </c>
      <c r="I1107" s="57"/>
    </row>
    <row r="1108" spans="1:9" s="24" customFormat="1">
      <c r="A1108" s="53">
        <v>46069</v>
      </c>
      <c r="B1108" s="54">
        <f>Table134[[#This Row],[Date]]</f>
        <v>46069</v>
      </c>
      <c r="C1108" s="55" t="s">
        <v>14</v>
      </c>
      <c r="D1108" s="55"/>
      <c r="E1108" s="122" t="s">
        <v>100</v>
      </c>
      <c r="F1108" s="55" t="s">
        <v>18</v>
      </c>
      <c r="G1108" s="55" t="s">
        <v>19</v>
      </c>
      <c r="H1108" s="55">
        <v>1</v>
      </c>
      <c r="I1108" s="57"/>
    </row>
    <row r="1109" spans="1:9" s="24" customFormat="1">
      <c r="A1109" s="53">
        <v>46069</v>
      </c>
      <c r="B1109" s="54">
        <f>Table134[[#This Row],[Date]]</f>
        <v>46069</v>
      </c>
      <c r="C1109" s="55" t="s">
        <v>16</v>
      </c>
      <c r="D1109" s="55"/>
      <c r="E1109" s="59" t="s">
        <v>101</v>
      </c>
      <c r="F1109" s="64" t="s">
        <v>18</v>
      </c>
      <c r="G1109" s="55" t="s">
        <v>19</v>
      </c>
      <c r="H1109" s="55">
        <v>1</v>
      </c>
      <c r="I1109" s="57"/>
    </row>
    <row r="1110" spans="1:9" s="24" customFormat="1">
      <c r="A1110" s="53">
        <v>46069</v>
      </c>
      <c r="B1110" s="54">
        <f>Table134[[#This Row],[Date]]</f>
        <v>46069</v>
      </c>
      <c r="C1110" s="55" t="s">
        <v>16</v>
      </c>
      <c r="D1110" s="55"/>
      <c r="E1110" s="59" t="s">
        <v>101</v>
      </c>
      <c r="F1110" s="64" t="s">
        <v>21</v>
      </c>
      <c r="G1110" s="55" t="s">
        <v>19</v>
      </c>
      <c r="H1110" s="55">
        <v>1</v>
      </c>
      <c r="I1110" s="57"/>
    </row>
    <row r="1111" spans="1:9" s="24" customFormat="1">
      <c r="A1111" s="53">
        <v>46069</v>
      </c>
      <c r="B1111" s="54">
        <f>Table134[[#This Row],[Date]]</f>
        <v>46069</v>
      </c>
      <c r="C1111" s="55" t="s">
        <v>16</v>
      </c>
      <c r="D1111" s="55"/>
      <c r="E1111" s="59" t="s">
        <v>101</v>
      </c>
      <c r="F1111" s="55" t="s">
        <v>47</v>
      </c>
      <c r="G1111" s="55" t="s">
        <v>19</v>
      </c>
      <c r="H1111" s="55">
        <v>1</v>
      </c>
      <c r="I1111" s="57"/>
    </row>
    <row r="1112" spans="1:9" s="24" customFormat="1">
      <c r="A1112" s="53">
        <v>46069</v>
      </c>
      <c r="B1112" s="54">
        <f>Table134[[#This Row],[Date]]</f>
        <v>46069</v>
      </c>
      <c r="C1112" s="55" t="s">
        <v>23</v>
      </c>
      <c r="D1112" s="55"/>
      <c r="E1112" s="61" t="s">
        <v>163</v>
      </c>
      <c r="F1112" s="55" t="s">
        <v>18</v>
      </c>
      <c r="G1112" s="55" t="s">
        <v>99</v>
      </c>
      <c r="H1112" s="55">
        <v>1</v>
      </c>
      <c r="I1112" s="57"/>
    </row>
    <row r="1113" spans="1:9" s="24" customFormat="1">
      <c r="A1113" s="53">
        <v>46069</v>
      </c>
      <c r="B1113" s="54">
        <f>Table134[[#This Row],[Date]]</f>
        <v>46069</v>
      </c>
      <c r="C1113" s="55" t="s">
        <v>26</v>
      </c>
      <c r="D1113" s="55"/>
      <c r="E1113" s="61" t="s">
        <v>78</v>
      </c>
      <c r="F1113" s="55" t="s">
        <v>18</v>
      </c>
      <c r="G1113" s="55" t="s">
        <v>19</v>
      </c>
      <c r="H1113" s="55">
        <v>1</v>
      </c>
      <c r="I1113" s="57"/>
    </row>
    <row r="1114" spans="1:9" s="24" customFormat="1">
      <c r="A1114" s="53">
        <v>46069</v>
      </c>
      <c r="B1114" s="54">
        <f>Table134[[#This Row],[Date]]</f>
        <v>46069</v>
      </c>
      <c r="C1114" s="55" t="s">
        <v>26</v>
      </c>
      <c r="D1114" s="55"/>
      <c r="E1114" s="61" t="s">
        <v>78</v>
      </c>
      <c r="F1114" s="55" t="s">
        <v>21</v>
      </c>
      <c r="G1114" s="55" t="s">
        <v>19</v>
      </c>
      <c r="H1114" s="55">
        <v>1</v>
      </c>
      <c r="I1114" s="57"/>
    </row>
    <row r="1115" spans="1:9">
      <c r="A1115" s="53">
        <v>46069</v>
      </c>
      <c r="B1115" s="54">
        <f>Table134[[#This Row],[Date]]</f>
        <v>46069</v>
      </c>
      <c r="C1115" s="55" t="s">
        <v>26</v>
      </c>
      <c r="D1115" s="55"/>
      <c r="E1115" s="61" t="s">
        <v>78</v>
      </c>
      <c r="F1115" s="55" t="s">
        <v>28</v>
      </c>
      <c r="G1115" s="55" t="s">
        <v>19</v>
      </c>
      <c r="H1115" s="55">
        <v>1</v>
      </c>
      <c r="I1115" s="57"/>
    </row>
    <row r="1116" spans="1:9">
      <c r="A1116" s="103">
        <v>46069</v>
      </c>
      <c r="B1116" s="104">
        <f>Table134[[#This Row],[Date]]</f>
        <v>46069</v>
      </c>
      <c r="C1116" s="105"/>
      <c r="D1116" s="105"/>
      <c r="E1116" s="106" t="s">
        <v>162</v>
      </c>
      <c r="F1116" s="105" t="s">
        <v>21</v>
      </c>
      <c r="G1116" s="105" t="s">
        <v>99</v>
      </c>
      <c r="H1116" s="105">
        <v>1</v>
      </c>
      <c r="I1116" s="108"/>
    </row>
    <row r="1117" spans="1:9">
      <c r="A1117" s="53">
        <v>46070</v>
      </c>
      <c r="B1117" s="54">
        <f>Table134[[#This Row],[Date]]</f>
        <v>46070</v>
      </c>
      <c r="C1117" s="55" t="s">
        <v>14</v>
      </c>
      <c r="D1117" s="55"/>
      <c r="E1117" s="59" t="s">
        <v>104</v>
      </c>
      <c r="F1117" s="55" t="s">
        <v>72</v>
      </c>
      <c r="G1117" s="55" t="s">
        <v>60</v>
      </c>
      <c r="H1117" s="55">
        <v>1</v>
      </c>
      <c r="I1117" s="57"/>
    </row>
    <row r="1118" spans="1:9">
      <c r="A1118" s="53">
        <v>46070</v>
      </c>
      <c r="B1118" s="54">
        <f>Table134[[#This Row],[Date]]</f>
        <v>46070</v>
      </c>
      <c r="C1118" s="55" t="s">
        <v>14</v>
      </c>
      <c r="D1118" s="55"/>
      <c r="E1118" s="59" t="s">
        <v>104</v>
      </c>
      <c r="F1118" s="55" t="s">
        <v>76</v>
      </c>
      <c r="G1118" s="55" t="s">
        <v>60</v>
      </c>
      <c r="H1118" s="55">
        <v>1</v>
      </c>
      <c r="I1118" s="57"/>
    </row>
    <row r="1119" spans="1:9">
      <c r="A1119" s="103">
        <v>46070</v>
      </c>
      <c r="B1119" s="104">
        <f>Table134[[#This Row],[Date]]</f>
        <v>46070</v>
      </c>
      <c r="C1119" s="105" t="s">
        <v>26</v>
      </c>
      <c r="D1119" s="105"/>
      <c r="E1119" s="106" t="s">
        <v>85</v>
      </c>
      <c r="F1119" s="133" t="s">
        <v>18</v>
      </c>
      <c r="G1119" s="105" t="s">
        <v>19</v>
      </c>
      <c r="H1119" s="105">
        <v>1</v>
      </c>
      <c r="I1119" s="108"/>
    </row>
    <row r="1120" spans="1:9">
      <c r="A1120" s="103">
        <v>46070</v>
      </c>
      <c r="B1120" s="104">
        <f>Table134[[#This Row],[Date]]</f>
        <v>46070</v>
      </c>
      <c r="C1120" s="105" t="s">
        <v>26</v>
      </c>
      <c r="D1120" s="105"/>
      <c r="E1120" s="106" t="s">
        <v>85</v>
      </c>
      <c r="F1120" s="133" t="s">
        <v>21</v>
      </c>
      <c r="G1120" s="105" t="s">
        <v>19</v>
      </c>
      <c r="H1120" s="105">
        <v>1</v>
      </c>
      <c r="I1120" s="108"/>
    </row>
    <row r="1121" spans="1:9">
      <c r="A1121" s="48">
        <v>46070</v>
      </c>
      <c r="B1121" s="49">
        <f>Table134[[#This Row],[Date]]</f>
        <v>46070</v>
      </c>
      <c r="C1121" s="50" t="s">
        <v>4</v>
      </c>
      <c r="D1121" s="50"/>
      <c r="E1121" s="51" t="s">
        <v>32</v>
      </c>
      <c r="F1121" s="50"/>
      <c r="G1121" s="50"/>
      <c r="H1121" s="50"/>
      <c r="I1121" s="52"/>
    </row>
    <row r="1122" spans="1:9">
      <c r="A1122" s="41">
        <v>46070</v>
      </c>
      <c r="B1122" s="42">
        <f>Table134[[#This Row],[Date]]</f>
        <v>46070</v>
      </c>
      <c r="C1122" s="43"/>
      <c r="D1122" s="43"/>
      <c r="E1122" s="44" t="s">
        <v>203</v>
      </c>
      <c r="F1122" s="43"/>
      <c r="G1122" s="43"/>
      <c r="H1122" s="43"/>
      <c r="I1122" s="45"/>
    </row>
    <row r="1123" spans="1:9">
      <c r="A1123" s="53">
        <v>46071</v>
      </c>
      <c r="B1123" s="54">
        <f>Table134[[#This Row],[Date]]</f>
        <v>46071</v>
      </c>
      <c r="C1123" s="55" t="s">
        <v>16</v>
      </c>
      <c r="D1123" s="55"/>
      <c r="E1123" s="59" t="s">
        <v>105</v>
      </c>
      <c r="F1123" s="77" t="s">
        <v>18</v>
      </c>
      <c r="G1123" s="55" t="s">
        <v>19</v>
      </c>
      <c r="H1123" s="55">
        <v>1</v>
      </c>
      <c r="I1123" s="57"/>
    </row>
    <row r="1124" spans="1:9">
      <c r="A1124" s="53">
        <v>46071</v>
      </c>
      <c r="B1124" s="54">
        <f>Table134[[#This Row],[Date]]</f>
        <v>46071</v>
      </c>
      <c r="C1124" s="55" t="s">
        <v>16</v>
      </c>
      <c r="D1124" s="55"/>
      <c r="E1124" s="59" t="s">
        <v>105</v>
      </c>
      <c r="F1124" s="77" t="s">
        <v>21</v>
      </c>
      <c r="G1124" s="55" t="s">
        <v>19</v>
      </c>
      <c r="H1124" s="55">
        <v>1</v>
      </c>
      <c r="I1124" s="57"/>
    </row>
    <row r="1125" spans="1:9">
      <c r="A1125" s="53">
        <v>46071</v>
      </c>
      <c r="B1125" s="54">
        <f>Table134[[#This Row],[Date]]</f>
        <v>46071</v>
      </c>
      <c r="C1125" s="55" t="s">
        <v>16</v>
      </c>
      <c r="D1125" s="55"/>
      <c r="E1125" s="59" t="s">
        <v>105</v>
      </c>
      <c r="F1125" s="77" t="s">
        <v>49</v>
      </c>
      <c r="G1125" s="55" t="s">
        <v>19</v>
      </c>
      <c r="H1125" s="55">
        <v>1</v>
      </c>
      <c r="I1125" s="57"/>
    </row>
    <row r="1126" spans="1:9">
      <c r="A1126" s="53">
        <v>46071</v>
      </c>
      <c r="B1126" s="54">
        <f>Table134[[#This Row],[Date]]</f>
        <v>46071</v>
      </c>
      <c r="C1126" s="55" t="s">
        <v>23</v>
      </c>
      <c r="D1126" s="55"/>
      <c r="E1126" s="61" t="s">
        <v>106</v>
      </c>
      <c r="F1126" s="64" t="s">
        <v>28</v>
      </c>
      <c r="G1126" s="55" t="s">
        <v>19</v>
      </c>
      <c r="H1126" s="55">
        <v>1</v>
      </c>
      <c r="I1126" s="57"/>
    </row>
    <row r="1127" spans="1:9">
      <c r="A1127" s="53">
        <v>46071</v>
      </c>
      <c r="B1127" s="54">
        <f>Table134[[#This Row],[Date]]</f>
        <v>46071</v>
      </c>
      <c r="C1127" s="55" t="s">
        <v>23</v>
      </c>
      <c r="D1127" s="55"/>
      <c r="E1127" s="61" t="s">
        <v>106</v>
      </c>
      <c r="F1127" s="55" t="s">
        <v>107</v>
      </c>
      <c r="G1127" s="55" t="s">
        <v>19</v>
      </c>
      <c r="H1127" s="55">
        <v>1</v>
      </c>
      <c r="I1127" s="57"/>
    </row>
    <row r="1128" spans="1:9">
      <c r="A1128" s="53">
        <v>46071</v>
      </c>
      <c r="B1128" s="54">
        <f>Table134[[#This Row],[Date]]</f>
        <v>46071</v>
      </c>
      <c r="C1128" s="55" t="s">
        <v>23</v>
      </c>
      <c r="D1128" s="55"/>
      <c r="E1128" s="61" t="s">
        <v>106</v>
      </c>
      <c r="F1128" s="64" t="s">
        <v>41</v>
      </c>
      <c r="G1128" s="55" t="s">
        <v>19</v>
      </c>
      <c r="H1128" s="55">
        <v>1</v>
      </c>
      <c r="I1128" s="57"/>
    </row>
    <row r="1129" spans="1:9">
      <c r="A1129" s="53">
        <v>46071</v>
      </c>
      <c r="B1129" s="54">
        <f>Table134[[#This Row],[Date]]</f>
        <v>46071</v>
      </c>
      <c r="C1129" s="55" t="s">
        <v>26</v>
      </c>
      <c r="D1129" s="55"/>
      <c r="E1129" s="61" t="s">
        <v>102</v>
      </c>
      <c r="F1129" s="64" t="s">
        <v>18</v>
      </c>
      <c r="G1129" s="55" t="s">
        <v>19</v>
      </c>
      <c r="H1129" s="55">
        <v>1</v>
      </c>
      <c r="I1129" s="57"/>
    </row>
    <row r="1130" spans="1:9">
      <c r="A1130" s="53">
        <v>46071</v>
      </c>
      <c r="B1130" s="54">
        <f>Table134[[#This Row],[Date]]</f>
        <v>46071</v>
      </c>
      <c r="C1130" s="55" t="s">
        <v>26</v>
      </c>
      <c r="D1130" s="55"/>
      <c r="E1130" s="61" t="s">
        <v>169</v>
      </c>
      <c r="F1130" s="55" t="s">
        <v>18</v>
      </c>
      <c r="G1130" s="55" t="s">
        <v>19</v>
      </c>
      <c r="H1130" s="55">
        <v>1</v>
      </c>
      <c r="I1130" s="57"/>
    </row>
    <row r="1131" spans="1:9">
      <c r="A1131" s="53">
        <v>46071</v>
      </c>
      <c r="B1131" s="54">
        <f>Table134[[#This Row],[Date]]</f>
        <v>46071</v>
      </c>
      <c r="C1131" s="55" t="s">
        <v>26</v>
      </c>
      <c r="D1131" s="55"/>
      <c r="E1131" s="61" t="s">
        <v>103</v>
      </c>
      <c r="F1131" s="55" t="s">
        <v>18</v>
      </c>
      <c r="G1131" s="55" t="s">
        <v>19</v>
      </c>
      <c r="H1131" s="55">
        <v>1</v>
      </c>
      <c r="I1131" s="57"/>
    </row>
    <row r="1132" spans="1:9">
      <c r="A1132" s="53">
        <v>46071</v>
      </c>
      <c r="B1132" s="54">
        <f>Table134[[#This Row],[Date]]</f>
        <v>46071</v>
      </c>
      <c r="C1132" s="55" t="s">
        <v>26</v>
      </c>
      <c r="D1132" s="55"/>
      <c r="E1132" s="61" t="s">
        <v>103</v>
      </c>
      <c r="F1132" s="55" t="s">
        <v>21</v>
      </c>
      <c r="G1132" s="55" t="s">
        <v>19</v>
      </c>
      <c r="H1132" s="55">
        <v>1</v>
      </c>
      <c r="I1132" s="57"/>
    </row>
    <row r="1133" spans="1:9">
      <c r="A1133" s="53">
        <v>46072</v>
      </c>
      <c r="B1133" s="54">
        <f>Table134[[#This Row],[Date]]</f>
        <v>46072</v>
      </c>
      <c r="C1133" s="55" t="s">
        <v>16</v>
      </c>
      <c r="D1133" s="55"/>
      <c r="E1133" s="59" t="s">
        <v>105</v>
      </c>
      <c r="F1133" s="77" t="s">
        <v>47</v>
      </c>
      <c r="G1133" s="55" t="s">
        <v>19</v>
      </c>
      <c r="H1133" s="55">
        <v>1</v>
      </c>
      <c r="I1133" s="57"/>
    </row>
    <row r="1134" spans="1:9">
      <c r="A1134" s="53">
        <v>46072</v>
      </c>
      <c r="B1134" s="54">
        <f>Table134[[#This Row],[Date]]</f>
        <v>46072</v>
      </c>
      <c r="C1134" s="55" t="s">
        <v>16</v>
      </c>
      <c r="D1134" s="55"/>
      <c r="E1134" s="59" t="s">
        <v>105</v>
      </c>
      <c r="F1134" s="77" t="s">
        <v>53</v>
      </c>
      <c r="G1134" s="55" t="s">
        <v>19</v>
      </c>
      <c r="H1134" s="55">
        <v>1</v>
      </c>
      <c r="I1134" s="57"/>
    </row>
    <row r="1135" spans="1:9">
      <c r="A1135" s="53">
        <v>46072</v>
      </c>
      <c r="B1135" s="54">
        <f>Table134[[#This Row],[Date]]</f>
        <v>46072</v>
      </c>
      <c r="C1135" s="55" t="s">
        <v>16</v>
      </c>
      <c r="D1135" s="55"/>
      <c r="E1135" s="59" t="s">
        <v>105</v>
      </c>
      <c r="F1135" s="77" t="s">
        <v>41</v>
      </c>
      <c r="G1135" s="55" t="s">
        <v>19</v>
      </c>
      <c r="H1135" s="55">
        <v>1</v>
      </c>
      <c r="I1135" s="57"/>
    </row>
    <row r="1136" spans="1:9">
      <c r="A1136" s="53">
        <v>46072</v>
      </c>
      <c r="B1136" s="54">
        <f>Table134[[#This Row],[Date]]</f>
        <v>46072</v>
      </c>
      <c r="C1136" s="55" t="s">
        <v>23</v>
      </c>
      <c r="D1136" s="55"/>
      <c r="E1136" s="59" t="s">
        <v>106</v>
      </c>
      <c r="F1136" s="64" t="s">
        <v>18</v>
      </c>
      <c r="G1136" s="55" t="s">
        <v>19</v>
      </c>
      <c r="H1136" s="55">
        <v>1</v>
      </c>
      <c r="I1136" s="57"/>
    </row>
    <row r="1137" spans="1:9">
      <c r="A1137" s="53">
        <v>46072</v>
      </c>
      <c r="B1137" s="54">
        <f>Table134[[#This Row],[Date]]</f>
        <v>46072</v>
      </c>
      <c r="C1137" s="55" t="s">
        <v>23</v>
      </c>
      <c r="D1137" s="55"/>
      <c r="E1137" s="59" t="s">
        <v>106</v>
      </c>
      <c r="F1137" s="64" t="s">
        <v>21</v>
      </c>
      <c r="G1137" s="55" t="s">
        <v>19</v>
      </c>
      <c r="H1137" s="55">
        <v>1</v>
      </c>
      <c r="I1137" s="57"/>
    </row>
    <row r="1138" spans="1:9">
      <c r="A1138" s="53">
        <v>46072</v>
      </c>
      <c r="B1138" s="54">
        <f>Table134[[#This Row],[Date]]</f>
        <v>46072</v>
      </c>
      <c r="C1138" s="55" t="s">
        <v>23</v>
      </c>
      <c r="D1138" s="55"/>
      <c r="E1138" s="59" t="s">
        <v>106</v>
      </c>
      <c r="F1138" s="64" t="s">
        <v>49</v>
      </c>
      <c r="G1138" s="55" t="s">
        <v>19</v>
      </c>
      <c r="H1138" s="55">
        <v>1</v>
      </c>
      <c r="I1138" s="57"/>
    </row>
    <row r="1139" spans="1:9">
      <c r="A1139" s="53">
        <v>46072</v>
      </c>
      <c r="B1139" s="54">
        <f>Table134[[#This Row],[Date]]</f>
        <v>46072</v>
      </c>
      <c r="C1139" s="55" t="s">
        <v>26</v>
      </c>
      <c r="D1139" s="55"/>
      <c r="E1139" s="61" t="s">
        <v>108</v>
      </c>
      <c r="F1139" s="55" t="s">
        <v>28</v>
      </c>
      <c r="G1139" s="55" t="s">
        <v>19</v>
      </c>
      <c r="H1139" s="55">
        <v>1</v>
      </c>
      <c r="I1139" s="57"/>
    </row>
    <row r="1140" spans="1:9">
      <c r="A1140" s="53">
        <v>46072</v>
      </c>
      <c r="B1140" s="54">
        <f>Table134[[#This Row],[Date]]</f>
        <v>46072</v>
      </c>
      <c r="C1140" s="55" t="s">
        <v>26</v>
      </c>
      <c r="D1140" s="55"/>
      <c r="E1140" s="61" t="s">
        <v>108</v>
      </c>
      <c r="F1140" s="55" t="s">
        <v>107</v>
      </c>
      <c r="G1140" s="55" t="s">
        <v>19</v>
      </c>
      <c r="H1140" s="55">
        <v>1</v>
      </c>
      <c r="I1140" s="57"/>
    </row>
    <row r="1141" spans="1:9">
      <c r="A1141" s="53">
        <v>46072</v>
      </c>
      <c r="B1141" s="54">
        <f>Table134[[#This Row],[Date]]</f>
        <v>46072</v>
      </c>
      <c r="C1141" s="55" t="s">
        <v>26</v>
      </c>
      <c r="D1141" s="55"/>
      <c r="E1141" s="61" t="s">
        <v>108</v>
      </c>
      <c r="F1141" s="55" t="s">
        <v>35</v>
      </c>
      <c r="G1141" s="55" t="s">
        <v>19</v>
      </c>
      <c r="H1141" s="55">
        <v>1</v>
      </c>
      <c r="I1141" s="57"/>
    </row>
    <row r="1142" spans="1:9">
      <c r="A1142" s="53">
        <v>46072</v>
      </c>
      <c r="B1142" s="54">
        <f>Table134[[#This Row],[Date]]</f>
        <v>46072</v>
      </c>
      <c r="C1142" s="55" t="s">
        <v>26</v>
      </c>
      <c r="D1142" s="55"/>
      <c r="E1142" s="61" t="s">
        <v>108</v>
      </c>
      <c r="F1142" s="55" t="s">
        <v>109</v>
      </c>
      <c r="G1142" s="55" t="s">
        <v>19</v>
      </c>
      <c r="H1142" s="55">
        <v>1</v>
      </c>
      <c r="I1142" s="57"/>
    </row>
    <row r="1143" spans="1:9">
      <c r="A1143" s="53">
        <v>46073</v>
      </c>
      <c r="B1143" s="54">
        <f>Table134[[#This Row],[Date]]</f>
        <v>46073</v>
      </c>
      <c r="C1143" s="55" t="s">
        <v>14</v>
      </c>
      <c r="D1143" s="55"/>
      <c r="E1143" s="59" t="s">
        <v>105</v>
      </c>
      <c r="F1143" s="55" t="s">
        <v>73</v>
      </c>
      <c r="G1143" s="55" t="s">
        <v>60</v>
      </c>
      <c r="H1143" s="55">
        <v>2</v>
      </c>
      <c r="I1143" s="57"/>
    </row>
    <row r="1144" spans="1:9">
      <c r="A1144" s="53">
        <v>46073</v>
      </c>
      <c r="B1144" s="54">
        <f>Table134[[#This Row],[Date]]</f>
        <v>46073</v>
      </c>
      <c r="C1144" s="55" t="s">
        <v>14</v>
      </c>
      <c r="D1144" s="55"/>
      <c r="E1144" s="59" t="s">
        <v>105</v>
      </c>
      <c r="F1144" s="55" t="s">
        <v>77</v>
      </c>
      <c r="G1144" s="55" t="s">
        <v>60</v>
      </c>
      <c r="H1144" s="55">
        <v>3</v>
      </c>
      <c r="I1144" s="57"/>
    </row>
    <row r="1145" spans="1:9">
      <c r="A1145" s="53">
        <v>46073</v>
      </c>
      <c r="B1145" s="54">
        <f>Table134[[#This Row],[Date]]</f>
        <v>46073</v>
      </c>
      <c r="C1145" s="55" t="s">
        <v>14</v>
      </c>
      <c r="D1145" s="55"/>
      <c r="E1145" s="59" t="s">
        <v>105</v>
      </c>
      <c r="F1145" s="55" t="s">
        <v>176</v>
      </c>
      <c r="G1145" s="55" t="s">
        <v>60</v>
      </c>
      <c r="H1145" s="55">
        <v>4</v>
      </c>
      <c r="I1145" s="57"/>
    </row>
    <row r="1146" spans="1:9">
      <c r="A1146" s="53">
        <v>46073</v>
      </c>
      <c r="B1146" s="54">
        <f>Table134[[#This Row],[Date]]</f>
        <v>46073</v>
      </c>
      <c r="C1146" s="55" t="s">
        <v>14</v>
      </c>
      <c r="D1146" s="55"/>
      <c r="E1146" s="59" t="s">
        <v>105</v>
      </c>
      <c r="F1146" s="55" t="s">
        <v>177</v>
      </c>
      <c r="G1146" s="55" t="s">
        <v>60</v>
      </c>
      <c r="H1146" s="55">
        <v>5</v>
      </c>
      <c r="I1146" s="57"/>
    </row>
    <row r="1147" spans="1:9">
      <c r="A1147" s="53">
        <v>46073</v>
      </c>
      <c r="B1147" s="54">
        <f>Table134[[#This Row],[Date]]</f>
        <v>46073</v>
      </c>
      <c r="C1147" s="55" t="s">
        <v>14</v>
      </c>
      <c r="D1147" s="55"/>
      <c r="E1147" s="59" t="s">
        <v>111</v>
      </c>
      <c r="F1147" s="55" t="s">
        <v>18</v>
      </c>
      <c r="G1147" s="55" t="s">
        <v>99</v>
      </c>
      <c r="H1147" s="55">
        <v>1</v>
      </c>
      <c r="I1147" s="57"/>
    </row>
    <row r="1148" spans="1:9">
      <c r="A1148" s="53">
        <v>46073</v>
      </c>
      <c r="B1148" s="54">
        <f>Table134[[#This Row],[Date]]</f>
        <v>46073</v>
      </c>
      <c r="C1148" s="55" t="s">
        <v>23</v>
      </c>
      <c r="D1148" s="55"/>
      <c r="E1148" s="59" t="s">
        <v>114</v>
      </c>
      <c r="F1148" s="55" t="s">
        <v>18</v>
      </c>
      <c r="G1148" s="55" t="s">
        <v>19</v>
      </c>
      <c r="H1148" s="55">
        <v>1</v>
      </c>
      <c r="I1148" s="57"/>
    </row>
    <row r="1149" spans="1:9">
      <c r="A1149" s="53">
        <v>46073</v>
      </c>
      <c r="B1149" s="54">
        <f>Table134[[#This Row],[Date]]</f>
        <v>46073</v>
      </c>
      <c r="C1149" s="55" t="s">
        <v>23</v>
      </c>
      <c r="D1149" s="55"/>
      <c r="E1149" s="59" t="s">
        <v>114</v>
      </c>
      <c r="F1149" s="55" t="s">
        <v>21</v>
      </c>
      <c r="G1149" s="55" t="s">
        <v>19</v>
      </c>
      <c r="H1149" s="55">
        <v>1</v>
      </c>
      <c r="I1149" s="57"/>
    </row>
    <row r="1150" spans="1:9">
      <c r="A1150" s="53">
        <v>46073</v>
      </c>
      <c r="B1150" s="54">
        <f>Table134[[#This Row],[Date]]</f>
        <v>46073</v>
      </c>
      <c r="C1150" s="55" t="s">
        <v>26</v>
      </c>
      <c r="D1150" s="55"/>
      <c r="E1150" s="59" t="s">
        <v>110</v>
      </c>
      <c r="F1150" s="55" t="s">
        <v>18</v>
      </c>
      <c r="G1150" s="55" t="s">
        <v>19</v>
      </c>
      <c r="H1150" s="55">
        <v>1</v>
      </c>
      <c r="I1150" s="57"/>
    </row>
    <row r="1151" spans="1:9">
      <c r="A1151" s="53">
        <v>46073</v>
      </c>
      <c r="B1151" s="54">
        <f>Table134[[#This Row],[Date]]</f>
        <v>46073</v>
      </c>
      <c r="C1151" s="55" t="s">
        <v>26</v>
      </c>
      <c r="D1151" s="55"/>
      <c r="E1151" s="59" t="s">
        <v>110</v>
      </c>
      <c r="F1151" s="55" t="s">
        <v>21</v>
      </c>
      <c r="G1151" s="55" t="s">
        <v>19</v>
      </c>
      <c r="H1151" s="55">
        <v>1</v>
      </c>
      <c r="I1151" s="57"/>
    </row>
    <row r="1152" spans="1:9">
      <c r="A1152" s="103">
        <v>46076</v>
      </c>
      <c r="B1152" s="104">
        <f>Table134[[#This Row],[Date]]</f>
        <v>46076</v>
      </c>
      <c r="C1152" s="105" t="s">
        <v>16</v>
      </c>
      <c r="D1152" s="105"/>
      <c r="E1152" s="109" t="s">
        <v>119</v>
      </c>
      <c r="F1152" s="105" t="s">
        <v>47</v>
      </c>
      <c r="G1152" s="105" t="s">
        <v>19</v>
      </c>
      <c r="H1152" s="105">
        <v>1</v>
      </c>
      <c r="I1152" s="108"/>
    </row>
    <row r="1153" spans="1:9">
      <c r="A1153" s="53">
        <v>46076</v>
      </c>
      <c r="B1153" s="54">
        <f>Table134[[#This Row],[Date]]</f>
        <v>46076</v>
      </c>
      <c r="C1153" s="55" t="s">
        <v>23</v>
      </c>
      <c r="D1153" s="55"/>
      <c r="E1153" s="59" t="s">
        <v>204</v>
      </c>
      <c r="F1153" s="55" t="s">
        <v>18</v>
      </c>
      <c r="G1153" s="55" t="s">
        <v>19</v>
      </c>
      <c r="H1153" s="55">
        <v>1</v>
      </c>
      <c r="I1153" s="57"/>
    </row>
    <row r="1154" spans="1:9">
      <c r="A1154" s="53">
        <v>46076</v>
      </c>
      <c r="B1154" s="54">
        <f>Table134[[#This Row],[Date]]</f>
        <v>46076</v>
      </c>
      <c r="C1154" s="55" t="s">
        <v>23</v>
      </c>
      <c r="D1154" s="55"/>
      <c r="E1154" s="132" t="s">
        <v>122</v>
      </c>
      <c r="F1154" s="55" t="s">
        <v>18</v>
      </c>
      <c r="G1154" s="55" t="s">
        <v>19</v>
      </c>
      <c r="H1154" s="55">
        <v>1</v>
      </c>
      <c r="I1154" s="57"/>
    </row>
    <row r="1155" spans="1:9">
      <c r="A1155" s="53">
        <v>46076</v>
      </c>
      <c r="B1155" s="54">
        <f>Table134[[#This Row],[Date]]</f>
        <v>46076</v>
      </c>
      <c r="C1155" s="55" t="s">
        <v>26</v>
      </c>
      <c r="D1155" s="55"/>
      <c r="E1155" s="61" t="s">
        <v>123</v>
      </c>
      <c r="F1155" s="55" t="s">
        <v>18</v>
      </c>
      <c r="G1155" s="55" t="s">
        <v>19</v>
      </c>
      <c r="H1155" s="55">
        <v>1</v>
      </c>
      <c r="I1155" s="57"/>
    </row>
    <row r="1156" spans="1:9">
      <c r="A1156" s="53">
        <v>46076</v>
      </c>
      <c r="B1156" s="54">
        <f>Table134[[#This Row],[Date]]</f>
        <v>46076</v>
      </c>
      <c r="C1156" s="55" t="s">
        <v>26</v>
      </c>
      <c r="D1156" s="55"/>
      <c r="E1156" s="61" t="s">
        <v>123</v>
      </c>
      <c r="F1156" s="55" t="s">
        <v>21</v>
      </c>
      <c r="G1156" s="55" t="s">
        <v>19</v>
      </c>
      <c r="H1156" s="55">
        <v>1</v>
      </c>
      <c r="I1156" s="57"/>
    </row>
    <row r="1157" spans="1:9">
      <c r="A1157" s="53">
        <v>46076</v>
      </c>
      <c r="B1157" s="54">
        <f>Table134[[#This Row],[Date]]</f>
        <v>46076</v>
      </c>
      <c r="C1157" s="55" t="s">
        <v>26</v>
      </c>
      <c r="D1157" s="55"/>
      <c r="E1157" s="61" t="s">
        <v>123</v>
      </c>
      <c r="F1157" s="55" t="s">
        <v>47</v>
      </c>
      <c r="G1157" s="55" t="s">
        <v>19</v>
      </c>
      <c r="H1157" s="55">
        <v>1</v>
      </c>
      <c r="I1157" s="57"/>
    </row>
    <row r="1158" spans="1:9">
      <c r="A1158" s="103">
        <v>46076</v>
      </c>
      <c r="B1158" s="104">
        <f>Table134[[#This Row],[Date]]</f>
        <v>46076</v>
      </c>
      <c r="C1158" s="105" t="s">
        <v>26</v>
      </c>
      <c r="D1158" s="105"/>
      <c r="E1158" s="106" t="s">
        <v>115</v>
      </c>
      <c r="F1158" s="107" t="s">
        <v>18</v>
      </c>
      <c r="G1158" s="105" t="s">
        <v>19</v>
      </c>
      <c r="H1158" s="105">
        <v>1</v>
      </c>
      <c r="I1158" s="108"/>
    </row>
    <row r="1159" spans="1:9">
      <c r="A1159" s="53">
        <v>46077</v>
      </c>
      <c r="B1159" s="54">
        <f>Table134[[#This Row],[Date]]</f>
        <v>46077</v>
      </c>
      <c r="C1159" s="55" t="s">
        <v>14</v>
      </c>
      <c r="D1159" s="55"/>
      <c r="E1159" s="59" t="s">
        <v>104</v>
      </c>
      <c r="F1159" s="55" t="s">
        <v>18</v>
      </c>
      <c r="G1159" s="55" t="s">
        <v>19</v>
      </c>
      <c r="H1159" s="55">
        <v>1</v>
      </c>
      <c r="I1159" s="57"/>
    </row>
    <row r="1160" spans="1:9">
      <c r="A1160" s="53">
        <v>46077</v>
      </c>
      <c r="B1160" s="54">
        <f>Table134[[#This Row],[Date]]</f>
        <v>46077</v>
      </c>
      <c r="C1160" s="55" t="s">
        <v>14</v>
      </c>
      <c r="D1160" s="55"/>
      <c r="E1160" s="59" t="s">
        <v>104</v>
      </c>
      <c r="F1160" s="55" t="s">
        <v>21</v>
      </c>
      <c r="G1160" s="55" t="s">
        <v>19</v>
      </c>
      <c r="H1160" s="55">
        <v>1</v>
      </c>
      <c r="I1160" s="57"/>
    </row>
    <row r="1161" spans="1:9">
      <c r="A1161" s="48">
        <v>46077</v>
      </c>
      <c r="B1161" s="49">
        <f>Table134[[#This Row],[Date]]</f>
        <v>46077</v>
      </c>
      <c r="C1161" s="50" t="s">
        <v>4</v>
      </c>
      <c r="D1161" s="50"/>
      <c r="E1161" s="51" t="s">
        <v>32</v>
      </c>
      <c r="F1161" s="50"/>
      <c r="G1161" s="50"/>
      <c r="H1161" s="50"/>
      <c r="I1161" s="52"/>
    </row>
    <row r="1162" spans="1:9">
      <c r="A1162" s="48">
        <v>46077</v>
      </c>
      <c r="B1162" s="49">
        <f>Table134[[#This Row],[Date]]</f>
        <v>46077</v>
      </c>
      <c r="C1162" s="50" t="s">
        <v>149</v>
      </c>
      <c r="D1162" s="50"/>
      <c r="E1162" s="51" t="s">
        <v>150</v>
      </c>
      <c r="F1162" s="50"/>
      <c r="G1162" s="50"/>
      <c r="H1162" s="50"/>
      <c r="I1162" s="52"/>
    </row>
    <row r="1163" spans="1:9">
      <c r="A1163" s="53">
        <v>46078</v>
      </c>
      <c r="B1163" s="54">
        <f>Table134[[#This Row],[Date]]</f>
        <v>46078</v>
      </c>
      <c r="C1163" s="55" t="s">
        <v>16</v>
      </c>
      <c r="D1163" s="55"/>
      <c r="E1163" s="59" t="s">
        <v>119</v>
      </c>
      <c r="F1163" s="55" t="s">
        <v>18</v>
      </c>
      <c r="G1163" s="55" t="s">
        <v>19</v>
      </c>
      <c r="H1163" s="55">
        <v>1</v>
      </c>
      <c r="I1163" s="57"/>
    </row>
    <row r="1164" spans="1:9">
      <c r="A1164" s="53">
        <v>46078</v>
      </c>
      <c r="B1164" s="54">
        <f>Table134[[#This Row],[Date]]</f>
        <v>46078</v>
      </c>
      <c r="C1164" s="55" t="s">
        <v>16</v>
      </c>
      <c r="D1164" s="55"/>
      <c r="E1164" s="59" t="s">
        <v>119</v>
      </c>
      <c r="F1164" s="55" t="s">
        <v>21</v>
      </c>
      <c r="G1164" s="55" t="s">
        <v>19</v>
      </c>
      <c r="H1164" s="55">
        <v>1</v>
      </c>
      <c r="I1164" s="57"/>
    </row>
    <row r="1165" spans="1:9">
      <c r="A1165" s="53">
        <v>46078</v>
      </c>
      <c r="B1165" s="54">
        <f>Table134[[#This Row],[Date]]</f>
        <v>46078</v>
      </c>
      <c r="C1165" s="55" t="s">
        <v>23</v>
      </c>
      <c r="D1165" s="55"/>
      <c r="E1165" s="61" t="s">
        <v>125</v>
      </c>
      <c r="F1165" s="55" t="s">
        <v>18</v>
      </c>
      <c r="G1165" s="55" t="s">
        <v>19</v>
      </c>
      <c r="H1165" s="55">
        <v>1</v>
      </c>
      <c r="I1165" s="57"/>
    </row>
    <row r="1166" spans="1:9">
      <c r="A1166" s="53">
        <v>46078</v>
      </c>
      <c r="B1166" s="54">
        <f>Table134[[#This Row],[Date]]</f>
        <v>46078</v>
      </c>
      <c r="C1166" s="55" t="s">
        <v>26</v>
      </c>
      <c r="D1166" s="55"/>
      <c r="E1166" s="59" t="s">
        <v>128</v>
      </c>
      <c r="F1166" s="55" t="s">
        <v>18</v>
      </c>
      <c r="G1166" s="55" t="s">
        <v>19</v>
      </c>
      <c r="H1166" s="55">
        <v>1</v>
      </c>
      <c r="I1166" s="57"/>
    </row>
    <row r="1167" spans="1:9">
      <c r="A1167" s="103">
        <v>46078</v>
      </c>
      <c r="B1167" s="104">
        <f>Table134[[#This Row],[Date]]</f>
        <v>46078</v>
      </c>
      <c r="C1167" s="105" t="s">
        <v>26</v>
      </c>
      <c r="D1167" s="105"/>
      <c r="E1167" s="109" t="s">
        <v>129</v>
      </c>
      <c r="F1167" s="105"/>
      <c r="G1167" s="105"/>
      <c r="H1167" s="105">
        <v>1</v>
      </c>
      <c r="I1167" s="108"/>
    </row>
    <row r="1168" spans="1:9">
      <c r="A1168" s="53">
        <v>46079</v>
      </c>
      <c r="B1168" s="54">
        <f>Table134[[#This Row],[Date]]</f>
        <v>46079</v>
      </c>
      <c r="C1168" s="55" t="s">
        <v>14</v>
      </c>
      <c r="D1168" s="55"/>
      <c r="E1168" s="59" t="s">
        <v>130</v>
      </c>
      <c r="F1168" s="55" t="s">
        <v>18</v>
      </c>
      <c r="G1168" s="55" t="s">
        <v>19</v>
      </c>
      <c r="H1168" s="55">
        <v>1</v>
      </c>
      <c r="I1168" s="57"/>
    </row>
    <row r="1169" spans="1:9">
      <c r="A1169" s="53">
        <v>46079</v>
      </c>
      <c r="B1169" s="54">
        <f>Table134[[#This Row],[Date]]</f>
        <v>46079</v>
      </c>
      <c r="C1169" s="55" t="s">
        <v>14</v>
      </c>
      <c r="D1169" s="55"/>
      <c r="E1169" s="59" t="s">
        <v>131</v>
      </c>
      <c r="F1169" s="64" t="s">
        <v>18</v>
      </c>
      <c r="G1169" s="55" t="s">
        <v>19</v>
      </c>
      <c r="H1169" s="55">
        <v>1</v>
      </c>
      <c r="I1169" s="57"/>
    </row>
    <row r="1170" spans="1:9">
      <c r="A1170" s="53">
        <v>46079</v>
      </c>
      <c r="B1170" s="54">
        <f>Table134[[#This Row],[Date]]</f>
        <v>46079</v>
      </c>
      <c r="C1170" s="55" t="s">
        <v>16</v>
      </c>
      <c r="D1170" s="55"/>
      <c r="E1170" s="59" t="s">
        <v>133</v>
      </c>
      <c r="F1170" s="55" t="s">
        <v>21</v>
      </c>
      <c r="G1170" s="55" t="s">
        <v>19</v>
      </c>
      <c r="H1170" s="55">
        <v>1</v>
      </c>
      <c r="I1170" s="57"/>
    </row>
    <row r="1171" spans="1:9">
      <c r="A1171" s="53">
        <v>46079</v>
      </c>
      <c r="B1171" s="54">
        <f>Table134[[#This Row],[Date]]</f>
        <v>46079</v>
      </c>
      <c r="C1171" s="55" t="s">
        <v>16</v>
      </c>
      <c r="D1171" s="55"/>
      <c r="E1171" s="59" t="s">
        <v>134</v>
      </c>
      <c r="F1171" s="55" t="s">
        <v>18</v>
      </c>
      <c r="G1171" s="55" t="s">
        <v>19</v>
      </c>
      <c r="H1171" s="55">
        <v>1</v>
      </c>
      <c r="I1171" s="57"/>
    </row>
    <row r="1172" spans="1:9">
      <c r="A1172" s="53">
        <v>46079</v>
      </c>
      <c r="B1172" s="54">
        <f>Table134[[#This Row],[Date]]</f>
        <v>46079</v>
      </c>
      <c r="C1172" s="55" t="s">
        <v>16</v>
      </c>
      <c r="D1172" s="55"/>
      <c r="E1172" s="59" t="s">
        <v>135</v>
      </c>
      <c r="F1172" s="77" t="s">
        <v>47</v>
      </c>
      <c r="G1172" s="55" t="s">
        <v>19</v>
      </c>
      <c r="H1172" s="55">
        <v>1</v>
      </c>
      <c r="I1172" s="57"/>
    </row>
    <row r="1173" spans="1:9">
      <c r="A1173" s="53">
        <v>46079</v>
      </c>
      <c r="B1173" s="54">
        <f>Table134[[#This Row],[Date]]</f>
        <v>46079</v>
      </c>
      <c r="C1173" s="55" t="s">
        <v>16</v>
      </c>
      <c r="D1173" s="55"/>
      <c r="E1173" s="59" t="s">
        <v>135</v>
      </c>
      <c r="F1173" s="77" t="s">
        <v>53</v>
      </c>
      <c r="G1173" s="55" t="s">
        <v>19</v>
      </c>
      <c r="H1173" s="55">
        <v>1</v>
      </c>
      <c r="I1173" s="57"/>
    </row>
    <row r="1174" spans="1:9">
      <c r="A1174" s="53">
        <v>46080</v>
      </c>
      <c r="B1174" s="54">
        <f>Table134[[#This Row],[Date]]</f>
        <v>46080</v>
      </c>
      <c r="C1174" s="55" t="s">
        <v>14</v>
      </c>
      <c r="D1174" s="55"/>
      <c r="E1174" s="59" t="s">
        <v>145</v>
      </c>
      <c r="F1174" s="55" t="s">
        <v>18</v>
      </c>
      <c r="G1174" s="55" t="s">
        <v>19</v>
      </c>
      <c r="H1174" s="55">
        <v>1</v>
      </c>
      <c r="I1174" s="57"/>
    </row>
    <row r="1175" spans="1:9">
      <c r="A1175" s="53">
        <v>46080</v>
      </c>
      <c r="B1175" s="54">
        <f>Table134[[#This Row],[Date]]</f>
        <v>46080</v>
      </c>
      <c r="C1175" s="55" t="s">
        <v>16</v>
      </c>
      <c r="D1175" s="55"/>
      <c r="E1175" s="59" t="s">
        <v>136</v>
      </c>
      <c r="F1175" s="55" t="s">
        <v>18</v>
      </c>
      <c r="G1175" s="55" t="s">
        <v>19</v>
      </c>
      <c r="H1175" s="55">
        <v>1</v>
      </c>
      <c r="I1175" s="57"/>
    </row>
    <row r="1176" spans="1:9">
      <c r="A1176" s="53">
        <v>46080</v>
      </c>
      <c r="B1176" s="54">
        <f>Table134[[#This Row],[Date]]</f>
        <v>46080</v>
      </c>
      <c r="C1176" s="55" t="s">
        <v>16</v>
      </c>
      <c r="D1176" s="55"/>
      <c r="E1176" s="59" t="s">
        <v>137</v>
      </c>
      <c r="F1176" s="55" t="s">
        <v>18</v>
      </c>
      <c r="G1176" s="55" t="s">
        <v>19</v>
      </c>
      <c r="H1176" s="55">
        <v>1</v>
      </c>
      <c r="I1176" s="57"/>
    </row>
    <row r="1177" spans="1:9">
      <c r="A1177" s="53">
        <v>46080</v>
      </c>
      <c r="B1177" s="54">
        <f>Table134[[#This Row],[Date]]</f>
        <v>46080</v>
      </c>
      <c r="C1177" s="55" t="s">
        <v>16</v>
      </c>
      <c r="D1177" s="55"/>
      <c r="E1177" s="59" t="s">
        <v>138</v>
      </c>
      <c r="F1177" s="55" t="s">
        <v>18</v>
      </c>
      <c r="G1177" s="55" t="s">
        <v>19</v>
      </c>
      <c r="H1177" s="55">
        <v>1</v>
      </c>
      <c r="I1177" s="57"/>
    </row>
    <row r="1178" spans="1:9">
      <c r="A1178" s="53">
        <v>46080</v>
      </c>
      <c r="B1178" s="54">
        <f>Table134[[#This Row],[Date]]</f>
        <v>46080</v>
      </c>
      <c r="C1178" s="55" t="s">
        <v>23</v>
      </c>
      <c r="D1178" s="55"/>
      <c r="E1178" s="59" t="s">
        <v>139</v>
      </c>
      <c r="F1178" s="55" t="s">
        <v>18</v>
      </c>
      <c r="G1178" s="55" t="s">
        <v>19</v>
      </c>
      <c r="H1178" s="55">
        <v>1</v>
      </c>
      <c r="I1178" s="57"/>
    </row>
    <row r="1179" spans="1:9">
      <c r="A1179" s="53">
        <v>46080</v>
      </c>
      <c r="B1179" s="54">
        <f>Table134[[#This Row],[Date]]</f>
        <v>46080</v>
      </c>
      <c r="C1179" s="55" t="s">
        <v>23</v>
      </c>
      <c r="D1179" s="55"/>
      <c r="E1179" s="59" t="s">
        <v>140</v>
      </c>
      <c r="F1179" s="55" t="s">
        <v>18</v>
      </c>
      <c r="G1179" s="55" t="s">
        <v>19</v>
      </c>
      <c r="H1179" s="55">
        <v>1</v>
      </c>
      <c r="I1179" s="57"/>
    </row>
    <row r="1180" spans="1:9">
      <c r="A1180" s="53">
        <v>46080</v>
      </c>
      <c r="B1180" s="54">
        <f>Table134[[#This Row],[Date]]</f>
        <v>46080</v>
      </c>
      <c r="C1180" s="55" t="s">
        <v>23</v>
      </c>
      <c r="D1180" s="55"/>
      <c r="E1180" s="59" t="s">
        <v>141</v>
      </c>
      <c r="F1180" s="55" t="s">
        <v>18</v>
      </c>
      <c r="G1180" s="55" t="s">
        <v>19</v>
      </c>
      <c r="H1180" s="55">
        <v>1</v>
      </c>
      <c r="I1180" s="57"/>
    </row>
    <row r="1181" spans="1:9">
      <c r="A1181" s="53">
        <v>46080</v>
      </c>
      <c r="B1181" s="54">
        <f>Table134[[#This Row],[Date]]</f>
        <v>46080</v>
      </c>
      <c r="C1181" s="55" t="s">
        <v>23</v>
      </c>
      <c r="D1181" s="55"/>
      <c r="E1181" s="59" t="s">
        <v>142</v>
      </c>
      <c r="F1181" s="55" t="s">
        <v>18</v>
      </c>
      <c r="G1181" s="55" t="s">
        <v>19</v>
      </c>
      <c r="H1181" s="55">
        <v>1</v>
      </c>
      <c r="I1181" s="57"/>
    </row>
    <row r="1182" spans="1:9">
      <c r="A1182" s="53">
        <v>46080</v>
      </c>
      <c r="B1182" s="54">
        <f>Table134[[#This Row],[Date]]</f>
        <v>46080</v>
      </c>
      <c r="C1182" s="55" t="s">
        <v>23</v>
      </c>
      <c r="D1182" s="55"/>
      <c r="E1182" s="59" t="s">
        <v>146</v>
      </c>
      <c r="F1182" s="55" t="s">
        <v>18</v>
      </c>
      <c r="G1182" s="55" t="s">
        <v>19</v>
      </c>
      <c r="H1182" s="55">
        <v>1</v>
      </c>
      <c r="I1182" s="57"/>
    </row>
    <row r="1183" spans="1:9">
      <c r="A1183" s="53">
        <v>46080</v>
      </c>
      <c r="B1183" s="54">
        <f>Table134[[#This Row],[Date]]</f>
        <v>46080</v>
      </c>
      <c r="C1183" s="55" t="s">
        <v>23</v>
      </c>
      <c r="D1183" s="55"/>
      <c r="E1183" s="59" t="s">
        <v>146</v>
      </c>
      <c r="F1183" s="55" t="s">
        <v>21</v>
      </c>
      <c r="G1183" s="55" t="s">
        <v>19</v>
      </c>
      <c r="H1183" s="55">
        <v>1</v>
      </c>
      <c r="I1183" s="57"/>
    </row>
    <row r="1184" spans="1:9">
      <c r="A1184" s="53">
        <v>46080</v>
      </c>
      <c r="B1184" s="54">
        <f>Table134[[#This Row],[Date]]</f>
        <v>46080</v>
      </c>
      <c r="C1184" s="55" t="s">
        <v>23</v>
      </c>
      <c r="D1184" s="55"/>
      <c r="E1184" s="59" t="s">
        <v>146</v>
      </c>
      <c r="F1184" s="55" t="s">
        <v>147</v>
      </c>
      <c r="G1184" s="55" t="s">
        <v>19</v>
      </c>
      <c r="H1184" s="55">
        <v>1</v>
      </c>
      <c r="I1184" s="57"/>
    </row>
    <row r="1185" spans="1:9">
      <c r="A1185" s="53">
        <v>46080</v>
      </c>
      <c r="B1185" s="54">
        <f>Table134[[#This Row],[Date]]</f>
        <v>46080</v>
      </c>
      <c r="C1185" s="55" t="s">
        <v>23</v>
      </c>
      <c r="D1185" s="55"/>
      <c r="E1185" s="59" t="s">
        <v>146</v>
      </c>
      <c r="F1185" s="55" t="s">
        <v>148</v>
      </c>
      <c r="G1185" s="55" t="s">
        <v>19</v>
      </c>
      <c r="H1185" s="55">
        <v>1</v>
      </c>
      <c r="I1185" s="57"/>
    </row>
    <row r="1186" spans="1:9">
      <c r="A1186" s="16">
        <v>46081</v>
      </c>
      <c r="B1186" s="18">
        <f>Table134[[#This Row],[Date]]</f>
        <v>46081</v>
      </c>
      <c r="C1186" s="10" t="s">
        <v>14</v>
      </c>
      <c r="D1186" s="10"/>
      <c r="E1186" s="9" t="s">
        <v>144</v>
      </c>
      <c r="F1186" s="10" t="s">
        <v>18</v>
      </c>
      <c r="G1186" s="10" t="s">
        <v>19</v>
      </c>
      <c r="H1186" s="10">
        <v>1</v>
      </c>
      <c r="I1186" s="13"/>
    </row>
    <row r="1187" spans="1:9">
      <c r="A1187" s="16">
        <v>46081</v>
      </c>
      <c r="B1187" s="18">
        <f>Table134[[#This Row],[Date]]</f>
        <v>46081</v>
      </c>
      <c r="C1187" s="10" t="s">
        <v>14</v>
      </c>
      <c r="D1187" s="10"/>
      <c r="E1187" s="9" t="s">
        <v>144</v>
      </c>
      <c r="F1187" s="10" t="s">
        <v>21</v>
      </c>
      <c r="G1187" s="10" t="s">
        <v>19</v>
      </c>
      <c r="H1187" s="10">
        <v>1</v>
      </c>
      <c r="I1187" s="13"/>
    </row>
    <row r="1188" spans="1:9">
      <c r="A1188" s="16">
        <v>46081</v>
      </c>
      <c r="B1188" s="18">
        <f>Table134[[#This Row],[Date]]</f>
        <v>46081</v>
      </c>
      <c r="C1188" s="10" t="s">
        <v>23</v>
      </c>
      <c r="D1188" s="10"/>
      <c r="E1188" s="9" t="s">
        <v>143</v>
      </c>
      <c r="F1188" s="10" t="s">
        <v>41</v>
      </c>
      <c r="G1188" s="10" t="s">
        <v>19</v>
      </c>
      <c r="H1188" s="10">
        <v>1</v>
      </c>
      <c r="I1188" s="13"/>
    </row>
    <row r="1189" spans="1:9">
      <c r="A1189" s="16">
        <v>46081</v>
      </c>
      <c r="B1189" s="18">
        <f>Table134[[#This Row],[Date]]</f>
        <v>46081</v>
      </c>
      <c r="C1189" s="10" t="s">
        <v>23</v>
      </c>
      <c r="D1189" s="10"/>
      <c r="E1189" s="9" t="s">
        <v>143</v>
      </c>
      <c r="F1189" s="10" t="s">
        <v>42</v>
      </c>
      <c r="G1189" s="10" t="s">
        <v>19</v>
      </c>
      <c r="H1189" s="10">
        <v>1</v>
      </c>
      <c r="I1189" s="13"/>
    </row>
    <row r="1190" spans="1:9">
      <c r="A1190" s="53">
        <v>46083</v>
      </c>
      <c r="B1190" s="54">
        <f>Table134[[#This Row],[Date]]</f>
        <v>46083</v>
      </c>
      <c r="C1190" s="55" t="s">
        <v>23</v>
      </c>
      <c r="D1190" s="55"/>
      <c r="E1190" s="91" t="s">
        <v>24</v>
      </c>
      <c r="F1190" s="64" t="s">
        <v>18</v>
      </c>
      <c r="G1190" s="55" t="s">
        <v>19</v>
      </c>
      <c r="H1190" s="55">
        <v>1</v>
      </c>
      <c r="I1190" s="57"/>
    </row>
    <row r="1191" spans="1:9">
      <c r="A1191" s="41">
        <v>46083</v>
      </c>
      <c r="B1191" s="42">
        <f>Table134[[#This Row],[Date]]</f>
        <v>46083</v>
      </c>
      <c r="C1191" s="43" t="s">
        <v>23</v>
      </c>
      <c r="D1191" s="43"/>
      <c r="E1191" s="153" t="s">
        <v>25</v>
      </c>
      <c r="F1191" s="90" t="s">
        <v>18</v>
      </c>
      <c r="G1191" s="43" t="s">
        <v>19</v>
      </c>
      <c r="H1191" s="43">
        <v>1</v>
      </c>
      <c r="I1191" s="45"/>
    </row>
    <row r="1192" spans="1:9">
      <c r="A1192" s="41">
        <v>46083</v>
      </c>
      <c r="B1192" s="42">
        <f>Table134[[#This Row],[Date]]</f>
        <v>46083</v>
      </c>
      <c r="C1192" s="43" t="s">
        <v>23</v>
      </c>
      <c r="D1192" s="43"/>
      <c r="E1192" s="153" t="s">
        <v>25</v>
      </c>
      <c r="F1192" s="90" t="s">
        <v>21</v>
      </c>
      <c r="G1192" s="43" t="s">
        <v>19</v>
      </c>
      <c r="H1192" s="43">
        <v>1</v>
      </c>
      <c r="I1192" s="45"/>
    </row>
    <row r="1193" spans="1:9">
      <c r="A1193" s="41">
        <v>46083</v>
      </c>
      <c r="B1193" s="42">
        <f>Table134[[#This Row],[Date]]</f>
        <v>46083</v>
      </c>
      <c r="C1193" s="43"/>
      <c r="D1193" s="43"/>
      <c r="E1193" s="44" t="s">
        <v>205</v>
      </c>
      <c r="F1193" s="43"/>
      <c r="G1193" s="43"/>
      <c r="H1193" s="43"/>
      <c r="I1193" s="45"/>
    </row>
    <row r="1194" spans="1:9">
      <c r="A1194" s="53">
        <v>46084</v>
      </c>
      <c r="B1194" s="54">
        <f>Table134[[#This Row],[Date]]</f>
        <v>46084</v>
      </c>
      <c r="C1194" s="55" t="s">
        <v>26</v>
      </c>
      <c r="D1194" s="55"/>
      <c r="E1194" s="74" t="s">
        <v>27</v>
      </c>
      <c r="F1194" s="55" t="s">
        <v>18</v>
      </c>
      <c r="G1194" s="55" t="s">
        <v>19</v>
      </c>
      <c r="H1194" s="55">
        <v>1</v>
      </c>
      <c r="I1194" s="57"/>
    </row>
    <row r="1195" spans="1:9">
      <c r="A1195" s="53">
        <v>46084</v>
      </c>
      <c r="B1195" s="54">
        <f>Table134[[#This Row],[Date]]</f>
        <v>46084</v>
      </c>
      <c r="C1195" s="55" t="s">
        <v>26</v>
      </c>
      <c r="D1195" s="55"/>
      <c r="E1195" s="74" t="s">
        <v>27</v>
      </c>
      <c r="F1195" s="55" t="s">
        <v>28</v>
      </c>
      <c r="G1195" s="55" t="s">
        <v>19</v>
      </c>
      <c r="H1195" s="55">
        <v>1</v>
      </c>
      <c r="I1195" s="57"/>
    </row>
    <row r="1196" spans="1:9">
      <c r="A1196" s="53">
        <v>46084</v>
      </c>
      <c r="B1196" s="54">
        <f>Table134[[#This Row],[Date]]</f>
        <v>46084</v>
      </c>
      <c r="C1196" s="55" t="s">
        <v>26</v>
      </c>
      <c r="D1196" s="55"/>
      <c r="E1196" s="74" t="s">
        <v>29</v>
      </c>
      <c r="F1196" s="55" t="s">
        <v>18</v>
      </c>
      <c r="G1196" s="55" t="s">
        <v>19</v>
      </c>
      <c r="H1196" s="55">
        <v>1</v>
      </c>
      <c r="I1196" s="57"/>
    </row>
    <row r="1197" spans="1:9">
      <c r="A1197" s="53">
        <v>46084</v>
      </c>
      <c r="B1197" s="54">
        <f>Table134[[#This Row],[Date]]</f>
        <v>46084</v>
      </c>
      <c r="C1197" s="55" t="s">
        <v>26</v>
      </c>
      <c r="D1197" s="55"/>
      <c r="E1197" s="74" t="s">
        <v>29</v>
      </c>
      <c r="F1197" s="55" t="s">
        <v>28</v>
      </c>
      <c r="G1197" s="55" t="s">
        <v>19</v>
      </c>
      <c r="H1197" s="55">
        <v>1</v>
      </c>
      <c r="I1197" s="57"/>
    </row>
    <row r="1198" spans="1:9">
      <c r="A1198" s="48">
        <v>46084</v>
      </c>
      <c r="B1198" s="49">
        <f>Table134[[#This Row],[Date]]</f>
        <v>46084</v>
      </c>
      <c r="C1198" s="50" t="s">
        <v>4</v>
      </c>
      <c r="D1198" s="50"/>
      <c r="E1198" s="51" t="s">
        <v>32</v>
      </c>
      <c r="F1198" s="50"/>
      <c r="G1198" s="50"/>
      <c r="H1198" s="50"/>
      <c r="I1198" s="52"/>
    </row>
    <row r="1199" spans="1:9">
      <c r="A1199" s="53">
        <v>46085</v>
      </c>
      <c r="B1199" s="54">
        <f>Table134[[#This Row],[Date]]</f>
        <v>46085</v>
      </c>
      <c r="C1199" s="55" t="s">
        <v>14</v>
      </c>
      <c r="D1199" s="55"/>
      <c r="E1199" s="91" t="s">
        <v>33</v>
      </c>
      <c r="F1199" s="77" t="s">
        <v>18</v>
      </c>
      <c r="G1199" s="55" t="s">
        <v>19</v>
      </c>
      <c r="H1199" s="55">
        <v>1</v>
      </c>
      <c r="I1199" s="57"/>
    </row>
    <row r="1200" spans="1:9">
      <c r="A1200" s="53">
        <v>46085</v>
      </c>
      <c r="B1200" s="54">
        <f>Table134[[#This Row],[Date]]</f>
        <v>46085</v>
      </c>
      <c r="C1200" s="55" t="s">
        <v>14</v>
      </c>
      <c r="D1200" s="55"/>
      <c r="E1200" s="91" t="s">
        <v>33</v>
      </c>
      <c r="F1200" s="55" t="s">
        <v>21</v>
      </c>
      <c r="G1200" s="55" t="s">
        <v>19</v>
      </c>
      <c r="H1200" s="55">
        <v>1</v>
      </c>
      <c r="I1200" s="57"/>
    </row>
    <row r="1201" spans="1:9">
      <c r="A1201" s="53">
        <v>46085</v>
      </c>
      <c r="B1201" s="54">
        <f>Table134[[#This Row],[Date]]</f>
        <v>46085</v>
      </c>
      <c r="C1201" s="55" t="s">
        <v>14</v>
      </c>
      <c r="D1201" s="55"/>
      <c r="E1201" s="91" t="s">
        <v>33</v>
      </c>
      <c r="F1201" s="77" t="s">
        <v>34</v>
      </c>
      <c r="G1201" s="55" t="s">
        <v>19</v>
      </c>
      <c r="H1201" s="55">
        <v>1</v>
      </c>
      <c r="I1201" s="57"/>
    </row>
    <row r="1202" spans="1:9">
      <c r="A1202" s="53">
        <v>46085</v>
      </c>
      <c r="B1202" s="54">
        <f>Table134[[#This Row],[Date]]</f>
        <v>46085</v>
      </c>
      <c r="C1202" s="55" t="s">
        <v>14</v>
      </c>
      <c r="D1202" s="55"/>
      <c r="E1202" s="91" t="s">
        <v>33</v>
      </c>
      <c r="F1202" s="77" t="s">
        <v>35</v>
      </c>
      <c r="G1202" s="55" t="s">
        <v>19</v>
      </c>
      <c r="H1202" s="55">
        <v>1</v>
      </c>
      <c r="I1202" s="57"/>
    </row>
    <row r="1203" spans="1:9">
      <c r="A1203" s="53">
        <v>46085</v>
      </c>
      <c r="B1203" s="54">
        <f>Table134[[#This Row],[Date]]</f>
        <v>46085</v>
      </c>
      <c r="C1203" s="55" t="s">
        <v>23</v>
      </c>
      <c r="D1203" s="55"/>
      <c r="E1203" s="59" t="s">
        <v>36</v>
      </c>
      <c r="F1203" s="55" t="s">
        <v>18</v>
      </c>
      <c r="G1203" s="55" t="s">
        <v>19</v>
      </c>
      <c r="H1203" s="55">
        <v>1</v>
      </c>
      <c r="I1203" s="57"/>
    </row>
    <row r="1204" spans="1:9">
      <c r="A1204" s="53">
        <v>46085</v>
      </c>
      <c r="B1204" s="54">
        <f>Table134[[#This Row],[Date]]</f>
        <v>46085</v>
      </c>
      <c r="C1204" s="55" t="s">
        <v>26</v>
      </c>
      <c r="D1204" s="55"/>
      <c r="E1204" s="74" t="s">
        <v>30</v>
      </c>
      <c r="F1204" s="55" t="s">
        <v>18</v>
      </c>
      <c r="G1204" s="55" t="s">
        <v>19</v>
      </c>
      <c r="H1204" s="55">
        <v>1</v>
      </c>
      <c r="I1204" s="57"/>
    </row>
    <row r="1205" spans="1:9">
      <c r="A1205" s="53">
        <v>46085</v>
      </c>
      <c r="B1205" s="54">
        <f>Table134[[#This Row],[Date]]</f>
        <v>46085</v>
      </c>
      <c r="C1205" s="55" t="s">
        <v>26</v>
      </c>
      <c r="D1205" s="55"/>
      <c r="E1205" s="74" t="s">
        <v>30</v>
      </c>
      <c r="F1205" s="55" t="s">
        <v>28</v>
      </c>
      <c r="G1205" s="55" t="s">
        <v>19</v>
      </c>
      <c r="H1205" s="55">
        <v>1</v>
      </c>
      <c r="I1205" s="57"/>
    </row>
    <row r="1206" spans="1:9">
      <c r="A1206" s="53">
        <v>46085</v>
      </c>
      <c r="B1206" s="54">
        <f>Table134[[#This Row],[Date]]</f>
        <v>46085</v>
      </c>
      <c r="C1206" s="55" t="s">
        <v>26</v>
      </c>
      <c r="D1206" s="55"/>
      <c r="E1206" s="74" t="s">
        <v>31</v>
      </c>
      <c r="F1206" s="55" t="s">
        <v>18</v>
      </c>
      <c r="G1206" s="55" t="s">
        <v>19</v>
      </c>
      <c r="H1206" s="55">
        <v>1</v>
      </c>
      <c r="I1206" s="57"/>
    </row>
    <row r="1207" spans="1:9">
      <c r="A1207" s="53">
        <v>46085</v>
      </c>
      <c r="B1207" s="54">
        <f>Table134[[#This Row],[Date]]</f>
        <v>46085</v>
      </c>
      <c r="C1207" s="55" t="s">
        <v>26</v>
      </c>
      <c r="D1207" s="55"/>
      <c r="E1207" s="74" t="s">
        <v>31</v>
      </c>
      <c r="F1207" s="55" t="s">
        <v>28</v>
      </c>
      <c r="G1207" s="55" t="s">
        <v>19</v>
      </c>
      <c r="H1207" s="55">
        <v>1</v>
      </c>
      <c r="I1207" s="57"/>
    </row>
    <row r="1208" spans="1:9">
      <c r="A1208" s="53">
        <v>46086</v>
      </c>
      <c r="B1208" s="54">
        <f>Table134[[#This Row],[Date]]</f>
        <v>46086</v>
      </c>
      <c r="C1208" s="55" t="s">
        <v>14</v>
      </c>
      <c r="D1208" s="55"/>
      <c r="E1208" s="91" t="s">
        <v>33</v>
      </c>
      <c r="F1208" s="64" t="s">
        <v>41</v>
      </c>
      <c r="G1208" s="55" t="s">
        <v>19</v>
      </c>
      <c r="H1208" s="55">
        <v>1</v>
      </c>
      <c r="I1208" s="57"/>
    </row>
    <row r="1209" spans="1:9">
      <c r="A1209" s="53">
        <v>46086</v>
      </c>
      <c r="B1209" s="54">
        <f>Table134[[#This Row],[Date]]</f>
        <v>46086</v>
      </c>
      <c r="C1209" s="55" t="s">
        <v>14</v>
      </c>
      <c r="D1209" s="55"/>
      <c r="E1209" s="91" t="s">
        <v>33</v>
      </c>
      <c r="F1209" s="55" t="s">
        <v>42</v>
      </c>
      <c r="G1209" s="55" t="s">
        <v>19</v>
      </c>
      <c r="H1209" s="55">
        <v>1</v>
      </c>
      <c r="I1209" s="57"/>
    </row>
    <row r="1210" spans="1:9">
      <c r="A1210" s="53">
        <v>46086</v>
      </c>
      <c r="B1210" s="54">
        <f>Table134[[#This Row],[Date]]</f>
        <v>46086</v>
      </c>
      <c r="C1210" s="55" t="s">
        <v>14</v>
      </c>
      <c r="D1210" s="55"/>
      <c r="E1210" s="91" t="s">
        <v>33</v>
      </c>
      <c r="F1210" s="55" t="s">
        <v>43</v>
      </c>
      <c r="G1210" s="55" t="s">
        <v>19</v>
      </c>
      <c r="H1210" s="55">
        <v>1</v>
      </c>
      <c r="I1210" s="57"/>
    </row>
    <row r="1211" spans="1:9">
      <c r="A1211" s="53">
        <v>46086</v>
      </c>
      <c r="B1211" s="54">
        <f>Table134[[#This Row],[Date]]</f>
        <v>46086</v>
      </c>
      <c r="C1211" s="55" t="s">
        <v>14</v>
      </c>
      <c r="D1211" s="55"/>
      <c r="E1211" s="91" t="s">
        <v>33</v>
      </c>
      <c r="F1211" s="64" t="s">
        <v>44</v>
      </c>
      <c r="G1211" s="55" t="s">
        <v>19</v>
      </c>
      <c r="H1211" s="55">
        <v>1</v>
      </c>
      <c r="I1211" s="57"/>
    </row>
    <row r="1212" spans="1:9">
      <c r="A1212" s="53">
        <v>46086</v>
      </c>
      <c r="B1212" s="54">
        <f>Table134[[#This Row],[Date]]</f>
        <v>46086</v>
      </c>
      <c r="C1212" s="55" t="s">
        <v>14</v>
      </c>
      <c r="D1212" s="55"/>
      <c r="E1212" s="91" t="s">
        <v>33</v>
      </c>
      <c r="F1212" s="64" t="s">
        <v>45</v>
      </c>
      <c r="G1212" s="55" t="s">
        <v>19</v>
      </c>
      <c r="H1212" s="55">
        <v>1</v>
      </c>
      <c r="I1212" s="57"/>
    </row>
    <row r="1213" spans="1:9">
      <c r="A1213" s="53">
        <v>46086</v>
      </c>
      <c r="B1213" s="54">
        <f>Table134[[#This Row],[Date]]</f>
        <v>46086</v>
      </c>
      <c r="C1213" s="55" t="s">
        <v>16</v>
      </c>
      <c r="D1213" s="55"/>
      <c r="E1213" s="59" t="s">
        <v>46</v>
      </c>
      <c r="F1213" s="64" t="s">
        <v>18</v>
      </c>
      <c r="G1213" s="55" t="s">
        <v>19</v>
      </c>
      <c r="H1213" s="55">
        <v>1</v>
      </c>
      <c r="I1213" s="57"/>
    </row>
    <row r="1214" spans="1:9">
      <c r="A1214" s="53">
        <v>46086</v>
      </c>
      <c r="B1214" s="54">
        <f>Table134[[#This Row],[Date]]</f>
        <v>46086</v>
      </c>
      <c r="C1214" s="55" t="s">
        <v>16</v>
      </c>
      <c r="D1214" s="55"/>
      <c r="E1214" s="59" t="s">
        <v>46</v>
      </c>
      <c r="F1214" s="64" t="s">
        <v>21</v>
      </c>
      <c r="G1214" s="55" t="s">
        <v>19</v>
      </c>
      <c r="H1214" s="55">
        <v>1</v>
      </c>
      <c r="I1214" s="57"/>
    </row>
    <row r="1215" spans="1:9">
      <c r="A1215" s="53">
        <v>46086</v>
      </c>
      <c r="B1215" s="54">
        <f>Table134[[#This Row],[Date]]</f>
        <v>46086</v>
      </c>
      <c r="C1215" s="55" t="s">
        <v>16</v>
      </c>
      <c r="D1215" s="55"/>
      <c r="E1215" s="59" t="s">
        <v>46</v>
      </c>
      <c r="F1215" s="64" t="s">
        <v>47</v>
      </c>
      <c r="G1215" s="55" t="s">
        <v>19</v>
      </c>
      <c r="H1215" s="55">
        <v>1</v>
      </c>
      <c r="I1215" s="57"/>
    </row>
    <row r="1216" spans="1:9">
      <c r="A1216" s="53">
        <v>46086</v>
      </c>
      <c r="B1216" s="54">
        <f>Table134[[#This Row],[Date]]</f>
        <v>46086</v>
      </c>
      <c r="C1216" s="55" t="s">
        <v>26</v>
      </c>
      <c r="D1216" s="55"/>
      <c r="E1216" s="74" t="s">
        <v>39</v>
      </c>
      <c r="F1216" s="55" t="s">
        <v>18</v>
      </c>
      <c r="G1216" s="55" t="s">
        <v>19</v>
      </c>
      <c r="H1216" s="55">
        <v>1</v>
      </c>
      <c r="I1216" s="57"/>
    </row>
    <row r="1217" spans="1:9">
      <c r="A1217" s="53">
        <v>46086</v>
      </c>
      <c r="B1217" s="54">
        <f>Table134[[#This Row],[Date]]</f>
        <v>46086</v>
      </c>
      <c r="C1217" s="55" t="s">
        <v>26</v>
      </c>
      <c r="D1217" s="55"/>
      <c r="E1217" s="74" t="s">
        <v>39</v>
      </c>
      <c r="F1217" s="55" t="s">
        <v>28</v>
      </c>
      <c r="G1217" s="55" t="s">
        <v>19</v>
      </c>
      <c r="H1217" s="55">
        <v>1</v>
      </c>
      <c r="I1217" s="57"/>
    </row>
    <row r="1218" spans="1:9">
      <c r="A1218" s="53">
        <v>46086</v>
      </c>
      <c r="B1218" s="54">
        <f>Table134[[#This Row],[Date]]</f>
        <v>46086</v>
      </c>
      <c r="C1218" s="55" t="s">
        <v>26</v>
      </c>
      <c r="D1218" s="55"/>
      <c r="E1218" s="74" t="s">
        <v>40</v>
      </c>
      <c r="F1218" s="55" t="s">
        <v>18</v>
      </c>
      <c r="G1218" s="55" t="s">
        <v>19</v>
      </c>
      <c r="H1218" s="55">
        <v>1</v>
      </c>
      <c r="I1218" s="57"/>
    </row>
    <row r="1219" spans="1:9">
      <c r="A1219" s="53">
        <v>46086</v>
      </c>
      <c r="B1219" s="54">
        <f>Table134[[#This Row],[Date]]</f>
        <v>46086</v>
      </c>
      <c r="C1219" s="55" t="s">
        <v>26</v>
      </c>
      <c r="D1219" s="55"/>
      <c r="E1219" s="74" t="s">
        <v>40</v>
      </c>
      <c r="F1219" s="55" t="s">
        <v>28</v>
      </c>
      <c r="G1219" s="55" t="s">
        <v>19</v>
      </c>
      <c r="H1219" s="55">
        <v>1</v>
      </c>
      <c r="I1219" s="57"/>
    </row>
    <row r="1220" spans="1:9">
      <c r="A1220" s="103">
        <v>46087</v>
      </c>
      <c r="B1220" s="104">
        <f>Table134[[#This Row],[Date]]</f>
        <v>46087</v>
      </c>
      <c r="C1220" s="105" t="s">
        <v>16</v>
      </c>
      <c r="D1220" s="105"/>
      <c r="E1220" s="117" t="s">
        <v>50</v>
      </c>
      <c r="F1220" s="107" t="s">
        <v>47</v>
      </c>
      <c r="G1220" s="105" t="s">
        <v>19</v>
      </c>
      <c r="H1220" s="105">
        <v>1</v>
      </c>
      <c r="I1220" s="108"/>
    </row>
    <row r="1221" spans="1:9">
      <c r="A1221" s="103">
        <v>46087</v>
      </c>
      <c r="B1221" s="104">
        <f>Table134[[#This Row],[Date]]</f>
        <v>46087</v>
      </c>
      <c r="C1221" s="105" t="s">
        <v>16</v>
      </c>
      <c r="D1221" s="105"/>
      <c r="E1221" s="117" t="s">
        <v>50</v>
      </c>
      <c r="F1221" s="107" t="s">
        <v>18</v>
      </c>
      <c r="G1221" s="105" t="s">
        <v>19</v>
      </c>
      <c r="H1221" s="105">
        <v>1</v>
      </c>
      <c r="I1221" s="108"/>
    </row>
    <row r="1222" spans="1:9">
      <c r="A1222" s="103">
        <v>46087</v>
      </c>
      <c r="B1222" s="104">
        <f>Table134[[#This Row],[Date]]</f>
        <v>46087</v>
      </c>
      <c r="C1222" s="105" t="s">
        <v>16</v>
      </c>
      <c r="D1222" s="105"/>
      <c r="E1222" s="117" t="s">
        <v>50</v>
      </c>
      <c r="F1222" s="107" t="s">
        <v>21</v>
      </c>
      <c r="G1222" s="105" t="s">
        <v>19</v>
      </c>
      <c r="H1222" s="105">
        <v>1</v>
      </c>
      <c r="I1222" s="108"/>
    </row>
    <row r="1223" spans="1:9">
      <c r="A1223" s="53">
        <v>46087</v>
      </c>
      <c r="B1223" s="54">
        <f>Table134[[#This Row],[Date]]</f>
        <v>46087</v>
      </c>
      <c r="C1223" s="55" t="s">
        <v>23</v>
      </c>
      <c r="D1223" s="55"/>
      <c r="E1223" s="123" t="s">
        <v>52</v>
      </c>
      <c r="F1223" s="64" t="s">
        <v>47</v>
      </c>
      <c r="G1223" s="55" t="s">
        <v>19</v>
      </c>
      <c r="H1223" s="55">
        <v>1</v>
      </c>
      <c r="I1223" s="57"/>
    </row>
    <row r="1224" spans="1:9">
      <c r="A1224" s="53">
        <v>46087</v>
      </c>
      <c r="B1224" s="54">
        <f>Table134[[#This Row],[Date]]</f>
        <v>46087</v>
      </c>
      <c r="C1224" s="55" t="s">
        <v>23</v>
      </c>
      <c r="D1224" s="55"/>
      <c r="E1224" s="123" t="s">
        <v>52</v>
      </c>
      <c r="F1224" s="64" t="s">
        <v>53</v>
      </c>
      <c r="G1224" s="55" t="s">
        <v>19</v>
      </c>
      <c r="H1224" s="55">
        <v>1</v>
      </c>
      <c r="I1224" s="57"/>
    </row>
    <row r="1225" spans="1:9">
      <c r="A1225" s="53">
        <v>46087</v>
      </c>
      <c r="B1225" s="54">
        <f>Table134[[#This Row],[Date]]</f>
        <v>46087</v>
      </c>
      <c r="C1225" s="55" t="s">
        <v>23</v>
      </c>
      <c r="D1225" s="55"/>
      <c r="E1225" s="91" t="s">
        <v>54</v>
      </c>
      <c r="F1225" s="64" t="s">
        <v>18</v>
      </c>
      <c r="G1225" s="55" t="s">
        <v>19</v>
      </c>
      <c r="H1225" s="55">
        <v>1</v>
      </c>
      <c r="I1225" s="57"/>
    </row>
    <row r="1226" spans="1:9">
      <c r="A1226" s="53">
        <v>46087</v>
      </c>
      <c r="B1226" s="54">
        <f>Table134[[#This Row],[Date]]</f>
        <v>46087</v>
      </c>
      <c r="C1226" s="55" t="s">
        <v>23</v>
      </c>
      <c r="D1226" s="55"/>
      <c r="E1226" s="91" t="s">
        <v>54</v>
      </c>
      <c r="F1226" s="64" t="s">
        <v>21</v>
      </c>
      <c r="G1226" s="55" t="s">
        <v>19</v>
      </c>
      <c r="H1226" s="55">
        <v>1</v>
      </c>
      <c r="I1226" s="57"/>
    </row>
    <row r="1227" spans="1:9">
      <c r="A1227" s="53">
        <v>46087</v>
      </c>
      <c r="B1227" s="54">
        <f>Table134[[#This Row],[Date]]</f>
        <v>46087</v>
      </c>
      <c r="C1227" s="55" t="s">
        <v>26</v>
      </c>
      <c r="D1227" s="55"/>
      <c r="E1227" s="61" t="s">
        <v>48</v>
      </c>
      <c r="F1227" s="64" t="s">
        <v>18</v>
      </c>
      <c r="G1227" s="55" t="s">
        <v>19</v>
      </c>
      <c r="H1227" s="55">
        <v>1</v>
      </c>
      <c r="I1227" s="57"/>
    </row>
    <row r="1228" spans="1:9">
      <c r="A1228" s="53">
        <v>46087</v>
      </c>
      <c r="B1228" s="54">
        <f>Table134[[#This Row],[Date]]</f>
        <v>46087</v>
      </c>
      <c r="C1228" s="55" t="s">
        <v>26</v>
      </c>
      <c r="D1228" s="55"/>
      <c r="E1228" s="61" t="s">
        <v>48</v>
      </c>
      <c r="F1228" s="64" t="s">
        <v>21</v>
      </c>
      <c r="G1228" s="55" t="s">
        <v>19</v>
      </c>
      <c r="H1228" s="55">
        <v>1</v>
      </c>
      <c r="I1228" s="57"/>
    </row>
    <row r="1229" spans="1:9">
      <c r="A1229" s="53">
        <v>46087</v>
      </c>
      <c r="B1229" s="54">
        <f>Table134[[#This Row],[Date]]</f>
        <v>46087</v>
      </c>
      <c r="C1229" s="55" t="s">
        <v>26</v>
      </c>
      <c r="D1229" s="55"/>
      <c r="E1229" s="61" t="s">
        <v>48</v>
      </c>
      <c r="F1229" s="64" t="s">
        <v>49</v>
      </c>
      <c r="G1229" s="55" t="s">
        <v>19</v>
      </c>
      <c r="H1229" s="55">
        <v>1</v>
      </c>
      <c r="I1229" s="57"/>
    </row>
    <row r="1230" spans="1:9">
      <c r="A1230" s="53">
        <v>46087</v>
      </c>
      <c r="B1230" s="54">
        <f>Table134[[#This Row],[Date]]</f>
        <v>46087</v>
      </c>
      <c r="C1230" s="55" t="s">
        <v>26</v>
      </c>
      <c r="D1230" s="55"/>
      <c r="E1230" s="61" t="s">
        <v>48</v>
      </c>
      <c r="F1230" s="64" t="s">
        <v>41</v>
      </c>
      <c r="G1230" s="55" t="s">
        <v>19</v>
      </c>
      <c r="H1230" s="55">
        <v>1</v>
      </c>
      <c r="I1230" s="57"/>
    </row>
    <row r="1231" spans="1:9" ht="28.9">
      <c r="A1231" s="16">
        <v>46089</v>
      </c>
      <c r="B1231" s="18">
        <f>Table134[[#This Row],[Date]]</f>
        <v>46089</v>
      </c>
      <c r="C1231" s="10" t="s">
        <v>16</v>
      </c>
      <c r="D1231" s="10"/>
      <c r="E1231" s="9" t="s">
        <v>62</v>
      </c>
      <c r="F1231" s="10" t="s">
        <v>18</v>
      </c>
      <c r="G1231" s="10" t="s">
        <v>19</v>
      </c>
      <c r="H1231" s="10">
        <v>1</v>
      </c>
      <c r="I1231" s="13"/>
    </row>
    <row r="1232" spans="1:9">
      <c r="A1232" s="16">
        <v>46089</v>
      </c>
      <c r="B1232" s="18">
        <f>Table134[[#This Row],[Date]]</f>
        <v>46089</v>
      </c>
      <c r="C1232" s="10" t="s">
        <v>16</v>
      </c>
      <c r="D1232" s="10"/>
      <c r="E1232" s="9" t="s">
        <v>63</v>
      </c>
      <c r="F1232" s="10" t="s">
        <v>18</v>
      </c>
      <c r="G1232" s="10" t="s">
        <v>19</v>
      </c>
      <c r="H1232" s="10">
        <v>1</v>
      </c>
      <c r="I1232" s="13"/>
    </row>
    <row r="1233" spans="1:9">
      <c r="A1233" s="53">
        <v>46090</v>
      </c>
      <c r="B1233" s="54">
        <f>Table134[[#This Row],[Date]]</f>
        <v>46090</v>
      </c>
      <c r="C1233" s="55" t="s">
        <v>23</v>
      </c>
      <c r="D1233" s="55"/>
      <c r="E1233" s="59" t="s">
        <v>68</v>
      </c>
      <c r="F1233" s="65" t="s">
        <v>18</v>
      </c>
      <c r="G1233" s="55" t="s">
        <v>19</v>
      </c>
      <c r="H1233" s="55">
        <v>1</v>
      </c>
      <c r="I1233" s="57"/>
    </row>
    <row r="1234" spans="1:9">
      <c r="A1234" s="53">
        <v>46090</v>
      </c>
      <c r="B1234" s="54">
        <f>Table134[[#This Row],[Date]]</f>
        <v>46090</v>
      </c>
      <c r="C1234" s="55" t="s">
        <v>23</v>
      </c>
      <c r="D1234" s="57"/>
      <c r="E1234" s="69" t="s">
        <v>68</v>
      </c>
      <c r="F1234" s="65" t="s">
        <v>21</v>
      </c>
      <c r="G1234" s="55" t="s">
        <v>19</v>
      </c>
      <c r="H1234" s="55">
        <v>1</v>
      </c>
      <c r="I1234" s="57"/>
    </row>
    <row r="1235" spans="1:9">
      <c r="A1235" s="53">
        <v>46090</v>
      </c>
      <c r="B1235" s="54">
        <f>Table134[[#This Row],[Date]]</f>
        <v>46090</v>
      </c>
      <c r="C1235" s="55" t="s">
        <v>23</v>
      </c>
      <c r="D1235" s="55"/>
      <c r="E1235" s="59" t="s">
        <v>68</v>
      </c>
      <c r="F1235" s="64" t="s">
        <v>49</v>
      </c>
      <c r="G1235" s="55" t="s">
        <v>19</v>
      </c>
      <c r="H1235" s="55">
        <v>1</v>
      </c>
      <c r="I1235" s="57"/>
    </row>
    <row r="1236" spans="1:9">
      <c r="A1236" s="53">
        <v>46090</v>
      </c>
      <c r="B1236" s="54">
        <f>Table134[[#This Row],[Date]]</f>
        <v>46090</v>
      </c>
      <c r="C1236" s="55" t="s">
        <v>23</v>
      </c>
      <c r="D1236" s="55"/>
      <c r="E1236" s="59" t="s">
        <v>68</v>
      </c>
      <c r="F1236" s="64" t="s">
        <v>41</v>
      </c>
      <c r="G1236" s="55" t="s">
        <v>19</v>
      </c>
      <c r="H1236" s="55">
        <v>1</v>
      </c>
      <c r="I1236" s="57"/>
    </row>
    <row r="1237" spans="1:9">
      <c r="A1237" s="53">
        <v>46090</v>
      </c>
      <c r="B1237" s="54">
        <f>Table134[[#This Row],[Date]]</f>
        <v>46090</v>
      </c>
      <c r="C1237" s="55" t="s">
        <v>26</v>
      </c>
      <c r="D1237" s="55"/>
      <c r="E1237" s="61" t="s">
        <v>69</v>
      </c>
      <c r="F1237" s="64" t="s">
        <v>18</v>
      </c>
      <c r="G1237" s="55" t="s">
        <v>19</v>
      </c>
      <c r="H1237" s="55">
        <v>1</v>
      </c>
      <c r="I1237" s="57"/>
    </row>
    <row r="1238" spans="1:9">
      <c r="A1238" s="53">
        <v>46090</v>
      </c>
      <c r="B1238" s="54">
        <f>Table134[[#This Row],[Date]]</f>
        <v>46090</v>
      </c>
      <c r="C1238" s="55" t="s">
        <v>26</v>
      </c>
      <c r="D1238" s="55"/>
      <c r="E1238" s="61" t="s">
        <v>69</v>
      </c>
      <c r="F1238" s="64" t="s">
        <v>21</v>
      </c>
      <c r="G1238" s="55" t="s">
        <v>19</v>
      </c>
      <c r="H1238" s="55">
        <v>1</v>
      </c>
      <c r="I1238" s="57"/>
    </row>
    <row r="1239" spans="1:9">
      <c r="A1239" s="53">
        <v>46090</v>
      </c>
      <c r="B1239" s="54">
        <f>Table134[[#This Row],[Date]]</f>
        <v>46090</v>
      </c>
      <c r="C1239" s="55" t="s">
        <v>26</v>
      </c>
      <c r="D1239" s="55"/>
      <c r="E1239" s="61" t="s">
        <v>69</v>
      </c>
      <c r="F1239" s="64" t="s">
        <v>49</v>
      </c>
      <c r="G1239" s="55" t="s">
        <v>19</v>
      </c>
      <c r="H1239" s="55">
        <v>1</v>
      </c>
      <c r="I1239" s="57"/>
    </row>
    <row r="1240" spans="1:9">
      <c r="A1240" s="53">
        <v>46090</v>
      </c>
      <c r="B1240" s="54">
        <f>Table134[[#This Row],[Date]]</f>
        <v>46090</v>
      </c>
      <c r="C1240" s="55" t="s">
        <v>26</v>
      </c>
      <c r="D1240" s="55"/>
      <c r="E1240" s="61" t="s">
        <v>69</v>
      </c>
      <c r="F1240" s="64" t="s">
        <v>41</v>
      </c>
      <c r="G1240" s="55" t="s">
        <v>19</v>
      </c>
      <c r="H1240" s="55">
        <v>1</v>
      </c>
      <c r="I1240" s="57"/>
    </row>
    <row r="1241" spans="1:9">
      <c r="A1241" s="53">
        <v>46091</v>
      </c>
      <c r="B1241" s="54">
        <f>Table134[[#This Row],[Date]]</f>
        <v>46091</v>
      </c>
      <c r="C1241" s="55" t="s">
        <v>14</v>
      </c>
      <c r="D1241" s="55"/>
      <c r="E1241" s="59" t="s">
        <v>104</v>
      </c>
      <c r="F1241" s="55" t="s">
        <v>59</v>
      </c>
      <c r="G1241" s="55" t="s">
        <v>60</v>
      </c>
      <c r="H1241" s="55">
        <v>1</v>
      </c>
      <c r="I1241" s="57"/>
    </row>
    <row r="1242" spans="1:9">
      <c r="A1242" s="53">
        <v>46091</v>
      </c>
      <c r="B1242" s="54">
        <f>Table134[[#This Row],[Date]]</f>
        <v>46091</v>
      </c>
      <c r="C1242" s="55" t="s">
        <v>14</v>
      </c>
      <c r="D1242" s="55"/>
      <c r="E1242" s="59" t="s">
        <v>104</v>
      </c>
      <c r="F1242" s="55" t="s">
        <v>61</v>
      </c>
      <c r="G1242" s="55" t="s">
        <v>60</v>
      </c>
      <c r="H1242" s="55">
        <v>1</v>
      </c>
      <c r="I1242" s="57"/>
    </row>
    <row r="1243" spans="1:9">
      <c r="A1243" s="53">
        <v>46091</v>
      </c>
      <c r="B1243" s="54">
        <f>Table134[[#This Row],[Date]]</f>
        <v>46091</v>
      </c>
      <c r="C1243" s="55" t="s">
        <v>26</v>
      </c>
      <c r="D1243" s="55"/>
      <c r="E1243" s="61" t="s">
        <v>55</v>
      </c>
      <c r="F1243" s="64" t="s">
        <v>18</v>
      </c>
      <c r="G1243" s="55" t="s">
        <v>19</v>
      </c>
      <c r="H1243" s="55">
        <v>1</v>
      </c>
      <c r="I1243" s="57"/>
    </row>
    <row r="1244" spans="1:9">
      <c r="A1244" s="53">
        <v>46091</v>
      </c>
      <c r="B1244" s="54">
        <f>Table134[[#This Row],[Date]]</f>
        <v>46091</v>
      </c>
      <c r="C1244" s="55" t="s">
        <v>26</v>
      </c>
      <c r="D1244" s="55"/>
      <c r="E1244" s="61" t="s">
        <v>55</v>
      </c>
      <c r="F1244" s="64" t="s">
        <v>21</v>
      </c>
      <c r="G1244" s="55" t="s">
        <v>19</v>
      </c>
      <c r="H1244" s="55">
        <v>1</v>
      </c>
      <c r="I1244" s="57"/>
    </row>
    <row r="1245" spans="1:9">
      <c r="A1245" s="48">
        <v>46091</v>
      </c>
      <c r="B1245" s="49">
        <f>Table134[[#This Row],[Date]]</f>
        <v>46091</v>
      </c>
      <c r="C1245" s="50" t="s">
        <v>4</v>
      </c>
      <c r="D1245" s="50"/>
      <c r="E1245" s="51" t="s">
        <v>32</v>
      </c>
      <c r="F1245" s="50"/>
      <c r="G1245" s="50"/>
      <c r="H1245" s="50"/>
      <c r="I1245" s="52"/>
    </row>
    <row r="1246" spans="1:9">
      <c r="A1246" s="53">
        <v>46092</v>
      </c>
      <c r="B1246" s="54">
        <f>Table134[[#This Row],[Date]]</f>
        <v>46092</v>
      </c>
      <c r="C1246" s="55" t="s">
        <v>23</v>
      </c>
      <c r="D1246" s="55"/>
      <c r="E1246" s="59" t="s">
        <v>68</v>
      </c>
      <c r="F1246" s="55" t="s">
        <v>47</v>
      </c>
      <c r="G1246" s="55" t="s">
        <v>19</v>
      </c>
      <c r="H1246" s="55">
        <v>1</v>
      </c>
      <c r="I1246" s="57"/>
    </row>
    <row r="1247" spans="1:9">
      <c r="A1247" s="53">
        <v>46092</v>
      </c>
      <c r="B1247" s="54">
        <f>Table134[[#This Row],[Date]]</f>
        <v>46092</v>
      </c>
      <c r="C1247" s="55" t="s">
        <v>26</v>
      </c>
      <c r="D1247" s="55"/>
      <c r="E1247" s="61" t="s">
        <v>70</v>
      </c>
      <c r="F1247" s="64" t="s">
        <v>18</v>
      </c>
      <c r="G1247" s="55" t="s">
        <v>19</v>
      </c>
      <c r="H1247" s="55">
        <v>1</v>
      </c>
      <c r="I1247" s="57"/>
    </row>
    <row r="1248" spans="1:9">
      <c r="A1248" s="53">
        <v>46092</v>
      </c>
      <c r="B1248" s="54">
        <f>Table134[[#This Row],[Date]]</f>
        <v>46092</v>
      </c>
      <c r="C1248" s="55" t="s">
        <v>26</v>
      </c>
      <c r="D1248" s="55"/>
      <c r="E1248" s="61" t="s">
        <v>70</v>
      </c>
      <c r="F1248" s="64" t="s">
        <v>21</v>
      </c>
      <c r="G1248" s="55" t="s">
        <v>19</v>
      </c>
      <c r="H1248" s="55">
        <v>1</v>
      </c>
      <c r="I1248" s="57"/>
    </row>
    <row r="1249" spans="1:9">
      <c r="A1249" s="53">
        <v>46092</v>
      </c>
      <c r="B1249" s="54">
        <f>Table134[[#This Row],[Date]]</f>
        <v>46092</v>
      </c>
      <c r="C1249" s="55" t="s">
        <v>26</v>
      </c>
      <c r="D1249" s="55"/>
      <c r="E1249" s="61" t="s">
        <v>70</v>
      </c>
      <c r="F1249" s="64" t="s">
        <v>49</v>
      </c>
      <c r="G1249" s="55" t="s">
        <v>19</v>
      </c>
      <c r="H1249" s="55">
        <v>1</v>
      </c>
      <c r="I1249" s="57"/>
    </row>
    <row r="1250" spans="1:9">
      <c r="A1250" s="53">
        <v>46092</v>
      </c>
      <c r="B1250" s="54">
        <f>Table134[[#This Row],[Date]]</f>
        <v>46092</v>
      </c>
      <c r="C1250" s="55" t="s">
        <v>26</v>
      </c>
      <c r="D1250" s="55"/>
      <c r="E1250" s="61" t="s">
        <v>70</v>
      </c>
      <c r="F1250" s="64" t="s">
        <v>41</v>
      </c>
      <c r="G1250" s="55" t="s">
        <v>19</v>
      </c>
      <c r="H1250" s="55">
        <v>1</v>
      </c>
      <c r="I1250" s="57"/>
    </row>
    <row r="1251" spans="1:9">
      <c r="A1251" s="53">
        <v>46093</v>
      </c>
      <c r="B1251" s="54">
        <f>Table134[[#This Row],[Date]]</f>
        <v>46093</v>
      </c>
      <c r="C1251" s="55" t="s">
        <v>26</v>
      </c>
      <c r="D1251" s="55"/>
      <c r="E1251" s="61" t="s">
        <v>75</v>
      </c>
      <c r="F1251" s="55" t="s">
        <v>18</v>
      </c>
      <c r="G1251" s="55" t="s">
        <v>19</v>
      </c>
      <c r="H1251" s="55">
        <v>1</v>
      </c>
      <c r="I1251" s="57"/>
    </row>
    <row r="1252" spans="1:9">
      <c r="A1252" s="53">
        <v>46093</v>
      </c>
      <c r="B1252" s="54">
        <f>Table134[[#This Row],[Date]]</f>
        <v>46093</v>
      </c>
      <c r="C1252" s="55" t="s">
        <v>26</v>
      </c>
      <c r="D1252" s="55"/>
      <c r="E1252" s="61" t="s">
        <v>75</v>
      </c>
      <c r="F1252" s="55" t="s">
        <v>21</v>
      </c>
      <c r="G1252" s="55" t="s">
        <v>19</v>
      </c>
      <c r="H1252" s="55">
        <v>1</v>
      </c>
      <c r="I1252" s="57"/>
    </row>
    <row r="1253" spans="1:9">
      <c r="A1253" s="53">
        <v>46093</v>
      </c>
      <c r="B1253" s="54">
        <f>Table134[[#This Row],[Date]]</f>
        <v>46093</v>
      </c>
      <c r="C1253" s="55" t="s">
        <v>26</v>
      </c>
      <c r="D1253" s="55"/>
      <c r="E1253" s="61" t="s">
        <v>75</v>
      </c>
      <c r="F1253" s="55" t="s">
        <v>28</v>
      </c>
      <c r="G1253" s="55" t="s">
        <v>19</v>
      </c>
      <c r="H1253" s="55">
        <v>1</v>
      </c>
      <c r="I1253" s="57"/>
    </row>
    <row r="1254" spans="1:9">
      <c r="A1254" s="53">
        <v>46094</v>
      </c>
      <c r="B1254" s="54">
        <f>Table134[[#This Row],[Date]]</f>
        <v>46094</v>
      </c>
      <c r="C1254" s="55" t="s">
        <v>23</v>
      </c>
      <c r="D1254" s="55"/>
      <c r="E1254" s="59" t="s">
        <v>81</v>
      </c>
      <c r="F1254" s="55" t="s">
        <v>18</v>
      </c>
      <c r="G1254" s="55" t="s">
        <v>19</v>
      </c>
      <c r="H1254" s="55">
        <v>1</v>
      </c>
      <c r="I1254" s="57"/>
    </row>
    <row r="1255" spans="1:9">
      <c r="A1255" s="53">
        <v>46094</v>
      </c>
      <c r="B1255" s="54">
        <f>Table134[[#This Row],[Date]]</f>
        <v>46094</v>
      </c>
      <c r="C1255" s="55" t="s">
        <v>23</v>
      </c>
      <c r="D1255" s="55"/>
      <c r="E1255" s="59" t="s">
        <v>82</v>
      </c>
      <c r="F1255" s="55" t="s">
        <v>18</v>
      </c>
      <c r="G1255" s="55" t="s">
        <v>19</v>
      </c>
      <c r="H1255" s="55">
        <v>1</v>
      </c>
      <c r="I1255" s="57"/>
    </row>
    <row r="1256" spans="1:9">
      <c r="A1256" s="53">
        <v>46094</v>
      </c>
      <c r="B1256" s="54">
        <f>Table134[[#This Row],[Date]]</f>
        <v>46094</v>
      </c>
      <c r="C1256" s="55" t="s">
        <v>23</v>
      </c>
      <c r="D1256" s="55"/>
      <c r="E1256" s="61" t="s">
        <v>83</v>
      </c>
      <c r="F1256" s="55" t="s">
        <v>18</v>
      </c>
      <c r="G1256" s="55" t="s">
        <v>19</v>
      </c>
      <c r="H1256" s="55">
        <v>1</v>
      </c>
      <c r="I1256" s="57"/>
    </row>
    <row r="1257" spans="1:9">
      <c r="A1257" s="53">
        <v>46094</v>
      </c>
      <c r="B1257" s="54">
        <f>Table134[[#This Row],[Date]]</f>
        <v>46094</v>
      </c>
      <c r="C1257" s="55" t="s">
        <v>26</v>
      </c>
      <c r="D1257" s="55"/>
      <c r="E1257" s="61" t="s">
        <v>78</v>
      </c>
      <c r="F1257" s="55" t="s">
        <v>18</v>
      </c>
      <c r="G1257" s="55" t="s">
        <v>19</v>
      </c>
      <c r="H1257" s="55">
        <v>1</v>
      </c>
      <c r="I1257" s="57"/>
    </row>
    <row r="1258" spans="1:9">
      <c r="A1258" s="53">
        <v>46094</v>
      </c>
      <c r="B1258" s="54">
        <f>Table134[[#This Row],[Date]]</f>
        <v>46094</v>
      </c>
      <c r="C1258" s="55" t="s">
        <v>26</v>
      </c>
      <c r="D1258" s="55"/>
      <c r="E1258" s="61" t="s">
        <v>78</v>
      </c>
      <c r="F1258" s="55" t="s">
        <v>21</v>
      </c>
      <c r="G1258" s="55" t="s">
        <v>19</v>
      </c>
      <c r="H1258" s="55">
        <v>1</v>
      </c>
      <c r="I1258" s="57"/>
    </row>
    <row r="1259" spans="1:9">
      <c r="A1259" s="53">
        <v>46094</v>
      </c>
      <c r="B1259" s="54">
        <f>Table134[[#This Row],[Date]]</f>
        <v>46094</v>
      </c>
      <c r="C1259" s="55" t="s">
        <v>26</v>
      </c>
      <c r="D1259" s="55"/>
      <c r="E1259" s="61" t="s">
        <v>78</v>
      </c>
      <c r="F1259" s="55" t="s">
        <v>28</v>
      </c>
      <c r="G1259" s="55" t="s">
        <v>19</v>
      </c>
      <c r="H1259" s="55">
        <v>1</v>
      </c>
      <c r="I1259" s="57"/>
    </row>
    <row r="1260" spans="1:9">
      <c r="A1260" s="16">
        <v>46095</v>
      </c>
      <c r="B1260" s="18">
        <f>Table134[[#This Row],[Date]]</f>
        <v>46095</v>
      </c>
      <c r="C1260" s="10" t="s">
        <v>23</v>
      </c>
      <c r="D1260" s="10"/>
      <c r="E1260" s="9" t="s">
        <v>86</v>
      </c>
      <c r="F1260" s="10" t="s">
        <v>18</v>
      </c>
      <c r="G1260" s="10" t="s">
        <v>19</v>
      </c>
      <c r="H1260" s="10">
        <v>1</v>
      </c>
      <c r="I1260" s="13"/>
    </row>
    <row r="1261" spans="1:9">
      <c r="A1261" s="16">
        <v>46095</v>
      </c>
      <c r="B1261" s="18">
        <f>Table134[[#This Row],[Date]]</f>
        <v>46095</v>
      </c>
      <c r="C1261" s="10" t="s">
        <v>23</v>
      </c>
      <c r="D1261" s="10"/>
      <c r="E1261" s="9" t="s">
        <v>86</v>
      </c>
      <c r="F1261" s="10" t="s">
        <v>21</v>
      </c>
      <c r="G1261" s="10" t="s">
        <v>19</v>
      </c>
      <c r="H1261" s="10">
        <v>1</v>
      </c>
      <c r="I1261" s="13"/>
    </row>
    <row r="1262" spans="1:9">
      <c r="A1262" s="16">
        <v>46095</v>
      </c>
      <c r="B1262" s="18">
        <f>Table134[[#This Row],[Date]]</f>
        <v>46095</v>
      </c>
      <c r="C1262" s="10" t="s">
        <v>23</v>
      </c>
      <c r="D1262" s="10"/>
      <c r="E1262" s="9" t="s">
        <v>86</v>
      </c>
      <c r="F1262" s="10" t="s">
        <v>49</v>
      </c>
      <c r="G1262" s="10" t="s">
        <v>19</v>
      </c>
      <c r="H1262" s="10">
        <v>1</v>
      </c>
      <c r="I1262" s="13"/>
    </row>
    <row r="1263" spans="1:9">
      <c r="A1263" s="53">
        <v>46097</v>
      </c>
      <c r="B1263" s="54">
        <f>Table134[[#This Row],[Date]]</f>
        <v>46097</v>
      </c>
      <c r="C1263" s="55" t="s">
        <v>14</v>
      </c>
      <c r="D1263" s="55"/>
      <c r="E1263" s="59" t="s">
        <v>96</v>
      </c>
      <c r="F1263" s="55" t="s">
        <v>18</v>
      </c>
      <c r="G1263" s="55" t="s">
        <v>19</v>
      </c>
      <c r="H1263" s="55">
        <v>1</v>
      </c>
      <c r="I1263" s="57"/>
    </row>
    <row r="1264" spans="1:9">
      <c r="A1264" s="53">
        <v>46097</v>
      </c>
      <c r="B1264" s="54">
        <f>Table134[[#This Row],[Date]]</f>
        <v>46097</v>
      </c>
      <c r="C1264" s="55" t="s">
        <v>14</v>
      </c>
      <c r="D1264" s="55"/>
      <c r="E1264" s="59" t="s">
        <v>97</v>
      </c>
      <c r="F1264" s="55" t="s">
        <v>18</v>
      </c>
      <c r="G1264" s="55" t="s">
        <v>19</v>
      </c>
      <c r="H1264" s="55">
        <v>1</v>
      </c>
      <c r="I1264" s="57"/>
    </row>
    <row r="1265" spans="1:9">
      <c r="A1265" s="53">
        <v>46097</v>
      </c>
      <c r="B1265" s="54">
        <f>Table134[[#This Row],[Date]]</f>
        <v>46097</v>
      </c>
      <c r="C1265" s="55" t="s">
        <v>14</v>
      </c>
      <c r="D1265" s="55"/>
      <c r="E1265" s="122" t="s">
        <v>100</v>
      </c>
      <c r="F1265" s="55" t="s">
        <v>18</v>
      </c>
      <c r="G1265" s="55" t="s">
        <v>19</v>
      </c>
      <c r="H1265" s="55">
        <v>1</v>
      </c>
      <c r="I1265" s="57"/>
    </row>
    <row r="1266" spans="1:9">
      <c r="A1266" s="53">
        <v>46097</v>
      </c>
      <c r="B1266" s="54">
        <f>Table134[[#This Row],[Date]]</f>
        <v>46097</v>
      </c>
      <c r="C1266" s="55" t="s">
        <v>16</v>
      </c>
      <c r="D1266" s="55"/>
      <c r="E1266" s="59" t="s">
        <v>101</v>
      </c>
      <c r="F1266" s="64" t="s">
        <v>18</v>
      </c>
      <c r="G1266" s="55" t="s">
        <v>19</v>
      </c>
      <c r="H1266" s="55">
        <v>1</v>
      </c>
      <c r="I1266" s="57"/>
    </row>
    <row r="1267" spans="1:9">
      <c r="A1267" s="53">
        <v>46097</v>
      </c>
      <c r="B1267" s="54">
        <f>Table134[[#This Row],[Date]]</f>
        <v>46097</v>
      </c>
      <c r="C1267" s="55" t="s">
        <v>16</v>
      </c>
      <c r="D1267" s="55"/>
      <c r="E1267" s="59" t="s">
        <v>101</v>
      </c>
      <c r="F1267" s="64" t="s">
        <v>21</v>
      </c>
      <c r="G1267" s="55" t="s">
        <v>19</v>
      </c>
      <c r="H1267" s="55">
        <v>1</v>
      </c>
      <c r="I1267" s="57"/>
    </row>
    <row r="1268" spans="1:9">
      <c r="A1268" s="53">
        <v>46097</v>
      </c>
      <c r="B1268" s="54">
        <f>Table134[[#This Row],[Date]]</f>
        <v>46097</v>
      </c>
      <c r="C1268" s="55" t="s">
        <v>16</v>
      </c>
      <c r="D1268" s="55"/>
      <c r="E1268" s="59" t="s">
        <v>101</v>
      </c>
      <c r="F1268" s="55" t="s">
        <v>47</v>
      </c>
      <c r="G1268" s="55" t="s">
        <v>19</v>
      </c>
      <c r="H1268" s="55">
        <v>1</v>
      </c>
      <c r="I1268" s="57"/>
    </row>
    <row r="1269" spans="1:9">
      <c r="A1269" s="103">
        <v>46097</v>
      </c>
      <c r="B1269" s="104">
        <f>Table134[[#This Row],[Date]]</f>
        <v>46097</v>
      </c>
      <c r="C1269" s="105" t="s">
        <v>26</v>
      </c>
      <c r="D1269" s="105"/>
      <c r="E1269" s="106" t="s">
        <v>85</v>
      </c>
      <c r="F1269" s="133" t="s">
        <v>18</v>
      </c>
      <c r="G1269" s="105" t="s">
        <v>19</v>
      </c>
      <c r="H1269" s="105">
        <v>1</v>
      </c>
      <c r="I1269" s="108"/>
    </row>
    <row r="1270" spans="1:9">
      <c r="A1270" s="103">
        <v>46097</v>
      </c>
      <c r="B1270" s="104">
        <f>Table134[[#This Row],[Date]]</f>
        <v>46097</v>
      </c>
      <c r="C1270" s="105" t="s">
        <v>26</v>
      </c>
      <c r="D1270" s="105"/>
      <c r="E1270" s="106" t="s">
        <v>85</v>
      </c>
      <c r="F1270" s="133" t="s">
        <v>21</v>
      </c>
      <c r="G1270" s="105" t="s">
        <v>19</v>
      </c>
      <c r="H1270" s="105">
        <v>1</v>
      </c>
      <c r="I1270" s="108"/>
    </row>
    <row r="1271" spans="1:9">
      <c r="A1271" s="53">
        <v>46098</v>
      </c>
      <c r="B1271" s="54">
        <f>Table134[[#This Row],[Date]]</f>
        <v>46098</v>
      </c>
      <c r="C1271" s="55" t="s">
        <v>14</v>
      </c>
      <c r="D1271" s="55"/>
      <c r="E1271" s="59" t="s">
        <v>104</v>
      </c>
      <c r="F1271" s="55" t="s">
        <v>72</v>
      </c>
      <c r="G1271" s="55" t="s">
        <v>60</v>
      </c>
      <c r="H1271" s="55">
        <v>1</v>
      </c>
      <c r="I1271" s="57"/>
    </row>
    <row r="1272" spans="1:9">
      <c r="A1272" s="53">
        <v>46098</v>
      </c>
      <c r="B1272" s="54">
        <f>Table134[[#This Row],[Date]]</f>
        <v>46098</v>
      </c>
      <c r="C1272" s="55" t="s">
        <v>14</v>
      </c>
      <c r="D1272" s="55"/>
      <c r="E1272" s="59" t="s">
        <v>104</v>
      </c>
      <c r="F1272" s="55" t="s">
        <v>76</v>
      </c>
      <c r="G1272" s="55" t="s">
        <v>60</v>
      </c>
      <c r="H1272" s="55">
        <v>1</v>
      </c>
      <c r="I1272" s="57"/>
    </row>
    <row r="1273" spans="1:9">
      <c r="A1273" s="48">
        <v>46098</v>
      </c>
      <c r="B1273" s="49">
        <f>Table134[[#This Row],[Date]]</f>
        <v>46098</v>
      </c>
      <c r="C1273" s="50" t="s">
        <v>4</v>
      </c>
      <c r="D1273" s="50"/>
      <c r="E1273" s="51" t="s">
        <v>32</v>
      </c>
      <c r="F1273" s="50"/>
      <c r="G1273" s="50"/>
      <c r="H1273" s="50"/>
      <c r="I1273" s="52"/>
    </row>
    <row r="1274" spans="1:9">
      <c r="A1274" s="53">
        <v>46099</v>
      </c>
      <c r="B1274" s="54">
        <f>Table134[[#This Row],[Date]]</f>
        <v>46099</v>
      </c>
      <c r="C1274" s="55" t="s">
        <v>16</v>
      </c>
      <c r="D1274" s="55"/>
      <c r="E1274" s="59" t="s">
        <v>105</v>
      </c>
      <c r="F1274" s="77" t="s">
        <v>18</v>
      </c>
      <c r="G1274" s="55" t="s">
        <v>19</v>
      </c>
      <c r="H1274" s="55">
        <v>1</v>
      </c>
      <c r="I1274" s="57"/>
    </row>
    <row r="1275" spans="1:9">
      <c r="A1275" s="53">
        <v>46099</v>
      </c>
      <c r="B1275" s="54">
        <f>Table134[[#This Row],[Date]]</f>
        <v>46099</v>
      </c>
      <c r="C1275" s="55" t="s">
        <v>16</v>
      </c>
      <c r="D1275" s="55"/>
      <c r="E1275" s="59" t="s">
        <v>105</v>
      </c>
      <c r="F1275" s="77" t="s">
        <v>21</v>
      </c>
      <c r="G1275" s="55" t="s">
        <v>19</v>
      </c>
      <c r="H1275" s="55">
        <v>1</v>
      </c>
      <c r="I1275" s="57"/>
    </row>
    <row r="1276" spans="1:9">
      <c r="A1276" s="53">
        <v>46099</v>
      </c>
      <c r="B1276" s="54">
        <f>Table134[[#This Row],[Date]]</f>
        <v>46099</v>
      </c>
      <c r="C1276" s="55" t="s">
        <v>16</v>
      </c>
      <c r="D1276" s="55"/>
      <c r="E1276" s="59" t="s">
        <v>105</v>
      </c>
      <c r="F1276" s="77" t="s">
        <v>49</v>
      </c>
      <c r="G1276" s="55" t="s">
        <v>19</v>
      </c>
      <c r="H1276" s="55">
        <v>1</v>
      </c>
      <c r="I1276" s="57"/>
    </row>
    <row r="1277" spans="1:9">
      <c r="A1277" s="53">
        <v>46099</v>
      </c>
      <c r="B1277" s="54">
        <f>Table134[[#This Row],[Date]]</f>
        <v>46099</v>
      </c>
      <c r="C1277" s="55" t="s">
        <v>23</v>
      </c>
      <c r="D1277" s="55"/>
      <c r="E1277" s="61" t="s">
        <v>106</v>
      </c>
      <c r="F1277" s="64" t="s">
        <v>28</v>
      </c>
      <c r="G1277" s="55" t="s">
        <v>19</v>
      </c>
      <c r="H1277" s="55">
        <v>1</v>
      </c>
      <c r="I1277" s="57"/>
    </row>
    <row r="1278" spans="1:9">
      <c r="A1278" s="53">
        <v>46099</v>
      </c>
      <c r="B1278" s="54">
        <f>Table134[[#This Row],[Date]]</f>
        <v>46099</v>
      </c>
      <c r="C1278" s="55" t="s">
        <v>23</v>
      </c>
      <c r="D1278" s="55"/>
      <c r="E1278" s="61" t="s">
        <v>106</v>
      </c>
      <c r="F1278" s="55" t="s">
        <v>107</v>
      </c>
      <c r="G1278" s="55" t="s">
        <v>19</v>
      </c>
      <c r="H1278" s="55">
        <v>1</v>
      </c>
      <c r="I1278" s="57"/>
    </row>
    <row r="1279" spans="1:9">
      <c r="A1279" s="53">
        <v>46099</v>
      </c>
      <c r="B1279" s="54">
        <f>Table134[[#This Row],[Date]]</f>
        <v>46099</v>
      </c>
      <c r="C1279" s="55" t="s">
        <v>23</v>
      </c>
      <c r="D1279" s="55"/>
      <c r="E1279" s="61" t="s">
        <v>106</v>
      </c>
      <c r="F1279" s="64" t="s">
        <v>41</v>
      </c>
      <c r="G1279" s="55" t="s">
        <v>19</v>
      </c>
      <c r="H1279" s="55">
        <v>1</v>
      </c>
      <c r="I1279" s="57"/>
    </row>
    <row r="1280" spans="1:9">
      <c r="A1280" s="53">
        <v>46099</v>
      </c>
      <c r="B1280" s="54">
        <f>Table134[[#This Row],[Date]]</f>
        <v>46099</v>
      </c>
      <c r="C1280" s="55" t="s">
        <v>26</v>
      </c>
      <c r="D1280" s="55"/>
      <c r="E1280" s="61" t="s">
        <v>102</v>
      </c>
      <c r="F1280" s="64" t="s">
        <v>18</v>
      </c>
      <c r="G1280" s="55" t="s">
        <v>19</v>
      </c>
      <c r="H1280" s="55">
        <v>1</v>
      </c>
      <c r="I1280" s="57"/>
    </row>
    <row r="1281" spans="1:9">
      <c r="A1281" s="53">
        <v>46099</v>
      </c>
      <c r="B1281" s="54">
        <f>Table134[[#This Row],[Date]]</f>
        <v>46099</v>
      </c>
      <c r="C1281" s="55" t="s">
        <v>26</v>
      </c>
      <c r="D1281" s="55"/>
      <c r="E1281" s="61" t="s">
        <v>103</v>
      </c>
      <c r="F1281" s="55" t="s">
        <v>18</v>
      </c>
      <c r="G1281" s="55" t="s">
        <v>19</v>
      </c>
      <c r="H1281" s="55">
        <v>1</v>
      </c>
      <c r="I1281" s="57"/>
    </row>
    <row r="1282" spans="1:9">
      <c r="A1282" s="53">
        <v>46099</v>
      </c>
      <c r="B1282" s="54">
        <f>Table134[[#This Row],[Date]]</f>
        <v>46099</v>
      </c>
      <c r="C1282" s="55" t="s">
        <v>26</v>
      </c>
      <c r="D1282" s="55"/>
      <c r="E1282" s="61" t="s">
        <v>103</v>
      </c>
      <c r="F1282" s="55" t="s">
        <v>21</v>
      </c>
      <c r="G1282" s="55" t="s">
        <v>19</v>
      </c>
      <c r="H1282" s="55">
        <v>1</v>
      </c>
      <c r="I1282" s="57"/>
    </row>
    <row r="1283" spans="1:9">
      <c r="A1283" s="103">
        <v>46099</v>
      </c>
      <c r="B1283" s="104">
        <f>Table134[[#This Row],[Date]]</f>
        <v>46099</v>
      </c>
      <c r="C1283" s="105" t="s">
        <v>26</v>
      </c>
      <c r="D1283" s="105"/>
      <c r="E1283" s="106" t="s">
        <v>84</v>
      </c>
      <c r="F1283" s="105" t="s">
        <v>47</v>
      </c>
      <c r="G1283" s="105" t="s">
        <v>19</v>
      </c>
      <c r="H1283" s="105">
        <v>1</v>
      </c>
      <c r="I1283" s="108"/>
    </row>
    <row r="1284" spans="1:9">
      <c r="A1284" s="53">
        <v>46100</v>
      </c>
      <c r="B1284" s="54">
        <f>Table134[[#This Row],[Date]]</f>
        <v>46100</v>
      </c>
      <c r="C1284" s="55" t="s">
        <v>16</v>
      </c>
      <c r="D1284" s="55"/>
      <c r="E1284" s="59" t="s">
        <v>105</v>
      </c>
      <c r="F1284" s="77" t="s">
        <v>47</v>
      </c>
      <c r="G1284" s="55" t="s">
        <v>19</v>
      </c>
      <c r="H1284" s="55">
        <v>1</v>
      </c>
      <c r="I1284" s="57"/>
    </row>
    <row r="1285" spans="1:9">
      <c r="A1285" s="53">
        <v>46100</v>
      </c>
      <c r="B1285" s="54">
        <f>Table134[[#This Row],[Date]]</f>
        <v>46100</v>
      </c>
      <c r="C1285" s="55" t="s">
        <v>16</v>
      </c>
      <c r="D1285" s="55"/>
      <c r="E1285" s="59" t="s">
        <v>105</v>
      </c>
      <c r="F1285" s="77" t="s">
        <v>53</v>
      </c>
      <c r="G1285" s="55" t="s">
        <v>19</v>
      </c>
      <c r="H1285" s="55">
        <v>1</v>
      </c>
      <c r="I1285" s="57"/>
    </row>
    <row r="1286" spans="1:9">
      <c r="A1286" s="53">
        <v>46100</v>
      </c>
      <c r="B1286" s="54">
        <f>Table134[[#This Row],[Date]]</f>
        <v>46100</v>
      </c>
      <c r="C1286" s="55" t="s">
        <v>16</v>
      </c>
      <c r="D1286" s="55"/>
      <c r="E1286" s="59" t="s">
        <v>105</v>
      </c>
      <c r="F1286" s="77" t="s">
        <v>41</v>
      </c>
      <c r="G1286" s="55" t="s">
        <v>19</v>
      </c>
      <c r="H1286" s="55">
        <v>1</v>
      </c>
      <c r="I1286" s="57"/>
    </row>
    <row r="1287" spans="1:9">
      <c r="A1287" s="53">
        <v>46100</v>
      </c>
      <c r="B1287" s="54">
        <f>Table134[[#This Row],[Date]]</f>
        <v>46100</v>
      </c>
      <c r="C1287" s="55" t="s">
        <v>23</v>
      </c>
      <c r="D1287" s="55"/>
      <c r="E1287" s="59" t="s">
        <v>106</v>
      </c>
      <c r="F1287" s="64" t="s">
        <v>18</v>
      </c>
      <c r="G1287" s="55" t="s">
        <v>19</v>
      </c>
      <c r="H1287" s="55">
        <v>1</v>
      </c>
      <c r="I1287" s="57"/>
    </row>
    <row r="1288" spans="1:9">
      <c r="A1288" s="53">
        <v>46100</v>
      </c>
      <c r="B1288" s="54">
        <f>Table134[[#This Row],[Date]]</f>
        <v>46100</v>
      </c>
      <c r="C1288" s="55" t="s">
        <v>23</v>
      </c>
      <c r="D1288" s="55"/>
      <c r="E1288" s="59" t="s">
        <v>106</v>
      </c>
      <c r="F1288" s="64" t="s">
        <v>21</v>
      </c>
      <c r="G1288" s="55" t="s">
        <v>19</v>
      </c>
      <c r="H1288" s="55">
        <v>1</v>
      </c>
      <c r="I1288" s="57"/>
    </row>
    <row r="1289" spans="1:9">
      <c r="A1289" s="53">
        <v>46100</v>
      </c>
      <c r="B1289" s="54">
        <f>Table134[[#This Row],[Date]]</f>
        <v>46100</v>
      </c>
      <c r="C1289" s="55" t="s">
        <v>23</v>
      </c>
      <c r="D1289" s="55"/>
      <c r="E1289" s="59" t="s">
        <v>106</v>
      </c>
      <c r="F1289" s="64" t="s">
        <v>49</v>
      </c>
      <c r="G1289" s="55" t="s">
        <v>19</v>
      </c>
      <c r="H1289" s="55">
        <v>1</v>
      </c>
      <c r="I1289" s="57"/>
    </row>
    <row r="1290" spans="1:9">
      <c r="A1290" s="96">
        <v>46100</v>
      </c>
      <c r="B1290" s="37">
        <f>Table134[[#This Row],[Date]]</f>
        <v>46100</v>
      </c>
      <c r="C1290" s="38" t="s">
        <v>26</v>
      </c>
      <c r="D1290" s="38"/>
      <c r="E1290" s="40" t="s">
        <v>108</v>
      </c>
      <c r="F1290" s="38" t="s">
        <v>28</v>
      </c>
      <c r="G1290" s="38" t="s">
        <v>19</v>
      </c>
      <c r="H1290" s="38">
        <v>1</v>
      </c>
      <c r="I1290" s="97"/>
    </row>
    <row r="1291" spans="1:9">
      <c r="A1291" s="96">
        <v>46100</v>
      </c>
      <c r="B1291" s="37">
        <f>Table134[[#This Row],[Date]]</f>
        <v>46100</v>
      </c>
      <c r="C1291" s="38" t="s">
        <v>26</v>
      </c>
      <c r="D1291" s="38"/>
      <c r="E1291" s="40" t="s">
        <v>108</v>
      </c>
      <c r="F1291" s="38" t="s">
        <v>107</v>
      </c>
      <c r="G1291" s="38" t="s">
        <v>19</v>
      </c>
      <c r="H1291" s="38">
        <v>1</v>
      </c>
      <c r="I1291" s="97"/>
    </row>
    <row r="1292" spans="1:9">
      <c r="A1292" s="96">
        <v>46100</v>
      </c>
      <c r="B1292" s="37">
        <f>Table134[[#This Row],[Date]]</f>
        <v>46100</v>
      </c>
      <c r="C1292" s="38" t="s">
        <v>26</v>
      </c>
      <c r="D1292" s="38"/>
      <c r="E1292" s="40" t="s">
        <v>108</v>
      </c>
      <c r="F1292" s="38" t="s">
        <v>35</v>
      </c>
      <c r="G1292" s="38" t="s">
        <v>19</v>
      </c>
      <c r="H1292" s="38">
        <v>1</v>
      </c>
      <c r="I1292" s="97"/>
    </row>
    <row r="1293" spans="1:9">
      <c r="A1293" s="96">
        <v>46100</v>
      </c>
      <c r="B1293" s="37">
        <f>Table134[[#This Row],[Date]]</f>
        <v>46100</v>
      </c>
      <c r="C1293" s="38" t="s">
        <v>26</v>
      </c>
      <c r="D1293" s="38"/>
      <c r="E1293" s="40" t="s">
        <v>108</v>
      </c>
      <c r="F1293" s="38" t="s">
        <v>109</v>
      </c>
      <c r="G1293" s="38" t="s">
        <v>19</v>
      </c>
      <c r="H1293" s="38">
        <v>1</v>
      </c>
      <c r="I1293" s="97"/>
    </row>
    <row r="1294" spans="1:9">
      <c r="A1294" s="53">
        <v>46101</v>
      </c>
      <c r="B1294" s="54">
        <f>Table134[[#This Row],[Date]]</f>
        <v>46101</v>
      </c>
      <c r="C1294" s="55" t="s">
        <v>23</v>
      </c>
      <c r="D1294" s="55"/>
      <c r="E1294" s="59" t="s">
        <v>114</v>
      </c>
      <c r="F1294" s="55" t="s">
        <v>18</v>
      </c>
      <c r="G1294" s="55" t="s">
        <v>19</v>
      </c>
      <c r="H1294" s="55">
        <v>1</v>
      </c>
      <c r="I1294" s="57"/>
    </row>
    <row r="1295" spans="1:9">
      <c r="A1295" s="53">
        <v>46101</v>
      </c>
      <c r="B1295" s="54">
        <f>Table134[[#This Row],[Date]]</f>
        <v>46101</v>
      </c>
      <c r="C1295" s="55" t="s">
        <v>23</v>
      </c>
      <c r="D1295" s="55"/>
      <c r="E1295" s="59" t="s">
        <v>114</v>
      </c>
      <c r="F1295" s="55" t="s">
        <v>21</v>
      </c>
      <c r="G1295" s="55" t="s">
        <v>19</v>
      </c>
      <c r="H1295" s="55">
        <v>1</v>
      </c>
      <c r="I1295" s="57"/>
    </row>
    <row r="1296" spans="1:9">
      <c r="A1296" s="53">
        <v>46101</v>
      </c>
      <c r="B1296" s="54">
        <f>Table134[[#This Row],[Date]]</f>
        <v>46101</v>
      </c>
      <c r="C1296" s="55" t="s">
        <v>26</v>
      </c>
      <c r="D1296" s="55"/>
      <c r="E1296" s="59" t="s">
        <v>110</v>
      </c>
      <c r="F1296" s="55" t="s">
        <v>18</v>
      </c>
      <c r="G1296" s="55" t="s">
        <v>19</v>
      </c>
      <c r="H1296" s="55">
        <v>1</v>
      </c>
      <c r="I1296" s="57"/>
    </row>
    <row r="1297" spans="1:9">
      <c r="A1297" s="53">
        <v>46101</v>
      </c>
      <c r="B1297" s="54">
        <f>Table134[[#This Row],[Date]]</f>
        <v>46101</v>
      </c>
      <c r="C1297" s="55" t="s">
        <v>26</v>
      </c>
      <c r="D1297" s="55"/>
      <c r="E1297" s="59" t="s">
        <v>110</v>
      </c>
      <c r="F1297" s="55" t="s">
        <v>21</v>
      </c>
      <c r="G1297" s="55" t="s">
        <v>19</v>
      </c>
      <c r="H1297" s="55">
        <v>1</v>
      </c>
      <c r="I1297" s="57"/>
    </row>
    <row r="1298" spans="1:9">
      <c r="A1298" s="16">
        <v>46102</v>
      </c>
      <c r="B1298" s="18">
        <f>Table134[[#This Row],[Date]]</f>
        <v>46102</v>
      </c>
      <c r="C1298" s="10" t="s">
        <v>4</v>
      </c>
      <c r="D1298" s="10"/>
      <c r="E1298" s="12" t="s">
        <v>116</v>
      </c>
      <c r="F1298" s="10" t="s">
        <v>18</v>
      </c>
      <c r="G1298" s="10" t="s">
        <v>99</v>
      </c>
      <c r="H1298" s="10">
        <v>1</v>
      </c>
      <c r="I1298" s="13"/>
    </row>
    <row r="1299" spans="1:9">
      <c r="A1299" s="103">
        <v>46104</v>
      </c>
      <c r="B1299" s="104">
        <f>Table134[[#This Row],[Date]]</f>
        <v>46104</v>
      </c>
      <c r="C1299" s="105" t="s">
        <v>16</v>
      </c>
      <c r="D1299" s="105"/>
      <c r="E1299" s="109" t="s">
        <v>119</v>
      </c>
      <c r="F1299" s="105" t="s">
        <v>47</v>
      </c>
      <c r="G1299" s="105" t="s">
        <v>19</v>
      </c>
      <c r="H1299" s="105">
        <v>1</v>
      </c>
      <c r="I1299" s="108"/>
    </row>
    <row r="1300" spans="1:9">
      <c r="A1300" s="53">
        <v>46104</v>
      </c>
      <c r="B1300" s="54">
        <f>Table134[[#This Row],[Date]]</f>
        <v>46104</v>
      </c>
      <c r="C1300" s="55" t="s">
        <v>23</v>
      </c>
      <c r="D1300" s="55"/>
      <c r="E1300" s="59" t="s">
        <v>206</v>
      </c>
      <c r="F1300" s="55" t="s">
        <v>21</v>
      </c>
      <c r="G1300" s="55" t="s">
        <v>19</v>
      </c>
      <c r="H1300" s="55">
        <v>1</v>
      </c>
      <c r="I1300" s="57"/>
    </row>
    <row r="1301" spans="1:9">
      <c r="A1301" s="53">
        <v>46104</v>
      </c>
      <c r="B1301" s="54">
        <f>Table134[[#This Row],[Date]]</f>
        <v>46104</v>
      </c>
      <c r="C1301" s="55" t="s">
        <v>23</v>
      </c>
      <c r="D1301" s="55"/>
      <c r="E1301" s="132" t="s">
        <v>122</v>
      </c>
      <c r="F1301" s="55" t="s">
        <v>18</v>
      </c>
      <c r="G1301" s="55" t="s">
        <v>19</v>
      </c>
      <c r="H1301" s="55">
        <v>1</v>
      </c>
      <c r="I1301" s="57"/>
    </row>
    <row r="1302" spans="1:9">
      <c r="A1302" s="53">
        <v>46104</v>
      </c>
      <c r="B1302" s="54">
        <f>Table134[[#This Row],[Date]]</f>
        <v>46104</v>
      </c>
      <c r="C1302" s="55" t="s">
        <v>26</v>
      </c>
      <c r="D1302" s="55"/>
      <c r="E1302" s="61" t="s">
        <v>123</v>
      </c>
      <c r="F1302" s="55" t="s">
        <v>18</v>
      </c>
      <c r="G1302" s="55" t="s">
        <v>19</v>
      </c>
      <c r="H1302" s="55">
        <v>1</v>
      </c>
      <c r="I1302" s="57"/>
    </row>
    <row r="1303" spans="1:9">
      <c r="A1303" s="53">
        <v>46104</v>
      </c>
      <c r="B1303" s="54">
        <f>Table134[[#This Row],[Date]]</f>
        <v>46104</v>
      </c>
      <c r="C1303" s="55" t="s">
        <v>26</v>
      </c>
      <c r="D1303" s="55"/>
      <c r="E1303" s="61" t="s">
        <v>123</v>
      </c>
      <c r="F1303" s="55" t="s">
        <v>21</v>
      </c>
      <c r="G1303" s="55" t="s">
        <v>19</v>
      </c>
      <c r="H1303" s="55">
        <v>1</v>
      </c>
      <c r="I1303" s="57"/>
    </row>
    <row r="1304" spans="1:9">
      <c r="A1304" s="53">
        <v>46104</v>
      </c>
      <c r="B1304" s="54">
        <f>Table134[[#This Row],[Date]]</f>
        <v>46104</v>
      </c>
      <c r="C1304" s="55" t="s">
        <v>26</v>
      </c>
      <c r="D1304" s="55"/>
      <c r="E1304" s="61" t="s">
        <v>123</v>
      </c>
      <c r="F1304" s="55" t="s">
        <v>47</v>
      </c>
      <c r="G1304" s="55" t="s">
        <v>19</v>
      </c>
      <c r="H1304" s="55">
        <v>1</v>
      </c>
      <c r="I1304" s="57"/>
    </row>
    <row r="1305" spans="1:9">
      <c r="A1305" s="103">
        <v>46104</v>
      </c>
      <c r="B1305" s="104">
        <f>Table134[[#This Row],[Date]]</f>
        <v>46104</v>
      </c>
      <c r="C1305" s="105" t="s">
        <v>26</v>
      </c>
      <c r="D1305" s="105"/>
      <c r="E1305" s="106" t="s">
        <v>115</v>
      </c>
      <c r="F1305" s="107" t="s">
        <v>18</v>
      </c>
      <c r="G1305" s="105" t="s">
        <v>19</v>
      </c>
      <c r="H1305" s="105">
        <v>1</v>
      </c>
      <c r="I1305" s="108"/>
    </row>
    <row r="1306" spans="1:9">
      <c r="A1306" s="53">
        <v>46105</v>
      </c>
      <c r="B1306" s="54">
        <f>Table134[[#This Row],[Date]]</f>
        <v>46105</v>
      </c>
      <c r="C1306" s="55" t="s">
        <v>14</v>
      </c>
      <c r="D1306" s="55"/>
      <c r="E1306" s="59" t="s">
        <v>104</v>
      </c>
      <c r="F1306" s="55" t="s">
        <v>18</v>
      </c>
      <c r="G1306" s="55" t="s">
        <v>19</v>
      </c>
      <c r="H1306" s="55">
        <v>1</v>
      </c>
      <c r="I1306" s="57"/>
    </row>
    <row r="1307" spans="1:9">
      <c r="A1307" s="53">
        <v>46105</v>
      </c>
      <c r="B1307" s="54">
        <f>Table134[[#This Row],[Date]]</f>
        <v>46105</v>
      </c>
      <c r="C1307" s="55" t="s">
        <v>14</v>
      </c>
      <c r="D1307" s="55"/>
      <c r="E1307" s="59" t="s">
        <v>104</v>
      </c>
      <c r="F1307" s="55" t="s">
        <v>21</v>
      </c>
      <c r="G1307" s="55" t="s">
        <v>19</v>
      </c>
      <c r="H1307" s="55">
        <v>1</v>
      </c>
      <c r="I1307" s="57"/>
    </row>
    <row r="1308" spans="1:9">
      <c r="A1308" s="48">
        <v>46105</v>
      </c>
      <c r="B1308" s="49">
        <f>Table134[[#This Row],[Date]]</f>
        <v>46105</v>
      </c>
      <c r="C1308" s="50" t="s">
        <v>4</v>
      </c>
      <c r="D1308" s="50"/>
      <c r="E1308" s="51" t="s">
        <v>32</v>
      </c>
      <c r="F1308" s="50"/>
      <c r="G1308" s="50"/>
      <c r="H1308" s="50"/>
      <c r="I1308" s="52"/>
    </row>
    <row r="1309" spans="1:9">
      <c r="A1309" s="53">
        <v>46106</v>
      </c>
      <c r="B1309" s="54">
        <f>Table134[[#This Row],[Date]]</f>
        <v>46106</v>
      </c>
      <c r="C1309" s="55" t="s">
        <v>16</v>
      </c>
      <c r="D1309" s="55"/>
      <c r="E1309" s="59" t="s">
        <v>119</v>
      </c>
      <c r="F1309" s="55" t="s">
        <v>18</v>
      </c>
      <c r="G1309" s="55" t="s">
        <v>19</v>
      </c>
      <c r="H1309" s="55">
        <v>1</v>
      </c>
      <c r="I1309" s="57"/>
    </row>
    <row r="1310" spans="1:9">
      <c r="A1310" s="53">
        <v>46106</v>
      </c>
      <c r="B1310" s="54">
        <f>Table134[[#This Row],[Date]]</f>
        <v>46106</v>
      </c>
      <c r="C1310" s="55" t="s">
        <v>16</v>
      </c>
      <c r="D1310" s="55"/>
      <c r="E1310" s="59" t="s">
        <v>119</v>
      </c>
      <c r="F1310" s="55" t="s">
        <v>21</v>
      </c>
      <c r="G1310" s="55" t="s">
        <v>19</v>
      </c>
      <c r="H1310" s="55">
        <v>1</v>
      </c>
      <c r="I1310" s="57"/>
    </row>
    <row r="1311" spans="1:9">
      <c r="A1311" s="53">
        <v>46106</v>
      </c>
      <c r="B1311" s="54">
        <f>Table134[[#This Row],[Date]]</f>
        <v>46106</v>
      </c>
      <c r="C1311" s="55" t="s">
        <v>23</v>
      </c>
      <c r="D1311" s="55"/>
      <c r="E1311" s="61" t="s">
        <v>125</v>
      </c>
      <c r="F1311" s="55" t="s">
        <v>18</v>
      </c>
      <c r="G1311" s="55" t="s">
        <v>19</v>
      </c>
      <c r="H1311" s="55">
        <v>1</v>
      </c>
      <c r="I1311" s="57"/>
    </row>
    <row r="1312" spans="1:9">
      <c r="A1312" s="53">
        <v>46106</v>
      </c>
      <c r="B1312" s="54">
        <f>Table134[[#This Row],[Date]]</f>
        <v>46106</v>
      </c>
      <c r="C1312" s="55" t="s">
        <v>23</v>
      </c>
      <c r="D1312" s="55"/>
      <c r="E1312" s="61" t="s">
        <v>127</v>
      </c>
      <c r="F1312" s="55" t="s">
        <v>18</v>
      </c>
      <c r="G1312" s="55" t="s">
        <v>19</v>
      </c>
      <c r="H1312" s="55">
        <v>1</v>
      </c>
      <c r="I1312" s="57"/>
    </row>
    <row r="1313" spans="1:9">
      <c r="A1313" s="53">
        <v>46106</v>
      </c>
      <c r="B1313" s="54">
        <f>Table134[[#This Row],[Date]]</f>
        <v>46106</v>
      </c>
      <c r="C1313" s="55" t="s">
        <v>26</v>
      </c>
      <c r="D1313" s="198"/>
      <c r="E1313" s="82" t="s">
        <v>128</v>
      </c>
      <c r="F1313" s="55" t="s">
        <v>21</v>
      </c>
      <c r="G1313" s="55" t="s">
        <v>19</v>
      </c>
      <c r="H1313" s="55">
        <v>1</v>
      </c>
      <c r="I1313" s="57"/>
    </row>
    <row r="1314" spans="1:9">
      <c r="A1314" s="103">
        <v>46106</v>
      </c>
      <c r="B1314" s="104">
        <f>Table134[[#This Row],[Date]]</f>
        <v>46106</v>
      </c>
      <c r="C1314" s="105" t="s">
        <v>26</v>
      </c>
      <c r="D1314" s="199"/>
      <c r="E1314" s="131" t="s">
        <v>129</v>
      </c>
      <c r="F1314" s="105"/>
      <c r="G1314" s="105"/>
      <c r="H1314" s="105">
        <v>1</v>
      </c>
      <c r="I1314" s="108"/>
    </row>
    <row r="1315" spans="1:9">
      <c r="A1315" s="53">
        <v>46107</v>
      </c>
      <c r="B1315" s="54">
        <f>Table134[[#This Row],[Date]]</f>
        <v>46107</v>
      </c>
      <c r="C1315" s="55" t="s">
        <v>14</v>
      </c>
      <c r="D1315" s="198"/>
      <c r="E1315" s="82" t="s">
        <v>130</v>
      </c>
      <c r="F1315" s="55" t="s">
        <v>18</v>
      </c>
      <c r="G1315" s="55" t="s">
        <v>19</v>
      </c>
      <c r="H1315" s="55">
        <v>1</v>
      </c>
      <c r="I1315" s="57"/>
    </row>
    <row r="1316" spans="1:9">
      <c r="A1316" s="53">
        <v>46107</v>
      </c>
      <c r="B1316" s="54">
        <f>Table134[[#This Row],[Date]]</f>
        <v>46107</v>
      </c>
      <c r="C1316" s="55" t="s">
        <v>14</v>
      </c>
      <c r="D1316" s="198"/>
      <c r="E1316" s="82" t="s">
        <v>131</v>
      </c>
      <c r="F1316" s="64" t="s">
        <v>18</v>
      </c>
      <c r="G1316" s="55" t="s">
        <v>19</v>
      </c>
      <c r="H1316" s="55">
        <v>1</v>
      </c>
      <c r="I1316" s="57"/>
    </row>
    <row r="1317" spans="1:9">
      <c r="A1317" s="53">
        <v>46107</v>
      </c>
      <c r="B1317" s="54">
        <f>Table134[[#This Row],[Date]]</f>
        <v>46107</v>
      </c>
      <c r="C1317" s="55" t="s">
        <v>14</v>
      </c>
      <c r="D1317" s="198"/>
      <c r="E1317" s="82" t="s">
        <v>132</v>
      </c>
      <c r="F1317" s="55" t="s">
        <v>18</v>
      </c>
      <c r="G1317" s="55" t="s">
        <v>19</v>
      </c>
      <c r="H1317" s="55">
        <v>1</v>
      </c>
      <c r="I1317" s="57"/>
    </row>
    <row r="1318" spans="1:9">
      <c r="A1318" s="53">
        <v>46107</v>
      </c>
      <c r="B1318" s="54">
        <f>Table134[[#This Row],[Date]]</f>
        <v>46107</v>
      </c>
      <c r="C1318" s="55" t="s">
        <v>16</v>
      </c>
      <c r="D1318" s="198"/>
      <c r="E1318" s="82" t="s">
        <v>133</v>
      </c>
      <c r="F1318" s="55" t="s">
        <v>21</v>
      </c>
      <c r="G1318" s="55" t="s">
        <v>19</v>
      </c>
      <c r="H1318" s="55">
        <v>1</v>
      </c>
      <c r="I1318" s="57"/>
    </row>
    <row r="1319" spans="1:9">
      <c r="A1319" s="53">
        <v>46107</v>
      </c>
      <c r="B1319" s="54">
        <f>Table134[[#This Row],[Date]]</f>
        <v>46107</v>
      </c>
      <c r="C1319" s="55" t="s">
        <v>16</v>
      </c>
      <c r="D1319" s="198"/>
      <c r="E1319" s="82" t="s">
        <v>134</v>
      </c>
      <c r="F1319" s="55" t="s">
        <v>18</v>
      </c>
      <c r="G1319" s="55" t="s">
        <v>19</v>
      </c>
      <c r="H1319" s="55">
        <v>1</v>
      </c>
      <c r="I1319" s="57"/>
    </row>
    <row r="1320" spans="1:9">
      <c r="A1320" s="53">
        <v>46107</v>
      </c>
      <c r="B1320" s="54">
        <f>Table134[[#This Row],[Date]]</f>
        <v>46107</v>
      </c>
      <c r="C1320" s="55" t="s">
        <v>16</v>
      </c>
      <c r="D1320" s="198"/>
      <c r="E1320" s="82" t="s">
        <v>135</v>
      </c>
      <c r="F1320" s="77" t="s">
        <v>47</v>
      </c>
      <c r="G1320" s="55" t="s">
        <v>19</v>
      </c>
      <c r="H1320" s="55">
        <v>1</v>
      </c>
      <c r="I1320" s="57"/>
    </row>
    <row r="1321" spans="1:9">
      <c r="A1321" s="53">
        <v>46107</v>
      </c>
      <c r="B1321" s="54">
        <f>Table134[[#This Row],[Date]]</f>
        <v>46107</v>
      </c>
      <c r="C1321" s="55" t="s">
        <v>16</v>
      </c>
      <c r="D1321" s="198"/>
      <c r="E1321" s="82" t="s">
        <v>135</v>
      </c>
      <c r="F1321" s="77" t="s">
        <v>53</v>
      </c>
      <c r="G1321" s="55" t="s">
        <v>19</v>
      </c>
      <c r="H1321" s="55">
        <v>1</v>
      </c>
      <c r="I1321" s="57"/>
    </row>
    <row r="1322" spans="1:9">
      <c r="A1322" s="53">
        <v>46108</v>
      </c>
      <c r="B1322" s="54">
        <f>Table134[[#This Row],[Date]]</f>
        <v>46108</v>
      </c>
      <c r="C1322" s="55" t="s">
        <v>16</v>
      </c>
      <c r="D1322" s="198"/>
      <c r="E1322" s="82" t="s">
        <v>136</v>
      </c>
      <c r="F1322" s="55" t="s">
        <v>18</v>
      </c>
      <c r="G1322" s="55" t="s">
        <v>19</v>
      </c>
      <c r="H1322" s="55">
        <v>1</v>
      </c>
      <c r="I1322" s="57"/>
    </row>
    <row r="1323" spans="1:9">
      <c r="A1323" s="53">
        <v>46108</v>
      </c>
      <c r="B1323" s="54">
        <f>Table134[[#This Row],[Date]]</f>
        <v>46108</v>
      </c>
      <c r="C1323" s="55" t="s">
        <v>16</v>
      </c>
      <c r="D1323" s="198"/>
      <c r="E1323" s="82" t="s">
        <v>137</v>
      </c>
      <c r="F1323" s="55" t="s">
        <v>18</v>
      </c>
      <c r="G1323" s="55" t="s">
        <v>19</v>
      </c>
      <c r="H1323" s="55">
        <v>1</v>
      </c>
      <c r="I1323" s="57"/>
    </row>
    <row r="1324" spans="1:9">
      <c r="A1324" s="53">
        <v>46108</v>
      </c>
      <c r="B1324" s="54">
        <f>Table134[[#This Row],[Date]]</f>
        <v>46108</v>
      </c>
      <c r="C1324" s="55" t="s">
        <v>16</v>
      </c>
      <c r="D1324" s="198"/>
      <c r="E1324" s="82" t="s">
        <v>138</v>
      </c>
      <c r="F1324" s="55" t="s">
        <v>18</v>
      </c>
      <c r="G1324" s="55" t="s">
        <v>19</v>
      </c>
      <c r="H1324" s="55">
        <v>1</v>
      </c>
      <c r="I1324" s="57"/>
    </row>
    <row r="1325" spans="1:9">
      <c r="A1325" s="53">
        <v>46108</v>
      </c>
      <c r="B1325" s="54">
        <f>Table134[[#This Row],[Date]]</f>
        <v>46108</v>
      </c>
      <c r="C1325" s="55" t="s">
        <v>23</v>
      </c>
      <c r="D1325" s="198"/>
      <c r="E1325" s="82" t="s">
        <v>139</v>
      </c>
      <c r="F1325" s="55" t="s">
        <v>18</v>
      </c>
      <c r="G1325" s="55" t="s">
        <v>19</v>
      </c>
      <c r="H1325" s="55">
        <v>1</v>
      </c>
      <c r="I1325" s="57"/>
    </row>
    <row r="1326" spans="1:9">
      <c r="A1326" s="53">
        <v>46108</v>
      </c>
      <c r="B1326" s="54">
        <f>Table134[[#This Row],[Date]]</f>
        <v>46108</v>
      </c>
      <c r="C1326" s="55" t="s">
        <v>23</v>
      </c>
      <c r="D1326" s="198"/>
      <c r="E1326" s="82" t="s">
        <v>140</v>
      </c>
      <c r="F1326" s="55" t="s">
        <v>18</v>
      </c>
      <c r="G1326" s="55" t="s">
        <v>19</v>
      </c>
      <c r="H1326" s="55">
        <v>1</v>
      </c>
      <c r="I1326" s="57"/>
    </row>
    <row r="1327" spans="1:9">
      <c r="A1327" s="53">
        <v>46108</v>
      </c>
      <c r="B1327" s="54">
        <f>Table134[[#This Row],[Date]]</f>
        <v>46108</v>
      </c>
      <c r="C1327" s="55" t="s">
        <v>23</v>
      </c>
      <c r="D1327" s="55"/>
      <c r="E1327" s="59" t="s">
        <v>141</v>
      </c>
      <c r="F1327" s="55" t="s">
        <v>18</v>
      </c>
      <c r="G1327" s="55" t="s">
        <v>19</v>
      </c>
      <c r="H1327" s="55">
        <v>1</v>
      </c>
      <c r="I1327" s="57"/>
    </row>
    <row r="1328" spans="1:9">
      <c r="A1328" s="53">
        <v>46108</v>
      </c>
      <c r="B1328" s="54">
        <f>Table134[[#This Row],[Date]]</f>
        <v>46108</v>
      </c>
      <c r="C1328" s="55" t="s">
        <v>23</v>
      </c>
      <c r="D1328" s="55"/>
      <c r="E1328" s="59" t="s">
        <v>142</v>
      </c>
      <c r="F1328" s="55" t="s">
        <v>18</v>
      </c>
      <c r="G1328" s="55" t="s">
        <v>19</v>
      </c>
      <c r="H1328" s="55">
        <v>1</v>
      </c>
      <c r="I1328" s="57"/>
    </row>
    <row r="1329" spans="1:9">
      <c r="A1329" s="41">
        <v>46108</v>
      </c>
      <c r="B1329" s="42">
        <f>Table134[[#This Row],[Date]]</f>
        <v>46108</v>
      </c>
      <c r="C1329" s="43"/>
      <c r="D1329" s="200"/>
      <c r="E1329" s="162" t="s">
        <v>207</v>
      </c>
      <c r="F1329" s="43"/>
      <c r="G1329" s="43"/>
      <c r="H1329" s="43"/>
      <c r="I1329" s="45"/>
    </row>
    <row r="1330" spans="1:9">
      <c r="A1330" s="16">
        <v>46109</v>
      </c>
      <c r="B1330" s="18">
        <f>Table134[[#This Row],[Date]]</f>
        <v>46109</v>
      </c>
      <c r="C1330" s="10" t="s">
        <v>23</v>
      </c>
      <c r="D1330" s="201"/>
      <c r="E1330" s="81" t="s">
        <v>143</v>
      </c>
      <c r="F1330" s="10" t="s">
        <v>41</v>
      </c>
      <c r="G1330" s="10" t="s">
        <v>19</v>
      </c>
      <c r="H1330" s="10">
        <v>1</v>
      </c>
      <c r="I1330" s="13"/>
    </row>
    <row r="1331" spans="1:9">
      <c r="A1331" s="16">
        <v>46109</v>
      </c>
      <c r="B1331" s="18">
        <f>Table134[[#This Row],[Date]]</f>
        <v>46109</v>
      </c>
      <c r="C1331" s="10" t="s">
        <v>23</v>
      </c>
      <c r="D1331" s="201"/>
      <c r="E1331" s="81" t="s">
        <v>143</v>
      </c>
      <c r="F1331" s="10" t="s">
        <v>42</v>
      </c>
      <c r="G1331" s="10" t="s">
        <v>19</v>
      </c>
      <c r="H1331" s="10">
        <v>1</v>
      </c>
      <c r="I1331" s="13"/>
    </row>
    <row r="1332" spans="1:9">
      <c r="A1332" s="16">
        <v>46110</v>
      </c>
      <c r="B1332" s="18">
        <f>Table134[[#This Row],[Date]]</f>
        <v>46110</v>
      </c>
      <c r="C1332" s="10" t="s">
        <v>14</v>
      </c>
      <c r="D1332" s="201"/>
      <c r="E1332" s="81" t="s">
        <v>144</v>
      </c>
      <c r="F1332" s="10" t="s">
        <v>18</v>
      </c>
      <c r="G1332" s="10" t="s">
        <v>19</v>
      </c>
      <c r="H1332" s="10">
        <v>1</v>
      </c>
      <c r="I1332" s="13"/>
    </row>
    <row r="1333" spans="1:9">
      <c r="A1333" s="16">
        <v>46110</v>
      </c>
      <c r="B1333" s="18">
        <f>Table134[[#This Row],[Date]]</f>
        <v>46110</v>
      </c>
      <c r="C1333" s="10" t="s">
        <v>14</v>
      </c>
      <c r="D1333" s="201"/>
      <c r="E1333" s="81" t="s">
        <v>144</v>
      </c>
      <c r="F1333" s="10" t="s">
        <v>21</v>
      </c>
      <c r="G1333" s="10" t="s">
        <v>19</v>
      </c>
      <c r="H1333" s="10">
        <v>1</v>
      </c>
      <c r="I1333" s="13"/>
    </row>
    <row r="1334" spans="1:9">
      <c r="A1334" s="53">
        <v>46111</v>
      </c>
      <c r="B1334" s="54">
        <f>Table134[[#This Row],[Date]]</f>
        <v>46111</v>
      </c>
      <c r="C1334" s="55" t="s">
        <v>14</v>
      </c>
      <c r="D1334" s="198"/>
      <c r="E1334" s="82" t="s">
        <v>145</v>
      </c>
      <c r="F1334" s="55" t="s">
        <v>18</v>
      </c>
      <c r="G1334" s="55" t="s">
        <v>19</v>
      </c>
      <c r="H1334" s="55">
        <v>1</v>
      </c>
      <c r="I1334" s="57"/>
    </row>
    <row r="1335" spans="1:9">
      <c r="A1335" s="53">
        <v>46111</v>
      </c>
      <c r="B1335" s="54">
        <f>Table134[[#This Row],[Date]]</f>
        <v>46111</v>
      </c>
      <c r="C1335" s="55" t="s">
        <v>23</v>
      </c>
      <c r="D1335" s="198"/>
      <c r="E1335" s="82" t="s">
        <v>146</v>
      </c>
      <c r="F1335" s="55" t="s">
        <v>18</v>
      </c>
      <c r="G1335" s="55" t="s">
        <v>19</v>
      </c>
      <c r="H1335" s="55">
        <v>1</v>
      </c>
      <c r="I1335" s="57"/>
    </row>
    <row r="1336" spans="1:9">
      <c r="A1336" s="53">
        <v>46111</v>
      </c>
      <c r="B1336" s="54">
        <f>Table134[[#This Row],[Date]]</f>
        <v>46111</v>
      </c>
      <c r="C1336" s="55" t="s">
        <v>23</v>
      </c>
      <c r="D1336" s="198"/>
      <c r="E1336" s="82" t="s">
        <v>146</v>
      </c>
      <c r="F1336" s="55" t="s">
        <v>21</v>
      </c>
      <c r="G1336" s="55" t="s">
        <v>19</v>
      </c>
      <c r="H1336" s="55">
        <v>1</v>
      </c>
      <c r="I1336" s="57"/>
    </row>
    <row r="1337" spans="1:9">
      <c r="A1337" s="53">
        <v>46111</v>
      </c>
      <c r="B1337" s="54">
        <f>Table134[[#This Row],[Date]]</f>
        <v>46111</v>
      </c>
      <c r="C1337" s="55" t="s">
        <v>23</v>
      </c>
      <c r="D1337" s="198"/>
      <c r="E1337" s="82" t="s">
        <v>146</v>
      </c>
      <c r="F1337" s="55" t="s">
        <v>147</v>
      </c>
      <c r="G1337" s="55" t="s">
        <v>19</v>
      </c>
      <c r="H1337" s="55">
        <v>1</v>
      </c>
      <c r="I1337" s="57"/>
    </row>
    <row r="1338" spans="1:9">
      <c r="A1338" s="53">
        <v>46111</v>
      </c>
      <c r="B1338" s="54">
        <f>Table134[[#This Row],[Date]]</f>
        <v>46111</v>
      </c>
      <c r="C1338" s="55" t="s">
        <v>23</v>
      </c>
      <c r="D1338" s="198"/>
      <c r="E1338" s="82" t="s">
        <v>146</v>
      </c>
      <c r="F1338" s="55" t="s">
        <v>148</v>
      </c>
      <c r="G1338" s="55" t="s">
        <v>19</v>
      </c>
      <c r="H1338" s="55">
        <v>1</v>
      </c>
      <c r="I1338" s="57"/>
    </row>
    <row r="1339" spans="1:9">
      <c r="A1339" s="48">
        <v>46112</v>
      </c>
      <c r="B1339" s="49">
        <f>Table134[[#This Row],[Date]]</f>
        <v>46112</v>
      </c>
      <c r="C1339" s="50" t="s">
        <v>149</v>
      </c>
      <c r="D1339" s="202"/>
      <c r="E1339" s="134" t="s">
        <v>150</v>
      </c>
      <c r="F1339" s="50"/>
      <c r="G1339" s="50"/>
      <c r="H1339" s="50"/>
      <c r="I1339" s="52"/>
    </row>
    <row r="1340" spans="1:9">
      <c r="A1340" s="53">
        <v>46113</v>
      </c>
      <c r="B1340" s="54">
        <f>Table134[[#This Row],[Date]]</f>
        <v>46113</v>
      </c>
      <c r="C1340" s="55" t="s">
        <v>14</v>
      </c>
      <c r="D1340" s="198"/>
      <c r="E1340" s="92" t="s">
        <v>33</v>
      </c>
      <c r="F1340" s="77" t="s">
        <v>18</v>
      </c>
      <c r="G1340" s="55" t="s">
        <v>19</v>
      </c>
      <c r="H1340" s="55">
        <v>1</v>
      </c>
      <c r="I1340" s="57"/>
    </row>
    <row r="1341" spans="1:9">
      <c r="A1341" s="53">
        <v>46113</v>
      </c>
      <c r="B1341" s="54">
        <f>Table134[[#This Row],[Date]]</f>
        <v>46113</v>
      </c>
      <c r="C1341" s="55" t="s">
        <v>14</v>
      </c>
      <c r="D1341" s="55"/>
      <c r="E1341" s="91" t="s">
        <v>33</v>
      </c>
      <c r="F1341" s="55" t="s">
        <v>21</v>
      </c>
      <c r="G1341" s="55" t="s">
        <v>19</v>
      </c>
      <c r="H1341" s="55">
        <v>1</v>
      </c>
      <c r="I1341" s="57"/>
    </row>
    <row r="1342" spans="1:9">
      <c r="A1342" s="53">
        <v>46113</v>
      </c>
      <c r="B1342" s="54">
        <f>Table134[[#This Row],[Date]]</f>
        <v>46113</v>
      </c>
      <c r="C1342" s="55" t="s">
        <v>14</v>
      </c>
      <c r="D1342" s="55"/>
      <c r="E1342" s="91" t="s">
        <v>33</v>
      </c>
      <c r="F1342" s="77" t="s">
        <v>34</v>
      </c>
      <c r="G1342" s="55" t="s">
        <v>19</v>
      </c>
      <c r="H1342" s="55">
        <v>1</v>
      </c>
      <c r="I1342" s="57"/>
    </row>
    <row r="1343" spans="1:9">
      <c r="A1343" s="53">
        <v>46113</v>
      </c>
      <c r="B1343" s="54">
        <f>Table134[[#This Row],[Date]]</f>
        <v>46113</v>
      </c>
      <c r="C1343" s="55" t="s">
        <v>14</v>
      </c>
      <c r="D1343" s="55"/>
      <c r="E1343" s="91" t="s">
        <v>33</v>
      </c>
      <c r="F1343" s="77" t="s">
        <v>35</v>
      </c>
      <c r="G1343" s="55" t="s">
        <v>19</v>
      </c>
      <c r="H1343" s="55">
        <v>1</v>
      </c>
      <c r="I1343" s="57"/>
    </row>
    <row r="1344" spans="1:9">
      <c r="A1344" s="53">
        <v>46113</v>
      </c>
      <c r="B1344" s="54">
        <f>Table134[[#This Row],[Date]]</f>
        <v>46113</v>
      </c>
      <c r="C1344" s="55" t="s">
        <v>23</v>
      </c>
      <c r="D1344" s="55"/>
      <c r="E1344" s="59" t="s">
        <v>36</v>
      </c>
      <c r="F1344" s="55" t="s">
        <v>18</v>
      </c>
      <c r="G1344" s="55" t="s">
        <v>19</v>
      </c>
      <c r="H1344" s="55">
        <v>1</v>
      </c>
      <c r="I1344" s="57"/>
    </row>
    <row r="1345" spans="1:9">
      <c r="A1345" s="53">
        <v>46114</v>
      </c>
      <c r="B1345" s="54">
        <f>Table134[[#This Row],[Date]]</f>
        <v>46114</v>
      </c>
      <c r="C1345" s="55" t="s">
        <v>14</v>
      </c>
      <c r="D1345" s="55"/>
      <c r="E1345" s="91" t="s">
        <v>33</v>
      </c>
      <c r="F1345" s="64" t="s">
        <v>41</v>
      </c>
      <c r="G1345" s="55" t="s">
        <v>19</v>
      </c>
      <c r="H1345" s="55">
        <v>1</v>
      </c>
      <c r="I1345" s="57"/>
    </row>
    <row r="1346" spans="1:9">
      <c r="A1346" s="53">
        <v>46114</v>
      </c>
      <c r="B1346" s="54">
        <f>Table134[[#This Row],[Date]]</f>
        <v>46114</v>
      </c>
      <c r="C1346" s="55" t="s">
        <v>14</v>
      </c>
      <c r="D1346" s="55"/>
      <c r="E1346" s="91" t="s">
        <v>33</v>
      </c>
      <c r="F1346" s="55" t="s">
        <v>42</v>
      </c>
      <c r="G1346" s="55" t="s">
        <v>19</v>
      </c>
      <c r="H1346" s="55">
        <v>1</v>
      </c>
      <c r="I1346" s="57"/>
    </row>
    <row r="1347" spans="1:9">
      <c r="A1347" s="53">
        <v>46114</v>
      </c>
      <c r="B1347" s="54">
        <f>Table134[[#This Row],[Date]]</f>
        <v>46114</v>
      </c>
      <c r="C1347" s="55" t="s">
        <v>14</v>
      </c>
      <c r="D1347" s="55"/>
      <c r="E1347" s="91" t="s">
        <v>33</v>
      </c>
      <c r="F1347" s="55" t="s">
        <v>43</v>
      </c>
      <c r="G1347" s="55" t="s">
        <v>19</v>
      </c>
      <c r="H1347" s="55">
        <v>1</v>
      </c>
      <c r="I1347" s="57"/>
    </row>
    <row r="1348" spans="1:9">
      <c r="A1348" s="53">
        <v>46114</v>
      </c>
      <c r="B1348" s="54">
        <f>Table134[[#This Row],[Date]]</f>
        <v>46114</v>
      </c>
      <c r="C1348" s="55" t="s">
        <v>14</v>
      </c>
      <c r="D1348" s="55"/>
      <c r="E1348" s="91" t="s">
        <v>33</v>
      </c>
      <c r="F1348" s="64" t="s">
        <v>44</v>
      </c>
      <c r="G1348" s="55" t="s">
        <v>19</v>
      </c>
      <c r="H1348" s="55">
        <v>1</v>
      </c>
      <c r="I1348" s="57"/>
    </row>
    <row r="1349" spans="1:9">
      <c r="A1349" s="53">
        <v>46114</v>
      </c>
      <c r="B1349" s="54">
        <f>Table134[[#This Row],[Date]]</f>
        <v>46114</v>
      </c>
      <c r="C1349" s="55" t="s">
        <v>14</v>
      </c>
      <c r="D1349" s="55"/>
      <c r="E1349" s="91" t="s">
        <v>33</v>
      </c>
      <c r="F1349" s="64" t="s">
        <v>45</v>
      </c>
      <c r="G1349" s="55" t="s">
        <v>19</v>
      </c>
      <c r="H1349" s="55">
        <v>1</v>
      </c>
      <c r="I1349" s="57"/>
    </row>
    <row r="1350" spans="1:9">
      <c r="A1350" s="53">
        <v>46115</v>
      </c>
      <c r="B1350" s="54">
        <f>Table134[[#This Row],[Date]]</f>
        <v>46115</v>
      </c>
      <c r="C1350" s="55" t="s">
        <v>23</v>
      </c>
      <c r="D1350" s="55"/>
      <c r="E1350" s="91" t="s">
        <v>54</v>
      </c>
      <c r="F1350" s="64" t="s">
        <v>18</v>
      </c>
      <c r="G1350" s="55" t="s">
        <v>19</v>
      </c>
      <c r="H1350" s="55">
        <v>1</v>
      </c>
      <c r="I1350" s="57"/>
    </row>
    <row r="1351" spans="1:9">
      <c r="A1351" s="53">
        <v>46115</v>
      </c>
      <c r="B1351" s="54">
        <f>Table134[[#This Row],[Date]]</f>
        <v>46115</v>
      </c>
      <c r="C1351" s="55" t="s">
        <v>23</v>
      </c>
      <c r="D1351" s="55"/>
      <c r="E1351" s="91" t="s">
        <v>54</v>
      </c>
      <c r="F1351" s="64" t="s">
        <v>21</v>
      </c>
      <c r="G1351" s="55" t="s">
        <v>19</v>
      </c>
      <c r="H1351" s="55">
        <v>1</v>
      </c>
      <c r="I1351" s="57"/>
    </row>
    <row r="1352" spans="1:9">
      <c r="A1352" s="53">
        <v>46118</v>
      </c>
      <c r="B1352" s="54">
        <f>Table134[[#This Row],[Date]]</f>
        <v>46118</v>
      </c>
      <c r="C1352" s="55" t="s">
        <v>23</v>
      </c>
      <c r="D1352" s="55"/>
      <c r="E1352" s="91" t="s">
        <v>24</v>
      </c>
      <c r="F1352" s="64" t="s">
        <v>18</v>
      </c>
      <c r="G1352" s="55" t="s">
        <v>19</v>
      </c>
      <c r="H1352" s="55">
        <v>1</v>
      </c>
      <c r="I1352" s="57"/>
    </row>
    <row r="1353" spans="1:9">
      <c r="A1353" s="53">
        <v>46118</v>
      </c>
      <c r="B1353" s="54">
        <f>Table134[[#This Row],[Date]]</f>
        <v>46118</v>
      </c>
      <c r="C1353" s="55" t="s">
        <v>23</v>
      </c>
      <c r="D1353" s="55"/>
      <c r="E1353" s="91" t="s">
        <v>25</v>
      </c>
      <c r="F1353" s="64" t="s">
        <v>18</v>
      </c>
      <c r="G1353" s="55" t="s">
        <v>19</v>
      </c>
      <c r="H1353" s="55">
        <v>1</v>
      </c>
      <c r="I1353" s="57"/>
    </row>
    <row r="1354" spans="1:9">
      <c r="A1354" s="53">
        <v>46118</v>
      </c>
      <c r="B1354" s="54">
        <f>Table134[[#This Row],[Date]]</f>
        <v>46118</v>
      </c>
      <c r="C1354" s="55" t="s">
        <v>23</v>
      </c>
      <c r="D1354" s="55"/>
      <c r="E1354" s="91" t="s">
        <v>25</v>
      </c>
      <c r="F1354" s="64" t="s">
        <v>21</v>
      </c>
      <c r="G1354" s="55" t="s">
        <v>19</v>
      </c>
      <c r="H1354" s="55">
        <v>1</v>
      </c>
      <c r="I1354" s="57"/>
    </row>
    <row r="1355" spans="1:9">
      <c r="A1355" s="48">
        <v>46119</v>
      </c>
      <c r="B1355" s="49">
        <f>Table134[[#This Row],[Date]]</f>
        <v>46119</v>
      </c>
      <c r="C1355" s="50" t="s">
        <v>4</v>
      </c>
      <c r="D1355" s="50"/>
      <c r="E1355" s="51" t="s">
        <v>32</v>
      </c>
      <c r="F1355" s="50"/>
      <c r="G1355" s="50"/>
      <c r="H1355" s="50"/>
      <c r="I1355" s="52"/>
    </row>
    <row r="1356" spans="1:9">
      <c r="A1356" s="53">
        <v>46122</v>
      </c>
      <c r="B1356" s="54">
        <f>Table134[[#This Row],[Date]]</f>
        <v>46122</v>
      </c>
      <c r="C1356" s="55" t="s">
        <v>23</v>
      </c>
      <c r="D1356" s="55"/>
      <c r="E1356" s="59" t="s">
        <v>81</v>
      </c>
      <c r="F1356" s="55" t="s">
        <v>18</v>
      </c>
      <c r="G1356" s="55" t="s">
        <v>19</v>
      </c>
      <c r="H1356" s="55">
        <v>1</v>
      </c>
      <c r="I1356" s="57"/>
    </row>
    <row r="1357" spans="1:9">
      <c r="A1357" s="53">
        <v>46122</v>
      </c>
      <c r="B1357" s="54">
        <f>Table134[[#This Row],[Date]]</f>
        <v>46122</v>
      </c>
      <c r="C1357" s="55" t="s">
        <v>23</v>
      </c>
      <c r="D1357" s="55"/>
      <c r="E1357" s="59" t="s">
        <v>82</v>
      </c>
      <c r="F1357" s="55" t="s">
        <v>21</v>
      </c>
      <c r="G1357" s="55" t="s">
        <v>19</v>
      </c>
      <c r="H1357" s="55">
        <v>1</v>
      </c>
      <c r="I1357" s="57"/>
    </row>
    <row r="1358" spans="1:9">
      <c r="A1358" s="53">
        <v>46122</v>
      </c>
      <c r="B1358" s="125">
        <f>Table134[[#This Row],[Date]]</f>
        <v>46122</v>
      </c>
      <c r="C1358" s="55" t="s">
        <v>23</v>
      </c>
      <c r="D1358" s="55"/>
      <c r="E1358" s="161" t="s">
        <v>83</v>
      </c>
      <c r="F1358" s="55" t="s">
        <v>18</v>
      </c>
      <c r="G1358" s="55" t="s">
        <v>19</v>
      </c>
      <c r="H1358" s="55">
        <v>1</v>
      </c>
      <c r="I1358" s="127"/>
    </row>
    <row r="1359" spans="1:9">
      <c r="A1359" s="41">
        <v>46123</v>
      </c>
      <c r="B1359" s="42">
        <f>Table134[[#This Row],[Date]]</f>
        <v>46123</v>
      </c>
      <c r="C1359" s="43"/>
      <c r="D1359" s="43"/>
      <c r="E1359" s="44" t="s">
        <v>208</v>
      </c>
      <c r="F1359" s="43"/>
      <c r="G1359" s="43"/>
      <c r="H1359" s="43"/>
      <c r="I1359" s="45"/>
    </row>
    <row r="1360" spans="1:9">
      <c r="A1360" s="41">
        <v>46124</v>
      </c>
      <c r="B1360" s="42">
        <f>Table134[[#This Row],[Date]]</f>
        <v>46124</v>
      </c>
      <c r="C1360" s="43"/>
      <c r="D1360" s="43"/>
      <c r="E1360" s="44" t="s">
        <v>208</v>
      </c>
      <c r="F1360" s="43"/>
      <c r="G1360" s="43"/>
      <c r="H1360" s="43"/>
      <c r="I1360" s="45"/>
    </row>
    <row r="1361" spans="1:9">
      <c r="A1361" s="53">
        <v>46125</v>
      </c>
      <c r="B1361" s="54">
        <f>Table134[[#This Row],[Date]]</f>
        <v>46125</v>
      </c>
      <c r="C1361" s="55" t="s">
        <v>14</v>
      </c>
      <c r="D1361" s="55"/>
      <c r="E1361" s="61" t="s">
        <v>161</v>
      </c>
      <c r="F1361" s="55" t="s">
        <v>18</v>
      </c>
      <c r="G1361" s="55" t="s">
        <v>19</v>
      </c>
      <c r="H1361" s="55">
        <v>1</v>
      </c>
      <c r="I1361" s="57"/>
    </row>
    <row r="1362" spans="1:9">
      <c r="A1362" s="53">
        <v>46125</v>
      </c>
      <c r="B1362" s="54">
        <f>Table134[[#This Row],[Date]]</f>
        <v>46125</v>
      </c>
      <c r="C1362" s="55" t="s">
        <v>23</v>
      </c>
      <c r="D1362" s="55"/>
      <c r="E1362" s="61" t="s">
        <v>163</v>
      </c>
      <c r="F1362" s="55" t="s">
        <v>18</v>
      </c>
      <c r="G1362" s="55" t="s">
        <v>99</v>
      </c>
      <c r="H1362" s="55">
        <v>1</v>
      </c>
      <c r="I1362" s="57"/>
    </row>
    <row r="1363" spans="1:9">
      <c r="A1363" s="53">
        <v>46125</v>
      </c>
      <c r="B1363" s="54">
        <f>Table134[[#This Row],[Date]]</f>
        <v>46125</v>
      </c>
      <c r="C1363" s="55" t="s">
        <v>23</v>
      </c>
      <c r="D1363" s="55"/>
      <c r="E1363" s="59" t="s">
        <v>68</v>
      </c>
      <c r="F1363" s="64" t="s">
        <v>18</v>
      </c>
      <c r="G1363" s="55" t="s">
        <v>19</v>
      </c>
      <c r="H1363" s="55">
        <v>1</v>
      </c>
      <c r="I1363" s="57"/>
    </row>
    <row r="1364" spans="1:9">
      <c r="A1364" s="53">
        <v>46125</v>
      </c>
      <c r="B1364" s="54">
        <f>Table134[[#This Row],[Date]]</f>
        <v>46125</v>
      </c>
      <c r="C1364" s="55" t="s">
        <v>23</v>
      </c>
      <c r="D1364" s="55"/>
      <c r="E1364" s="59" t="s">
        <v>68</v>
      </c>
      <c r="F1364" s="64" t="s">
        <v>21</v>
      </c>
      <c r="G1364" s="55" t="s">
        <v>19</v>
      </c>
      <c r="H1364" s="55">
        <v>1</v>
      </c>
      <c r="I1364" s="57"/>
    </row>
    <row r="1365" spans="1:9">
      <c r="A1365" s="53">
        <v>46125</v>
      </c>
      <c r="B1365" s="54">
        <f>Table134[[#This Row],[Date]]</f>
        <v>46125</v>
      </c>
      <c r="C1365" s="55" t="s">
        <v>23</v>
      </c>
      <c r="D1365" s="55"/>
      <c r="E1365" s="59" t="s">
        <v>68</v>
      </c>
      <c r="F1365" s="64" t="s">
        <v>49</v>
      </c>
      <c r="G1365" s="55" t="s">
        <v>19</v>
      </c>
      <c r="H1365" s="55">
        <v>1</v>
      </c>
      <c r="I1365" s="57"/>
    </row>
    <row r="1366" spans="1:9">
      <c r="A1366" s="53">
        <v>46125</v>
      </c>
      <c r="B1366" s="54">
        <f>Table134[[#This Row],[Date]]</f>
        <v>46125</v>
      </c>
      <c r="C1366" s="55" t="s">
        <v>23</v>
      </c>
      <c r="D1366" s="55"/>
      <c r="E1366" s="59" t="s">
        <v>68</v>
      </c>
      <c r="F1366" s="64" t="s">
        <v>41</v>
      </c>
      <c r="G1366" s="55" t="s">
        <v>19</v>
      </c>
      <c r="H1366" s="55">
        <v>1</v>
      </c>
      <c r="I1366" s="57"/>
    </row>
    <row r="1367" spans="1:9">
      <c r="A1367" s="53">
        <v>46125</v>
      </c>
      <c r="B1367" s="54">
        <f>Table134[[#This Row],[Date]]</f>
        <v>46125</v>
      </c>
      <c r="C1367" s="55" t="s">
        <v>23</v>
      </c>
      <c r="D1367" s="55"/>
      <c r="E1367" s="59" t="s">
        <v>68</v>
      </c>
      <c r="F1367" s="55" t="s">
        <v>47</v>
      </c>
      <c r="G1367" s="55" t="s">
        <v>19</v>
      </c>
      <c r="H1367" s="55">
        <v>1</v>
      </c>
      <c r="I1367" s="57"/>
    </row>
    <row r="1368" spans="1:9">
      <c r="A1368" s="41">
        <v>46125</v>
      </c>
      <c r="B1368" s="42">
        <f>Table134[[#This Row],[Date]]</f>
        <v>46125</v>
      </c>
      <c r="C1368" s="43"/>
      <c r="D1368" s="43"/>
      <c r="E1368" s="44" t="s">
        <v>208</v>
      </c>
      <c r="F1368" s="43"/>
      <c r="G1368" s="43"/>
      <c r="H1368" s="43"/>
      <c r="I1368" s="45"/>
    </row>
    <row r="1369" spans="1:9">
      <c r="A1369" s="53">
        <v>46126</v>
      </c>
      <c r="B1369" s="54">
        <f>Table134[[#This Row],[Date]]</f>
        <v>46126</v>
      </c>
      <c r="C1369" s="55" t="s">
        <v>14</v>
      </c>
      <c r="D1369" s="55"/>
      <c r="E1369" s="59" t="s">
        <v>104</v>
      </c>
      <c r="F1369" s="55" t="s">
        <v>59</v>
      </c>
      <c r="G1369" s="55" t="s">
        <v>60</v>
      </c>
      <c r="H1369" s="55">
        <v>1</v>
      </c>
      <c r="I1369" s="57"/>
    </row>
    <row r="1370" spans="1:9">
      <c r="A1370" s="53">
        <v>46126</v>
      </c>
      <c r="B1370" s="54">
        <f>Table134[[#This Row],[Date]]</f>
        <v>46126</v>
      </c>
      <c r="C1370" s="55" t="s">
        <v>14</v>
      </c>
      <c r="D1370" s="55"/>
      <c r="E1370" s="59" t="s">
        <v>104</v>
      </c>
      <c r="F1370" s="55" t="s">
        <v>61</v>
      </c>
      <c r="G1370" s="55" t="s">
        <v>60</v>
      </c>
      <c r="H1370" s="55">
        <v>1</v>
      </c>
      <c r="I1370" s="57"/>
    </row>
    <row r="1371" spans="1:9">
      <c r="A1371" s="48">
        <v>46126</v>
      </c>
      <c r="B1371" s="49">
        <f>Table134[[#This Row],[Date]]</f>
        <v>46126</v>
      </c>
      <c r="C1371" s="50" t="s">
        <v>4</v>
      </c>
      <c r="D1371" s="50"/>
      <c r="E1371" s="51" t="s">
        <v>32</v>
      </c>
      <c r="F1371" s="50"/>
      <c r="G1371" s="50"/>
      <c r="H1371" s="50"/>
      <c r="I1371" s="52"/>
    </row>
    <row r="1372" spans="1:9">
      <c r="A1372" s="41">
        <v>46126</v>
      </c>
      <c r="B1372" s="42">
        <f>Table134[[#This Row],[Date]]</f>
        <v>46126</v>
      </c>
      <c r="C1372" s="43"/>
      <c r="D1372" s="43"/>
      <c r="E1372" s="44" t="s">
        <v>208</v>
      </c>
      <c r="F1372" s="43"/>
      <c r="G1372" s="43"/>
      <c r="H1372" s="43"/>
      <c r="I1372" s="45"/>
    </row>
    <row r="1373" spans="1:9">
      <c r="A1373" s="110">
        <v>46127</v>
      </c>
      <c r="B1373" s="111">
        <f>Table134[[#This Row],[Date]]</f>
        <v>46127</v>
      </c>
      <c r="C1373" s="112" t="s">
        <v>16</v>
      </c>
      <c r="D1373" s="112"/>
      <c r="E1373" s="113" t="s">
        <v>105</v>
      </c>
      <c r="F1373" s="115" t="s">
        <v>18</v>
      </c>
      <c r="G1373" s="112" t="s">
        <v>19</v>
      </c>
      <c r="H1373" s="112">
        <v>1</v>
      </c>
      <c r="I1373" s="114"/>
    </row>
    <row r="1374" spans="1:9">
      <c r="A1374" s="110">
        <v>46127</v>
      </c>
      <c r="B1374" s="111">
        <f>Table134[[#This Row],[Date]]</f>
        <v>46127</v>
      </c>
      <c r="C1374" s="112" t="s">
        <v>16</v>
      </c>
      <c r="D1374" s="112"/>
      <c r="E1374" s="113" t="s">
        <v>105</v>
      </c>
      <c r="F1374" s="115" t="s">
        <v>21</v>
      </c>
      <c r="G1374" s="112" t="s">
        <v>19</v>
      </c>
      <c r="H1374" s="112">
        <v>1</v>
      </c>
      <c r="I1374" s="114"/>
    </row>
    <row r="1375" spans="1:9">
      <c r="A1375" s="110">
        <v>46127</v>
      </c>
      <c r="B1375" s="111">
        <f>Table134[[#This Row],[Date]]</f>
        <v>46127</v>
      </c>
      <c r="C1375" s="112" t="s">
        <v>16</v>
      </c>
      <c r="D1375" s="112"/>
      <c r="E1375" s="113" t="s">
        <v>105</v>
      </c>
      <c r="F1375" s="115" t="s">
        <v>49</v>
      </c>
      <c r="G1375" s="112" t="s">
        <v>19</v>
      </c>
      <c r="H1375" s="112">
        <v>1</v>
      </c>
      <c r="I1375" s="114"/>
    </row>
    <row r="1376" spans="1:9">
      <c r="A1376" s="41">
        <v>46127</v>
      </c>
      <c r="B1376" s="42">
        <f>Table134[[#This Row],[Date]]</f>
        <v>46127</v>
      </c>
      <c r="C1376" s="43"/>
      <c r="D1376" s="43"/>
      <c r="E1376" s="44" t="s">
        <v>208</v>
      </c>
      <c r="F1376" s="43"/>
      <c r="G1376" s="43"/>
      <c r="H1376" s="43"/>
      <c r="I1376" s="45"/>
    </row>
    <row r="1377" spans="1:9">
      <c r="A1377" s="110">
        <v>46128</v>
      </c>
      <c r="B1377" s="111">
        <f>Table134[[#This Row],[Date]]</f>
        <v>46128</v>
      </c>
      <c r="C1377" s="112" t="s">
        <v>16</v>
      </c>
      <c r="D1377" s="112"/>
      <c r="E1377" s="113" t="s">
        <v>105</v>
      </c>
      <c r="F1377" s="213" t="s">
        <v>47</v>
      </c>
      <c r="G1377" s="112" t="s">
        <v>19</v>
      </c>
      <c r="H1377" s="112">
        <v>1</v>
      </c>
      <c r="I1377" s="114"/>
    </row>
    <row r="1378" spans="1:9">
      <c r="A1378" s="110">
        <v>46128</v>
      </c>
      <c r="B1378" s="111">
        <f>Table134[[#This Row],[Date]]</f>
        <v>46128</v>
      </c>
      <c r="C1378" s="112" t="s">
        <v>16</v>
      </c>
      <c r="D1378" s="112"/>
      <c r="E1378" s="113" t="s">
        <v>105</v>
      </c>
      <c r="F1378" s="115" t="s">
        <v>53</v>
      </c>
      <c r="G1378" s="112" t="s">
        <v>19</v>
      </c>
      <c r="H1378" s="112">
        <v>1</v>
      </c>
      <c r="I1378" s="114"/>
    </row>
    <row r="1379" spans="1:9">
      <c r="A1379" s="110">
        <v>46128</v>
      </c>
      <c r="B1379" s="111">
        <f>Table134[[#This Row],[Date]]</f>
        <v>46128</v>
      </c>
      <c r="C1379" s="112" t="s">
        <v>16</v>
      </c>
      <c r="D1379" s="112"/>
      <c r="E1379" s="113" t="s">
        <v>105</v>
      </c>
      <c r="F1379" s="115" t="s">
        <v>41</v>
      </c>
      <c r="G1379" s="112" t="s">
        <v>19</v>
      </c>
      <c r="H1379" s="112">
        <v>1</v>
      </c>
      <c r="I1379" s="114"/>
    </row>
    <row r="1380" spans="1:9">
      <c r="A1380" s="41">
        <v>46128</v>
      </c>
      <c r="B1380" s="42">
        <f>Table134[[#This Row],[Date]]</f>
        <v>46128</v>
      </c>
      <c r="C1380" s="43"/>
      <c r="D1380" s="43"/>
      <c r="E1380" s="44" t="s">
        <v>208</v>
      </c>
      <c r="F1380" s="43"/>
      <c r="G1380" s="43"/>
      <c r="H1380" s="43"/>
      <c r="I1380" s="45"/>
    </row>
    <row r="1381" spans="1:9">
      <c r="A1381" s="110">
        <v>46129</v>
      </c>
      <c r="B1381" s="111">
        <f>Table134[[#This Row],[Date]]</f>
        <v>46129</v>
      </c>
      <c r="C1381" s="112" t="s">
        <v>14</v>
      </c>
      <c r="D1381" s="112"/>
      <c r="E1381" s="113" t="s">
        <v>105</v>
      </c>
      <c r="F1381" s="112" t="s">
        <v>59</v>
      </c>
      <c r="G1381" s="112" t="s">
        <v>60</v>
      </c>
      <c r="H1381" s="112">
        <v>1</v>
      </c>
      <c r="I1381" s="114"/>
    </row>
    <row r="1382" spans="1:9">
      <c r="A1382" s="110">
        <v>46129</v>
      </c>
      <c r="B1382" s="111">
        <f>Table134[[#This Row],[Date]]</f>
        <v>46129</v>
      </c>
      <c r="C1382" s="112" t="s">
        <v>14</v>
      </c>
      <c r="D1382" s="203"/>
      <c r="E1382" s="158" t="s">
        <v>105</v>
      </c>
      <c r="F1382" s="115" t="s">
        <v>61</v>
      </c>
      <c r="G1382" s="112" t="s">
        <v>60</v>
      </c>
      <c r="H1382" s="112">
        <v>1</v>
      </c>
      <c r="I1382" s="114"/>
    </row>
    <row r="1383" spans="1:9">
      <c r="A1383" s="110">
        <v>46129</v>
      </c>
      <c r="B1383" s="111">
        <f>Table134[[#This Row],[Date]]</f>
        <v>46129</v>
      </c>
      <c r="C1383" s="112" t="s">
        <v>14</v>
      </c>
      <c r="D1383" s="203"/>
      <c r="E1383" s="158" t="s">
        <v>105</v>
      </c>
      <c r="F1383" s="115" t="s">
        <v>72</v>
      </c>
      <c r="G1383" s="112" t="s">
        <v>60</v>
      </c>
      <c r="H1383" s="112">
        <v>1</v>
      </c>
      <c r="I1383" s="114"/>
    </row>
    <row r="1384" spans="1:9">
      <c r="A1384" s="110">
        <v>46129</v>
      </c>
      <c r="B1384" s="111">
        <f>Table134[[#This Row],[Date]]</f>
        <v>46129</v>
      </c>
      <c r="C1384" s="112" t="s">
        <v>14</v>
      </c>
      <c r="D1384" s="112"/>
      <c r="E1384" s="113" t="s">
        <v>105</v>
      </c>
      <c r="F1384" s="115" t="s">
        <v>76</v>
      </c>
      <c r="G1384" s="112" t="s">
        <v>60</v>
      </c>
      <c r="H1384" s="112">
        <v>1</v>
      </c>
      <c r="I1384" s="114"/>
    </row>
    <row r="1385" spans="1:9">
      <c r="A1385" s="41">
        <v>46129</v>
      </c>
      <c r="B1385" s="42">
        <f>Table134[[#This Row],[Date]]</f>
        <v>46129</v>
      </c>
      <c r="C1385" s="43"/>
      <c r="D1385" s="43"/>
      <c r="E1385" s="44" t="s">
        <v>208</v>
      </c>
      <c r="F1385" s="43"/>
      <c r="G1385" s="43"/>
      <c r="H1385" s="43"/>
      <c r="I1385" s="45"/>
    </row>
    <row r="1386" spans="1:9">
      <c r="A1386" s="98">
        <v>46130</v>
      </c>
      <c r="B1386" s="99">
        <f>Table134[[#This Row],[Date]]</f>
        <v>46130</v>
      </c>
      <c r="C1386" s="100" t="s">
        <v>26</v>
      </c>
      <c r="D1386" s="100"/>
      <c r="E1386" s="102" t="s">
        <v>102</v>
      </c>
      <c r="F1386" s="121" t="s">
        <v>18</v>
      </c>
      <c r="G1386" s="100" t="s">
        <v>19</v>
      </c>
      <c r="H1386" s="100">
        <v>1</v>
      </c>
      <c r="I1386" s="101"/>
    </row>
    <row r="1387" spans="1:9">
      <c r="A1387" s="41">
        <v>46130</v>
      </c>
      <c r="B1387" s="42">
        <f>Table134[[#This Row],[Date]]</f>
        <v>46130</v>
      </c>
      <c r="C1387" s="43"/>
      <c r="D1387" s="43"/>
      <c r="E1387" s="44" t="s">
        <v>208</v>
      </c>
      <c r="F1387" s="43"/>
      <c r="G1387" s="43"/>
      <c r="H1387" s="43"/>
      <c r="I1387" s="45"/>
    </row>
    <row r="1388" spans="1:9">
      <c r="A1388" s="41">
        <v>46131</v>
      </c>
      <c r="B1388" s="42">
        <f>Table134[[#This Row],[Date]]</f>
        <v>46131</v>
      </c>
      <c r="C1388" s="43"/>
      <c r="D1388" s="43"/>
      <c r="E1388" s="44" t="s">
        <v>208</v>
      </c>
      <c r="F1388" s="43"/>
      <c r="G1388" s="43"/>
      <c r="H1388" s="43"/>
      <c r="I1388" s="45"/>
    </row>
    <row r="1389" spans="1:9">
      <c r="A1389" s="53">
        <v>46132</v>
      </c>
      <c r="B1389" s="54">
        <f>Table134[[#This Row],[Date]]</f>
        <v>46132</v>
      </c>
      <c r="C1389" s="55" t="s">
        <v>14</v>
      </c>
      <c r="D1389" s="55"/>
      <c r="E1389" s="59" t="s">
        <v>96</v>
      </c>
      <c r="F1389" s="55" t="s">
        <v>18</v>
      </c>
      <c r="G1389" s="55" t="s">
        <v>19</v>
      </c>
      <c r="H1389" s="55">
        <v>1</v>
      </c>
      <c r="I1389" s="57"/>
    </row>
    <row r="1390" spans="1:9">
      <c r="A1390" s="96">
        <v>46132</v>
      </c>
      <c r="B1390" s="37">
        <f>Table134[[#This Row],[Date]]</f>
        <v>46132</v>
      </c>
      <c r="C1390" s="38" t="s">
        <v>14</v>
      </c>
      <c r="D1390" s="38"/>
      <c r="E1390" s="39" t="s">
        <v>97</v>
      </c>
      <c r="F1390" s="38" t="s">
        <v>18</v>
      </c>
      <c r="G1390" s="38" t="s">
        <v>19</v>
      </c>
      <c r="H1390" s="38">
        <v>1</v>
      </c>
      <c r="I1390" s="97"/>
    </row>
    <row r="1391" spans="1:9">
      <c r="A1391" s="53">
        <v>46132</v>
      </c>
      <c r="B1391" s="54">
        <f>Table134[[#This Row],[Date]]</f>
        <v>46132</v>
      </c>
      <c r="C1391" s="55" t="s">
        <v>16</v>
      </c>
      <c r="D1391" s="55"/>
      <c r="E1391" s="59" t="s">
        <v>101</v>
      </c>
      <c r="F1391" s="64" t="s">
        <v>18</v>
      </c>
      <c r="G1391" s="55" t="s">
        <v>19</v>
      </c>
      <c r="H1391" s="55">
        <v>1</v>
      </c>
      <c r="I1391" s="57"/>
    </row>
    <row r="1392" spans="1:9">
      <c r="A1392" s="53">
        <v>46132</v>
      </c>
      <c r="B1392" s="54">
        <f>Table134[[#This Row],[Date]]</f>
        <v>46132</v>
      </c>
      <c r="C1392" s="55" t="s">
        <v>16</v>
      </c>
      <c r="D1392" s="55"/>
      <c r="E1392" s="59" t="s">
        <v>101</v>
      </c>
      <c r="F1392" s="64" t="s">
        <v>21</v>
      </c>
      <c r="G1392" s="55" t="s">
        <v>19</v>
      </c>
      <c r="H1392" s="55">
        <v>1</v>
      </c>
      <c r="I1392" s="57"/>
    </row>
    <row r="1393" spans="1:9">
      <c r="A1393" s="53">
        <v>46132</v>
      </c>
      <c r="B1393" s="54">
        <f>Table134[[#This Row],[Date]]</f>
        <v>46132</v>
      </c>
      <c r="C1393" s="55" t="s">
        <v>16</v>
      </c>
      <c r="D1393" s="55"/>
      <c r="E1393" s="59" t="s">
        <v>101</v>
      </c>
      <c r="F1393" s="55" t="s">
        <v>47</v>
      </c>
      <c r="G1393" s="55" t="s">
        <v>19</v>
      </c>
      <c r="H1393" s="55">
        <v>1</v>
      </c>
      <c r="I1393" s="57"/>
    </row>
    <row r="1394" spans="1:9">
      <c r="A1394" s="53">
        <v>46133</v>
      </c>
      <c r="B1394" s="54">
        <f>Table134[[#This Row],[Date]]</f>
        <v>46133</v>
      </c>
      <c r="C1394" s="55" t="s">
        <v>14</v>
      </c>
      <c r="D1394" s="55"/>
      <c r="E1394" s="59" t="s">
        <v>104</v>
      </c>
      <c r="F1394" s="63" t="s">
        <v>72</v>
      </c>
      <c r="G1394" s="55" t="s">
        <v>60</v>
      </c>
      <c r="H1394" s="55">
        <v>1</v>
      </c>
      <c r="I1394" s="57"/>
    </row>
    <row r="1395" spans="1:9">
      <c r="A1395" s="53">
        <v>46133</v>
      </c>
      <c r="B1395" s="54">
        <f>Table134[[#This Row],[Date]]</f>
        <v>46133</v>
      </c>
      <c r="C1395" s="55" t="s">
        <v>14</v>
      </c>
      <c r="D1395" s="55"/>
      <c r="E1395" s="59" t="s">
        <v>104</v>
      </c>
      <c r="F1395" s="55" t="s">
        <v>76</v>
      </c>
      <c r="G1395" s="55" t="s">
        <v>60</v>
      </c>
      <c r="H1395" s="55">
        <v>1</v>
      </c>
      <c r="I1395" s="57"/>
    </row>
    <row r="1396" spans="1:9">
      <c r="A1396" s="53">
        <v>46134</v>
      </c>
      <c r="B1396" s="54">
        <f>Table134[[#This Row],[Date]]</f>
        <v>46134</v>
      </c>
      <c r="C1396" s="55" t="s">
        <v>23</v>
      </c>
      <c r="D1396" s="55"/>
      <c r="E1396" s="61" t="s">
        <v>125</v>
      </c>
      <c r="F1396" s="55" t="s">
        <v>18</v>
      </c>
      <c r="G1396" s="55" t="s">
        <v>19</v>
      </c>
      <c r="H1396" s="55">
        <v>1</v>
      </c>
      <c r="I1396" s="57"/>
    </row>
    <row r="1397" spans="1:9">
      <c r="A1397" s="53">
        <v>46134</v>
      </c>
      <c r="B1397" s="54">
        <f>Table134[[#This Row],[Date]]</f>
        <v>46134</v>
      </c>
      <c r="C1397" s="55" t="s">
        <v>23</v>
      </c>
      <c r="D1397" s="55"/>
      <c r="E1397" s="61" t="s">
        <v>106</v>
      </c>
      <c r="F1397" s="64" t="s">
        <v>28</v>
      </c>
      <c r="G1397" s="55" t="s">
        <v>19</v>
      </c>
      <c r="H1397" s="55">
        <v>1</v>
      </c>
      <c r="I1397" s="57"/>
    </row>
    <row r="1398" spans="1:9">
      <c r="A1398" s="53">
        <v>46134</v>
      </c>
      <c r="B1398" s="54">
        <f>Table134[[#This Row],[Date]]</f>
        <v>46134</v>
      </c>
      <c r="C1398" s="55" t="s">
        <v>23</v>
      </c>
      <c r="D1398" s="55"/>
      <c r="E1398" s="61" t="s">
        <v>106</v>
      </c>
      <c r="F1398" s="55" t="s">
        <v>107</v>
      </c>
      <c r="G1398" s="55" t="s">
        <v>19</v>
      </c>
      <c r="H1398" s="55">
        <v>1</v>
      </c>
      <c r="I1398" s="57"/>
    </row>
    <row r="1399" spans="1:9">
      <c r="A1399" s="53">
        <v>46134</v>
      </c>
      <c r="B1399" s="54">
        <f>Table134[[#This Row],[Date]]</f>
        <v>46134</v>
      </c>
      <c r="C1399" s="55" t="s">
        <v>23</v>
      </c>
      <c r="D1399" s="55"/>
      <c r="E1399" s="61" t="s">
        <v>106</v>
      </c>
      <c r="F1399" s="64" t="s">
        <v>41</v>
      </c>
      <c r="G1399" s="55" t="s">
        <v>19</v>
      </c>
      <c r="H1399" s="55">
        <v>1</v>
      </c>
      <c r="I1399" s="57"/>
    </row>
    <row r="1400" spans="1:9">
      <c r="A1400" s="53">
        <v>46135</v>
      </c>
      <c r="B1400" s="54">
        <f>Table134[[#This Row],[Date]]</f>
        <v>46135</v>
      </c>
      <c r="C1400" s="55" t="s">
        <v>16</v>
      </c>
      <c r="D1400" s="55"/>
      <c r="E1400" s="59" t="s">
        <v>133</v>
      </c>
      <c r="F1400" s="55" t="s">
        <v>21</v>
      </c>
      <c r="G1400" s="55" t="s">
        <v>19</v>
      </c>
      <c r="H1400" s="55">
        <v>1</v>
      </c>
      <c r="I1400" s="57"/>
    </row>
    <row r="1401" spans="1:9">
      <c r="A1401" s="53">
        <v>46135</v>
      </c>
      <c r="B1401" s="54">
        <f>Table134[[#This Row],[Date]]</f>
        <v>46135</v>
      </c>
      <c r="C1401" s="55" t="s">
        <v>16</v>
      </c>
      <c r="D1401" s="55"/>
      <c r="E1401" s="59" t="s">
        <v>135</v>
      </c>
      <c r="F1401" s="77" t="s">
        <v>47</v>
      </c>
      <c r="G1401" s="55" t="s">
        <v>19</v>
      </c>
      <c r="H1401" s="55">
        <v>1</v>
      </c>
      <c r="I1401" s="57"/>
    </row>
    <row r="1402" spans="1:9">
      <c r="A1402" s="53">
        <v>46135</v>
      </c>
      <c r="B1402" s="54">
        <f>Table134[[#This Row],[Date]]</f>
        <v>46135</v>
      </c>
      <c r="C1402" s="55" t="s">
        <v>16</v>
      </c>
      <c r="D1402" s="55"/>
      <c r="E1402" s="59" t="s">
        <v>135</v>
      </c>
      <c r="F1402" s="77" t="s">
        <v>53</v>
      </c>
      <c r="G1402" s="55" t="s">
        <v>19</v>
      </c>
      <c r="H1402" s="55">
        <v>1</v>
      </c>
      <c r="I1402" s="57"/>
    </row>
    <row r="1403" spans="1:9">
      <c r="A1403" s="53">
        <v>46135</v>
      </c>
      <c r="B1403" s="54">
        <f>Table134[[#This Row],[Date]]</f>
        <v>46135</v>
      </c>
      <c r="C1403" s="55" t="s">
        <v>23</v>
      </c>
      <c r="D1403" s="55"/>
      <c r="E1403" s="59" t="s">
        <v>106</v>
      </c>
      <c r="F1403" s="65" t="s">
        <v>18</v>
      </c>
      <c r="G1403" s="55" t="s">
        <v>19</v>
      </c>
      <c r="H1403" s="55">
        <v>1</v>
      </c>
      <c r="I1403" s="57"/>
    </row>
    <row r="1404" spans="1:9">
      <c r="A1404" s="53">
        <v>46135</v>
      </c>
      <c r="B1404" s="54">
        <f>Table134[[#This Row],[Date]]</f>
        <v>46135</v>
      </c>
      <c r="C1404" s="55" t="s">
        <v>23</v>
      </c>
      <c r="D1404" s="55"/>
      <c r="E1404" s="59" t="s">
        <v>106</v>
      </c>
      <c r="F1404" s="64" t="s">
        <v>21</v>
      </c>
      <c r="G1404" s="55" t="s">
        <v>19</v>
      </c>
      <c r="H1404" s="55">
        <v>1</v>
      </c>
      <c r="I1404" s="57"/>
    </row>
    <row r="1405" spans="1:9">
      <c r="A1405" s="53">
        <v>46135</v>
      </c>
      <c r="B1405" s="54">
        <f>Table134[[#This Row],[Date]]</f>
        <v>46135</v>
      </c>
      <c r="C1405" s="55" t="s">
        <v>23</v>
      </c>
      <c r="D1405" s="55"/>
      <c r="E1405" s="59" t="s">
        <v>106</v>
      </c>
      <c r="F1405" s="64" t="s">
        <v>49</v>
      </c>
      <c r="G1405" s="55" t="s">
        <v>19</v>
      </c>
      <c r="H1405" s="55">
        <v>1</v>
      </c>
      <c r="I1405" s="57"/>
    </row>
    <row r="1406" spans="1:9">
      <c r="A1406" s="53">
        <v>46136</v>
      </c>
      <c r="B1406" s="54">
        <f>Table134[[#This Row],[Date]]</f>
        <v>46136</v>
      </c>
      <c r="C1406" s="55" t="s">
        <v>23</v>
      </c>
      <c r="D1406" s="55"/>
      <c r="E1406" s="59" t="s">
        <v>114</v>
      </c>
      <c r="F1406" s="55" t="s">
        <v>18</v>
      </c>
      <c r="G1406" s="55" t="s">
        <v>19</v>
      </c>
      <c r="H1406" s="55">
        <v>1</v>
      </c>
      <c r="I1406" s="57"/>
    </row>
    <row r="1407" spans="1:9">
      <c r="A1407" s="53">
        <v>46136</v>
      </c>
      <c r="B1407" s="54">
        <f>Table134[[#This Row],[Date]]</f>
        <v>46136</v>
      </c>
      <c r="C1407" s="55" t="s">
        <v>23</v>
      </c>
      <c r="D1407" s="55"/>
      <c r="E1407" s="59" t="s">
        <v>114</v>
      </c>
      <c r="F1407" s="55" t="s">
        <v>21</v>
      </c>
      <c r="G1407" s="55" t="s">
        <v>19</v>
      </c>
      <c r="H1407" s="55">
        <v>1</v>
      </c>
      <c r="I1407" s="57"/>
    </row>
    <row r="1408" spans="1:9">
      <c r="A1408" s="103">
        <v>46136</v>
      </c>
      <c r="B1408" s="104">
        <f>Table134[[#This Row],[Date]]</f>
        <v>46136</v>
      </c>
      <c r="C1408" s="105" t="s">
        <v>26</v>
      </c>
      <c r="D1408" s="105"/>
      <c r="E1408" s="106" t="s">
        <v>115</v>
      </c>
      <c r="F1408" s="105" t="s">
        <v>18</v>
      </c>
      <c r="G1408" s="105" t="s">
        <v>19</v>
      </c>
      <c r="H1408" s="105">
        <v>1</v>
      </c>
      <c r="I1408" s="108"/>
    </row>
    <row r="1409" spans="1:9">
      <c r="A1409" s="98">
        <v>46136</v>
      </c>
      <c r="B1409" s="99">
        <f>Table134[[#This Row],[Date]]</f>
        <v>46136</v>
      </c>
      <c r="C1409" s="100"/>
      <c r="D1409" s="100"/>
      <c r="E1409" s="102" t="s">
        <v>123</v>
      </c>
      <c r="F1409" s="100" t="s">
        <v>18</v>
      </c>
      <c r="G1409" s="21" t="s">
        <v>19</v>
      </c>
      <c r="H1409" s="28">
        <v>1</v>
      </c>
      <c r="I1409" s="101"/>
    </row>
    <row r="1410" spans="1:9">
      <c r="A1410" s="98">
        <v>46136</v>
      </c>
      <c r="B1410" s="99">
        <f>Table134[[#This Row],[Date]]</f>
        <v>46136</v>
      </c>
      <c r="C1410" s="100"/>
      <c r="D1410" s="100"/>
      <c r="E1410" s="102" t="s">
        <v>123</v>
      </c>
      <c r="F1410" s="100" t="s">
        <v>21</v>
      </c>
      <c r="G1410" s="21" t="s">
        <v>19</v>
      </c>
      <c r="H1410" s="28">
        <v>1</v>
      </c>
      <c r="I1410" s="101"/>
    </row>
    <row r="1411" spans="1:9">
      <c r="A1411" s="98">
        <v>46136</v>
      </c>
      <c r="B1411" s="99">
        <f>Table134[[#This Row],[Date]]</f>
        <v>46136</v>
      </c>
      <c r="C1411" s="100"/>
      <c r="D1411" s="100"/>
      <c r="E1411" s="102" t="s">
        <v>123</v>
      </c>
      <c r="F1411" s="100" t="s">
        <v>47</v>
      </c>
      <c r="G1411" s="21" t="s">
        <v>19</v>
      </c>
      <c r="H1411" s="28">
        <v>1</v>
      </c>
      <c r="I1411" s="101"/>
    </row>
    <row r="1412" spans="1:9">
      <c r="A1412" s="53">
        <v>46139</v>
      </c>
      <c r="B1412" s="54">
        <f>Table134[[#This Row],[Date]]</f>
        <v>46139</v>
      </c>
      <c r="C1412" s="55" t="s">
        <v>23</v>
      </c>
      <c r="D1412" s="55"/>
      <c r="E1412" s="59" t="s">
        <v>209</v>
      </c>
      <c r="F1412" s="63" t="s">
        <v>18</v>
      </c>
      <c r="G1412" s="55" t="s">
        <v>19</v>
      </c>
      <c r="H1412" s="55">
        <v>1</v>
      </c>
      <c r="I1412" s="57"/>
    </row>
    <row r="1413" spans="1:9">
      <c r="A1413" s="53">
        <v>46139</v>
      </c>
      <c r="B1413" s="54">
        <f>Table134[[#This Row],[Date]]</f>
        <v>46139</v>
      </c>
      <c r="C1413" s="55" t="s">
        <v>23</v>
      </c>
      <c r="D1413" s="55"/>
      <c r="E1413" s="132" t="s">
        <v>122</v>
      </c>
      <c r="F1413" s="55" t="s">
        <v>21</v>
      </c>
      <c r="G1413" s="55" t="s">
        <v>19</v>
      </c>
      <c r="H1413" s="55">
        <v>2</v>
      </c>
      <c r="I1413" s="57"/>
    </row>
    <row r="1414" spans="1:9">
      <c r="A1414" s="110">
        <v>46139</v>
      </c>
      <c r="B1414" s="111">
        <f>Table134[[#This Row],[Date]]</f>
        <v>46139</v>
      </c>
      <c r="C1414" s="112" t="s">
        <v>26</v>
      </c>
      <c r="D1414" s="112"/>
      <c r="E1414" s="124" t="s">
        <v>169</v>
      </c>
      <c r="F1414" s="112" t="s">
        <v>18</v>
      </c>
      <c r="G1414" s="112" t="s">
        <v>19</v>
      </c>
      <c r="H1414" s="112">
        <v>1</v>
      </c>
      <c r="I1414" s="114"/>
    </row>
    <row r="1415" spans="1:9">
      <c r="A1415" s="53">
        <v>46140</v>
      </c>
      <c r="B1415" s="54">
        <f>Table134[[#This Row],[Date]]</f>
        <v>46140</v>
      </c>
      <c r="C1415" s="55" t="s">
        <v>14</v>
      </c>
      <c r="D1415" s="55"/>
      <c r="E1415" s="59" t="s">
        <v>104</v>
      </c>
      <c r="F1415" s="55" t="s">
        <v>18</v>
      </c>
      <c r="G1415" s="55" t="s">
        <v>19</v>
      </c>
      <c r="H1415" s="55">
        <v>1</v>
      </c>
      <c r="I1415" s="57"/>
    </row>
    <row r="1416" spans="1:9">
      <c r="A1416" s="53">
        <v>46140</v>
      </c>
      <c r="B1416" s="54">
        <f>Table134[[#This Row],[Date]]</f>
        <v>46140</v>
      </c>
      <c r="C1416" s="55" t="s">
        <v>14</v>
      </c>
      <c r="D1416" s="55"/>
      <c r="E1416" s="59" t="s">
        <v>104</v>
      </c>
      <c r="F1416" s="55" t="s">
        <v>21</v>
      </c>
      <c r="G1416" s="55" t="s">
        <v>19</v>
      </c>
      <c r="H1416" s="55">
        <v>1</v>
      </c>
      <c r="I1416" s="57"/>
    </row>
    <row r="1417" spans="1:9">
      <c r="A1417" s="48">
        <v>46140</v>
      </c>
      <c r="B1417" s="49">
        <f>Table134[[#This Row],[Date]]</f>
        <v>46140</v>
      </c>
      <c r="C1417" s="50" t="s">
        <v>4</v>
      </c>
      <c r="D1417" s="50"/>
      <c r="E1417" s="51" t="s">
        <v>32</v>
      </c>
      <c r="F1417" s="50"/>
      <c r="G1417" s="50"/>
      <c r="H1417" s="50"/>
      <c r="I1417" s="52"/>
    </row>
    <row r="1418" spans="1:9">
      <c r="A1418" s="48">
        <v>46140</v>
      </c>
      <c r="B1418" s="49">
        <f>Table134[[#This Row],[Date]]</f>
        <v>46140</v>
      </c>
      <c r="C1418" s="50" t="s">
        <v>149</v>
      </c>
      <c r="D1418" s="50"/>
      <c r="E1418" s="51" t="s">
        <v>150</v>
      </c>
      <c r="F1418" s="50"/>
      <c r="G1418" s="50"/>
      <c r="H1418" s="50"/>
      <c r="I1418" s="52"/>
    </row>
    <row r="1419" spans="1:9">
      <c r="A1419" s="53">
        <v>46142</v>
      </c>
      <c r="B1419" s="54">
        <f>Table134[[#This Row],[Date]]</f>
        <v>46142</v>
      </c>
      <c r="C1419" s="55" t="s">
        <v>23</v>
      </c>
      <c r="D1419" s="55"/>
      <c r="E1419" s="59" t="s">
        <v>146</v>
      </c>
      <c r="F1419" s="55" t="s">
        <v>18</v>
      </c>
      <c r="G1419" s="55" t="s">
        <v>19</v>
      </c>
      <c r="H1419" s="55">
        <v>1</v>
      </c>
      <c r="I1419" s="57"/>
    </row>
    <row r="1420" spans="1:9">
      <c r="A1420" s="53">
        <v>46142</v>
      </c>
      <c r="B1420" s="54">
        <f>Table134[[#This Row],[Date]]</f>
        <v>46142</v>
      </c>
      <c r="C1420" s="55" t="s">
        <v>23</v>
      </c>
      <c r="D1420" s="55"/>
      <c r="E1420" s="59" t="s">
        <v>146</v>
      </c>
      <c r="F1420" s="55" t="s">
        <v>21</v>
      </c>
      <c r="G1420" s="55" t="s">
        <v>19</v>
      </c>
      <c r="H1420" s="55">
        <v>1</v>
      </c>
      <c r="I1420" s="57"/>
    </row>
    <row r="1421" spans="1:9">
      <c r="A1421" s="53">
        <v>46142</v>
      </c>
      <c r="B1421" s="54">
        <f>Table134[[#This Row],[Date]]</f>
        <v>46142</v>
      </c>
      <c r="C1421" s="55" t="s">
        <v>23</v>
      </c>
      <c r="D1421" s="55"/>
      <c r="E1421" s="59" t="s">
        <v>146</v>
      </c>
      <c r="F1421" s="63" t="s">
        <v>147</v>
      </c>
      <c r="G1421" s="55" t="s">
        <v>19</v>
      </c>
      <c r="H1421" s="55">
        <v>1</v>
      </c>
      <c r="I1421" s="57"/>
    </row>
    <row r="1422" spans="1:9">
      <c r="A1422" s="53">
        <v>46142</v>
      </c>
      <c r="B1422" s="54">
        <f>Table134[[#This Row],[Date]]</f>
        <v>46142</v>
      </c>
      <c r="C1422" s="55" t="s">
        <v>23</v>
      </c>
      <c r="D1422" s="55"/>
      <c r="E1422" s="59" t="s">
        <v>146</v>
      </c>
      <c r="F1422" s="55" t="s">
        <v>148</v>
      </c>
      <c r="G1422" s="55" t="s">
        <v>19</v>
      </c>
      <c r="H1422" s="55">
        <v>1</v>
      </c>
      <c r="I1422" s="57"/>
    </row>
    <row r="1423" spans="1:9">
      <c r="A1423" s="53">
        <v>46146</v>
      </c>
      <c r="B1423" s="54">
        <f>Table134[[#This Row],[Date]]</f>
        <v>46146</v>
      </c>
      <c r="C1423" s="55" t="s">
        <v>23</v>
      </c>
      <c r="D1423" s="55"/>
      <c r="E1423" s="91" t="s">
        <v>24</v>
      </c>
      <c r="F1423" s="64" t="s">
        <v>18</v>
      </c>
      <c r="G1423" s="55" t="s">
        <v>19</v>
      </c>
      <c r="H1423" s="55">
        <v>1</v>
      </c>
      <c r="I1423" s="57"/>
    </row>
    <row r="1424" spans="1:9">
      <c r="A1424" s="53">
        <v>46146</v>
      </c>
      <c r="B1424" s="54">
        <f>Table134[[#This Row],[Date]]</f>
        <v>46146</v>
      </c>
      <c r="C1424" s="55" t="s">
        <v>23</v>
      </c>
      <c r="D1424" s="55"/>
      <c r="E1424" s="91" t="s">
        <v>25</v>
      </c>
      <c r="F1424" s="64" t="s">
        <v>18</v>
      </c>
      <c r="G1424" s="55" t="s">
        <v>19</v>
      </c>
      <c r="H1424" s="55">
        <v>1</v>
      </c>
      <c r="I1424" s="57"/>
    </row>
    <row r="1425" spans="1:9">
      <c r="A1425" s="53">
        <v>46146</v>
      </c>
      <c r="B1425" s="54">
        <f>Table134[[#This Row],[Date]]</f>
        <v>46146</v>
      </c>
      <c r="C1425" s="55" t="s">
        <v>23</v>
      </c>
      <c r="D1425" s="55"/>
      <c r="E1425" s="91" t="s">
        <v>25</v>
      </c>
      <c r="F1425" s="64" t="s">
        <v>21</v>
      </c>
      <c r="G1425" s="55" t="s">
        <v>19</v>
      </c>
      <c r="H1425" s="55">
        <v>1</v>
      </c>
      <c r="I1425" s="57"/>
    </row>
    <row r="1426" spans="1:9">
      <c r="A1426" s="53">
        <v>46148</v>
      </c>
      <c r="B1426" s="54">
        <f>Table134[[#This Row],[Date]]</f>
        <v>46148</v>
      </c>
      <c r="C1426" s="55" t="s">
        <v>14</v>
      </c>
      <c r="D1426" s="55"/>
      <c r="E1426" s="91" t="s">
        <v>33</v>
      </c>
      <c r="F1426" s="77" t="s">
        <v>18</v>
      </c>
      <c r="G1426" s="55" t="s">
        <v>19</v>
      </c>
      <c r="H1426" s="55">
        <v>1</v>
      </c>
      <c r="I1426" s="57"/>
    </row>
    <row r="1427" spans="1:9">
      <c r="A1427" s="53">
        <v>46148</v>
      </c>
      <c r="B1427" s="54">
        <f>Table134[[#This Row],[Date]]</f>
        <v>46148</v>
      </c>
      <c r="C1427" s="55" t="s">
        <v>14</v>
      </c>
      <c r="D1427" s="55"/>
      <c r="E1427" s="91" t="s">
        <v>33</v>
      </c>
      <c r="F1427" s="55" t="s">
        <v>21</v>
      </c>
      <c r="G1427" s="55" t="s">
        <v>19</v>
      </c>
      <c r="H1427" s="55">
        <v>1</v>
      </c>
      <c r="I1427" s="57"/>
    </row>
    <row r="1428" spans="1:9">
      <c r="A1428" s="53">
        <v>46148</v>
      </c>
      <c r="B1428" s="54">
        <f>Table134[[#This Row],[Date]]</f>
        <v>46148</v>
      </c>
      <c r="C1428" s="55" t="s">
        <v>14</v>
      </c>
      <c r="D1428" s="55"/>
      <c r="E1428" s="91" t="s">
        <v>33</v>
      </c>
      <c r="F1428" s="77" t="s">
        <v>34</v>
      </c>
      <c r="G1428" s="55" t="s">
        <v>19</v>
      </c>
      <c r="H1428" s="55">
        <v>1</v>
      </c>
      <c r="I1428" s="57"/>
    </row>
    <row r="1429" spans="1:9">
      <c r="A1429" s="53">
        <v>46148</v>
      </c>
      <c r="B1429" s="54">
        <f>Table134[[#This Row],[Date]]</f>
        <v>46148</v>
      </c>
      <c r="C1429" s="55" t="s">
        <v>14</v>
      </c>
      <c r="D1429" s="55"/>
      <c r="E1429" s="91" t="s">
        <v>33</v>
      </c>
      <c r="F1429" s="77" t="s">
        <v>35</v>
      </c>
      <c r="G1429" s="55" t="s">
        <v>19</v>
      </c>
      <c r="H1429" s="55">
        <v>1</v>
      </c>
      <c r="I1429" s="57"/>
    </row>
    <row r="1430" spans="1:9">
      <c r="A1430" s="53">
        <v>46148</v>
      </c>
      <c r="B1430" s="54">
        <f>Table134[[#This Row],[Date]]</f>
        <v>46148</v>
      </c>
      <c r="C1430" s="55" t="s">
        <v>23</v>
      </c>
      <c r="D1430" s="55"/>
      <c r="E1430" s="59" t="s">
        <v>36</v>
      </c>
      <c r="F1430" s="63" t="s">
        <v>18</v>
      </c>
      <c r="G1430" s="55" t="s">
        <v>19</v>
      </c>
      <c r="H1430" s="55">
        <v>1</v>
      </c>
      <c r="I1430" s="57"/>
    </row>
    <row r="1431" spans="1:9">
      <c r="A1431" s="53">
        <v>46149</v>
      </c>
      <c r="B1431" s="54">
        <f>Table134[[#This Row],[Date]]</f>
        <v>46149</v>
      </c>
      <c r="C1431" s="55" t="s">
        <v>14</v>
      </c>
      <c r="D1431" s="55"/>
      <c r="E1431" s="91" t="s">
        <v>33</v>
      </c>
      <c r="F1431" s="64" t="s">
        <v>41</v>
      </c>
      <c r="G1431" s="55" t="s">
        <v>19</v>
      </c>
      <c r="H1431" s="55">
        <v>1</v>
      </c>
      <c r="I1431" s="57"/>
    </row>
    <row r="1432" spans="1:9">
      <c r="A1432" s="53">
        <v>46149</v>
      </c>
      <c r="B1432" s="54">
        <f>Table134[[#This Row],[Date]]</f>
        <v>46149</v>
      </c>
      <c r="C1432" s="55" t="s">
        <v>14</v>
      </c>
      <c r="D1432" s="55"/>
      <c r="E1432" s="91" t="s">
        <v>33</v>
      </c>
      <c r="F1432" s="55" t="s">
        <v>42</v>
      </c>
      <c r="G1432" s="55" t="s">
        <v>19</v>
      </c>
      <c r="H1432" s="55">
        <v>1</v>
      </c>
      <c r="I1432" s="57"/>
    </row>
    <row r="1433" spans="1:9">
      <c r="A1433" s="53">
        <v>46149</v>
      </c>
      <c r="B1433" s="54">
        <f>Table134[[#This Row],[Date]]</f>
        <v>46149</v>
      </c>
      <c r="C1433" s="55" t="s">
        <v>14</v>
      </c>
      <c r="D1433" s="55"/>
      <c r="E1433" s="91" t="s">
        <v>33</v>
      </c>
      <c r="F1433" s="55" t="s">
        <v>43</v>
      </c>
      <c r="G1433" s="55" t="s">
        <v>19</v>
      </c>
      <c r="H1433" s="55">
        <v>1</v>
      </c>
      <c r="I1433" s="57"/>
    </row>
    <row r="1434" spans="1:9">
      <c r="A1434" s="53">
        <v>46149</v>
      </c>
      <c r="B1434" s="54">
        <f>Table134[[#This Row],[Date]]</f>
        <v>46149</v>
      </c>
      <c r="C1434" s="55" t="s">
        <v>14</v>
      </c>
      <c r="D1434" s="55"/>
      <c r="E1434" s="91" t="s">
        <v>33</v>
      </c>
      <c r="F1434" s="64" t="s">
        <v>44</v>
      </c>
      <c r="G1434" s="55" t="s">
        <v>19</v>
      </c>
      <c r="H1434" s="55">
        <v>1</v>
      </c>
      <c r="I1434" s="57"/>
    </row>
    <row r="1435" spans="1:9">
      <c r="A1435" s="53">
        <v>46149</v>
      </c>
      <c r="B1435" s="54">
        <f>Table134[[#This Row],[Date]]</f>
        <v>46149</v>
      </c>
      <c r="C1435" s="55" t="s">
        <v>14</v>
      </c>
      <c r="D1435" s="55"/>
      <c r="E1435" s="91" t="s">
        <v>33</v>
      </c>
      <c r="F1435" s="64" t="s">
        <v>45</v>
      </c>
      <c r="G1435" s="55" t="s">
        <v>19</v>
      </c>
      <c r="H1435" s="55">
        <v>1</v>
      </c>
      <c r="I1435" s="57"/>
    </row>
    <row r="1436" spans="1:9">
      <c r="A1436" s="53">
        <v>46150</v>
      </c>
      <c r="B1436" s="54">
        <f>Table134[[#This Row],[Date]]</f>
        <v>46150</v>
      </c>
      <c r="C1436" s="55" t="s">
        <v>23</v>
      </c>
      <c r="D1436" s="55"/>
      <c r="E1436" s="91" t="s">
        <v>54</v>
      </c>
      <c r="F1436" s="64" t="s">
        <v>18</v>
      </c>
      <c r="G1436" s="55" t="s">
        <v>19</v>
      </c>
      <c r="H1436" s="55">
        <v>1</v>
      </c>
      <c r="I1436" s="57"/>
    </row>
    <row r="1437" spans="1:9">
      <c r="A1437" s="53">
        <v>46150</v>
      </c>
      <c r="B1437" s="54">
        <f>Table134[[#This Row],[Date]]</f>
        <v>46150</v>
      </c>
      <c r="C1437" s="55" t="s">
        <v>23</v>
      </c>
      <c r="D1437" s="55"/>
      <c r="E1437" s="91" t="s">
        <v>54</v>
      </c>
      <c r="F1437" s="64" t="s">
        <v>21</v>
      </c>
      <c r="G1437" s="55" t="s">
        <v>19</v>
      </c>
      <c r="H1437" s="55">
        <v>1</v>
      </c>
      <c r="I1437" s="57"/>
    </row>
    <row r="1438" spans="1:9">
      <c r="A1438" s="103">
        <v>46153</v>
      </c>
      <c r="B1438" s="104">
        <f>Table134[[#This Row],[Date]]</f>
        <v>46153</v>
      </c>
      <c r="C1438" s="105" t="s">
        <v>23</v>
      </c>
      <c r="D1438" s="105"/>
      <c r="E1438" s="109" t="s">
        <v>68</v>
      </c>
      <c r="F1438" s="107" t="s">
        <v>18</v>
      </c>
      <c r="G1438" s="105" t="s">
        <v>19</v>
      </c>
      <c r="H1438" s="105">
        <v>1</v>
      </c>
      <c r="I1438" s="108"/>
    </row>
    <row r="1439" spans="1:9">
      <c r="A1439" s="103">
        <v>46153</v>
      </c>
      <c r="B1439" s="104">
        <f>Table134[[#This Row],[Date]]</f>
        <v>46153</v>
      </c>
      <c r="C1439" s="105" t="s">
        <v>23</v>
      </c>
      <c r="D1439" s="105"/>
      <c r="E1439" s="109" t="s">
        <v>68</v>
      </c>
      <c r="F1439" s="120" t="s">
        <v>21</v>
      </c>
      <c r="G1439" s="105" t="s">
        <v>19</v>
      </c>
      <c r="H1439" s="105">
        <v>1</v>
      </c>
      <c r="I1439" s="108"/>
    </row>
    <row r="1440" spans="1:9">
      <c r="A1440" s="103">
        <v>46153</v>
      </c>
      <c r="B1440" s="104">
        <f>Table134[[#This Row],[Date]]</f>
        <v>46153</v>
      </c>
      <c r="C1440" s="105" t="s">
        <v>23</v>
      </c>
      <c r="D1440" s="105"/>
      <c r="E1440" s="109" t="s">
        <v>68</v>
      </c>
      <c r="F1440" s="107" t="s">
        <v>49</v>
      </c>
      <c r="G1440" s="105" t="s">
        <v>19</v>
      </c>
      <c r="H1440" s="105">
        <v>1</v>
      </c>
      <c r="I1440" s="108"/>
    </row>
    <row r="1441" spans="1:9">
      <c r="A1441" s="103">
        <v>46153</v>
      </c>
      <c r="B1441" s="104">
        <f>Table134[[#This Row],[Date]]</f>
        <v>46153</v>
      </c>
      <c r="C1441" s="105" t="s">
        <v>23</v>
      </c>
      <c r="D1441" s="105"/>
      <c r="E1441" s="109" t="s">
        <v>68</v>
      </c>
      <c r="F1441" s="107" t="s">
        <v>41</v>
      </c>
      <c r="G1441" s="105" t="s">
        <v>19</v>
      </c>
      <c r="H1441" s="105">
        <v>1</v>
      </c>
      <c r="I1441" s="108"/>
    </row>
    <row r="1442" spans="1:9">
      <c r="A1442" s="53">
        <v>46154</v>
      </c>
      <c r="B1442" s="54">
        <f>Table134[[#This Row],[Date]]</f>
        <v>46154</v>
      </c>
      <c r="C1442" s="55" t="s">
        <v>14</v>
      </c>
      <c r="D1442" s="55"/>
      <c r="E1442" s="59" t="s">
        <v>104</v>
      </c>
      <c r="F1442" s="55" t="s">
        <v>59</v>
      </c>
      <c r="G1442" s="55" t="s">
        <v>60</v>
      </c>
      <c r="H1442" s="55">
        <v>1</v>
      </c>
      <c r="I1442" s="57"/>
    </row>
    <row r="1443" spans="1:9">
      <c r="A1443" s="53">
        <v>46154</v>
      </c>
      <c r="B1443" s="54">
        <f>Table134[[#This Row],[Date]]</f>
        <v>46154</v>
      </c>
      <c r="C1443" s="55" t="s">
        <v>14</v>
      </c>
      <c r="D1443" s="55"/>
      <c r="E1443" s="59" t="s">
        <v>104</v>
      </c>
      <c r="F1443" s="55" t="s">
        <v>61</v>
      </c>
      <c r="G1443" s="55" t="s">
        <v>60</v>
      </c>
      <c r="H1443" s="55">
        <v>1</v>
      </c>
      <c r="I1443" s="57"/>
    </row>
    <row r="1444" spans="1:9">
      <c r="A1444" s="103">
        <v>46155</v>
      </c>
      <c r="B1444" s="104">
        <f>Table134[[#This Row],[Date]]</f>
        <v>46155</v>
      </c>
      <c r="C1444" s="105" t="s">
        <v>23</v>
      </c>
      <c r="D1444" s="105"/>
      <c r="E1444" s="109" t="s">
        <v>68</v>
      </c>
      <c r="F1444" s="105" t="s">
        <v>47</v>
      </c>
      <c r="G1444" s="105" t="s">
        <v>19</v>
      </c>
      <c r="H1444" s="105">
        <v>1</v>
      </c>
      <c r="I1444" s="108"/>
    </row>
    <row r="1445" spans="1:9">
      <c r="A1445" s="53">
        <v>46157</v>
      </c>
      <c r="B1445" s="54">
        <f>Table134[[#This Row],[Date]]</f>
        <v>46157</v>
      </c>
      <c r="C1445" s="55" t="s">
        <v>23</v>
      </c>
      <c r="D1445" s="55"/>
      <c r="E1445" s="59" t="s">
        <v>81</v>
      </c>
      <c r="F1445" s="55" t="s">
        <v>18</v>
      </c>
      <c r="G1445" s="55" t="s">
        <v>19</v>
      </c>
      <c r="H1445" s="55">
        <v>1</v>
      </c>
      <c r="I1445" s="57"/>
    </row>
    <row r="1446" spans="1:9">
      <c r="A1446" s="53">
        <v>46157</v>
      </c>
      <c r="B1446" s="54">
        <f>Table134[[#This Row],[Date]]</f>
        <v>46157</v>
      </c>
      <c r="C1446" s="55" t="s">
        <v>23</v>
      </c>
      <c r="D1446" s="55"/>
      <c r="E1446" s="59" t="s">
        <v>114</v>
      </c>
      <c r="F1446" s="55" t="s">
        <v>18</v>
      </c>
      <c r="G1446" s="55" t="s">
        <v>19</v>
      </c>
      <c r="H1446" s="55">
        <v>1</v>
      </c>
      <c r="I1446" s="57"/>
    </row>
    <row r="1447" spans="1:9">
      <c r="A1447" s="53">
        <v>46157</v>
      </c>
      <c r="B1447" s="54">
        <f>Table134[[#This Row],[Date]]</f>
        <v>46157</v>
      </c>
      <c r="C1447" s="55" t="s">
        <v>23</v>
      </c>
      <c r="D1447" s="55"/>
      <c r="E1447" s="59" t="s">
        <v>114</v>
      </c>
      <c r="F1447" s="55" t="s">
        <v>21</v>
      </c>
      <c r="G1447" s="55" t="s">
        <v>19</v>
      </c>
      <c r="H1447" s="55">
        <v>1</v>
      </c>
      <c r="I1447" s="57"/>
    </row>
    <row r="1448" spans="1:9">
      <c r="A1448" s="53">
        <v>46157</v>
      </c>
      <c r="B1448" s="54">
        <f>Table134[[#This Row],[Date]]</f>
        <v>46157</v>
      </c>
      <c r="C1448" s="55" t="s">
        <v>23</v>
      </c>
      <c r="D1448" s="55"/>
      <c r="E1448" s="61" t="s">
        <v>83</v>
      </c>
      <c r="F1448" s="63" t="s">
        <v>18</v>
      </c>
      <c r="G1448" s="55" t="s">
        <v>19</v>
      </c>
      <c r="H1448" s="55">
        <v>1</v>
      </c>
      <c r="I1448" s="57"/>
    </row>
    <row r="1449" spans="1:9">
      <c r="A1449" s="53">
        <v>46161</v>
      </c>
      <c r="B1449" s="54">
        <f>Table134[[#This Row],[Date]]</f>
        <v>46161</v>
      </c>
      <c r="C1449" s="55" t="s">
        <v>14</v>
      </c>
      <c r="D1449" s="55"/>
      <c r="E1449" s="59" t="s">
        <v>104</v>
      </c>
      <c r="F1449" s="55" t="s">
        <v>72</v>
      </c>
      <c r="G1449" s="55" t="s">
        <v>60</v>
      </c>
      <c r="H1449" s="55">
        <v>1</v>
      </c>
      <c r="I1449" s="57"/>
    </row>
    <row r="1450" spans="1:9">
      <c r="A1450" s="53">
        <v>46161</v>
      </c>
      <c r="B1450" s="54">
        <f>Table134[[#This Row],[Date]]</f>
        <v>46161</v>
      </c>
      <c r="C1450" s="55" t="s">
        <v>14</v>
      </c>
      <c r="D1450" s="55"/>
      <c r="E1450" s="59" t="s">
        <v>104</v>
      </c>
      <c r="F1450" s="55" t="s">
        <v>76</v>
      </c>
      <c r="G1450" s="55" t="s">
        <v>60</v>
      </c>
      <c r="H1450" s="55">
        <v>1</v>
      </c>
      <c r="I1450" s="57"/>
    </row>
    <row r="1451" spans="1:9">
      <c r="A1451" s="103">
        <v>46164</v>
      </c>
      <c r="B1451" s="104">
        <f>Table134[[#This Row],[Date]]</f>
        <v>46164</v>
      </c>
      <c r="C1451" s="105" t="s">
        <v>26</v>
      </c>
      <c r="D1451" s="105"/>
      <c r="E1451" s="106" t="s">
        <v>115</v>
      </c>
      <c r="F1451" s="105" t="s">
        <v>28</v>
      </c>
      <c r="G1451" s="105" t="s">
        <v>19</v>
      </c>
      <c r="H1451" s="105">
        <v>1</v>
      </c>
      <c r="I1451" s="108"/>
    </row>
    <row r="1452" spans="1:9">
      <c r="A1452" s="98">
        <v>46164</v>
      </c>
      <c r="B1452" s="99">
        <f>Table134[[#This Row],[Date]]</f>
        <v>46164</v>
      </c>
      <c r="C1452" s="100" t="s">
        <v>26</v>
      </c>
      <c r="D1452" s="100"/>
      <c r="E1452" s="102" t="s">
        <v>102</v>
      </c>
      <c r="F1452" s="121" t="s">
        <v>18</v>
      </c>
      <c r="G1452" s="100" t="s">
        <v>19</v>
      </c>
      <c r="H1452" s="100">
        <v>1</v>
      </c>
      <c r="I1452" s="101"/>
    </row>
    <row r="1453" spans="1:9">
      <c r="A1453" s="98">
        <v>46164</v>
      </c>
      <c r="B1453" s="99">
        <f>Table134[[#This Row],[Date]]</f>
        <v>46164</v>
      </c>
      <c r="C1453" s="100"/>
      <c r="D1453" s="100"/>
      <c r="E1453" s="102" t="s">
        <v>123</v>
      </c>
      <c r="F1453" s="100" t="s">
        <v>18</v>
      </c>
      <c r="G1453" s="21" t="s">
        <v>19</v>
      </c>
      <c r="H1453" s="28">
        <v>1</v>
      </c>
      <c r="I1453" s="101"/>
    </row>
    <row r="1454" spans="1:9">
      <c r="A1454" s="98">
        <v>46164</v>
      </c>
      <c r="B1454" s="99">
        <f>Table134[[#This Row],[Date]]</f>
        <v>46164</v>
      </c>
      <c r="C1454" s="100"/>
      <c r="D1454" s="100"/>
      <c r="E1454" s="102" t="s">
        <v>123</v>
      </c>
      <c r="F1454" s="100" t="s">
        <v>21</v>
      </c>
      <c r="G1454" s="21" t="s">
        <v>19</v>
      </c>
      <c r="H1454" s="28">
        <v>1</v>
      </c>
      <c r="I1454" s="101"/>
    </row>
    <row r="1455" spans="1:9">
      <c r="A1455" s="98">
        <v>46164</v>
      </c>
      <c r="B1455" s="99">
        <f>Table134[[#This Row],[Date]]</f>
        <v>46164</v>
      </c>
      <c r="C1455" s="100"/>
      <c r="D1455" s="100"/>
      <c r="E1455" s="102" t="s">
        <v>123</v>
      </c>
      <c r="F1455" s="100" t="s">
        <v>47</v>
      </c>
      <c r="G1455" s="21" t="s">
        <v>19</v>
      </c>
      <c r="H1455" s="28">
        <v>1</v>
      </c>
      <c r="I1455" s="101"/>
    </row>
    <row r="1456" spans="1:9">
      <c r="A1456" s="53">
        <v>46167</v>
      </c>
      <c r="B1456" s="54">
        <f>Table134[[#This Row],[Date]]</f>
        <v>46167</v>
      </c>
      <c r="C1456" s="55" t="s">
        <v>23</v>
      </c>
      <c r="D1456" s="55"/>
      <c r="E1456" s="59" t="s">
        <v>210</v>
      </c>
      <c r="F1456" s="55" t="s">
        <v>21</v>
      </c>
      <c r="G1456" s="55" t="s">
        <v>19</v>
      </c>
      <c r="H1456" s="55">
        <v>1</v>
      </c>
      <c r="I1456" s="57"/>
    </row>
    <row r="1457" spans="1:9">
      <c r="A1457" s="53">
        <v>46168</v>
      </c>
      <c r="B1457" s="54">
        <f>Table134[[#This Row],[Date]]</f>
        <v>46168</v>
      </c>
      <c r="C1457" s="55" t="s">
        <v>14</v>
      </c>
      <c r="D1457" s="55"/>
      <c r="E1457" s="59" t="s">
        <v>104</v>
      </c>
      <c r="F1457" s="63" t="s">
        <v>18</v>
      </c>
      <c r="G1457" s="55" t="s">
        <v>19</v>
      </c>
      <c r="H1457" s="55">
        <v>1</v>
      </c>
      <c r="I1457" s="57"/>
    </row>
    <row r="1458" spans="1:9">
      <c r="A1458" s="53">
        <v>46168</v>
      </c>
      <c r="B1458" s="54">
        <f>Table134[[#This Row],[Date]]</f>
        <v>46168</v>
      </c>
      <c r="C1458" s="55" t="s">
        <v>14</v>
      </c>
      <c r="D1458" s="55"/>
      <c r="E1458" s="59" t="s">
        <v>104</v>
      </c>
      <c r="F1458" s="55" t="s">
        <v>21</v>
      </c>
      <c r="G1458" s="55" t="s">
        <v>19</v>
      </c>
      <c r="H1458" s="55">
        <v>1</v>
      </c>
      <c r="I1458" s="57"/>
    </row>
    <row r="1459" spans="1:9">
      <c r="A1459" s="48">
        <v>46168</v>
      </c>
      <c r="B1459" s="49">
        <f>Table134[[#This Row],[Date]]</f>
        <v>46168</v>
      </c>
      <c r="C1459" s="50" t="s">
        <v>149</v>
      </c>
      <c r="D1459" s="50"/>
      <c r="E1459" s="51" t="s">
        <v>150</v>
      </c>
      <c r="F1459" s="50"/>
      <c r="G1459" s="50"/>
      <c r="H1459" s="50"/>
      <c r="I1459" s="52"/>
    </row>
    <row r="1460" spans="1:9">
      <c r="A1460" s="53">
        <v>46170</v>
      </c>
      <c r="B1460" s="54">
        <f>Table134[[#This Row],[Date]]</f>
        <v>46170</v>
      </c>
      <c r="C1460" s="55" t="s">
        <v>16</v>
      </c>
      <c r="D1460" s="55"/>
      <c r="E1460" s="59" t="s">
        <v>133</v>
      </c>
      <c r="F1460" s="55" t="s">
        <v>21</v>
      </c>
      <c r="G1460" s="55" t="s">
        <v>19</v>
      </c>
      <c r="H1460" s="55">
        <v>1</v>
      </c>
      <c r="I1460" s="57"/>
    </row>
    <row r="1461" spans="1:9">
      <c r="A1461" s="53">
        <v>46170</v>
      </c>
      <c r="B1461" s="54">
        <f>Table134[[#This Row],[Date]]</f>
        <v>46170</v>
      </c>
      <c r="C1461" s="55" t="s">
        <v>16</v>
      </c>
      <c r="D1461" s="55"/>
      <c r="E1461" s="59" t="s">
        <v>135</v>
      </c>
      <c r="F1461" s="77" t="s">
        <v>47</v>
      </c>
      <c r="G1461" s="55" t="s">
        <v>19</v>
      </c>
      <c r="H1461" s="55">
        <v>1</v>
      </c>
      <c r="I1461" s="57"/>
    </row>
    <row r="1462" spans="1:9">
      <c r="A1462" s="53">
        <v>46170</v>
      </c>
      <c r="B1462" s="54">
        <f>Table134[[#This Row],[Date]]</f>
        <v>46170</v>
      </c>
      <c r="C1462" s="55" t="s">
        <v>16</v>
      </c>
      <c r="D1462" s="55"/>
      <c r="E1462" s="59" t="s">
        <v>135</v>
      </c>
      <c r="F1462" s="77" t="s">
        <v>53</v>
      </c>
      <c r="G1462" s="55" t="s">
        <v>19</v>
      </c>
      <c r="H1462" s="55">
        <v>1</v>
      </c>
      <c r="I1462" s="57"/>
    </row>
    <row r="1463" spans="1:9">
      <c r="A1463" s="53">
        <v>46171</v>
      </c>
      <c r="B1463" s="54">
        <f>Table134[[#This Row],[Date]]</f>
        <v>46171</v>
      </c>
      <c r="C1463" s="55" t="s">
        <v>23</v>
      </c>
      <c r="D1463" s="55"/>
      <c r="E1463" s="59" t="s">
        <v>146</v>
      </c>
      <c r="F1463" s="55" t="s">
        <v>18</v>
      </c>
      <c r="G1463" s="55" t="s">
        <v>19</v>
      </c>
      <c r="H1463" s="55">
        <v>1</v>
      </c>
      <c r="I1463" s="57"/>
    </row>
    <row r="1464" spans="1:9">
      <c r="A1464" s="53">
        <v>46171</v>
      </c>
      <c r="B1464" s="54">
        <f>Table134[[#This Row],[Date]]</f>
        <v>46171</v>
      </c>
      <c r="C1464" s="55" t="s">
        <v>23</v>
      </c>
      <c r="D1464" s="55"/>
      <c r="E1464" s="59" t="s">
        <v>146</v>
      </c>
      <c r="F1464" s="55" t="s">
        <v>21</v>
      </c>
      <c r="G1464" s="55" t="s">
        <v>19</v>
      </c>
      <c r="H1464" s="55">
        <v>1</v>
      </c>
      <c r="I1464" s="57"/>
    </row>
    <row r="1465" spans="1:9">
      <c r="A1465" s="53">
        <v>46171</v>
      </c>
      <c r="B1465" s="54">
        <f>Table134[[#This Row],[Date]]</f>
        <v>46171</v>
      </c>
      <c r="C1465" s="55" t="s">
        <v>23</v>
      </c>
      <c r="D1465" s="55"/>
      <c r="E1465" s="59" t="s">
        <v>146</v>
      </c>
      <c r="F1465" s="55" t="s">
        <v>147</v>
      </c>
      <c r="G1465" s="55" t="s">
        <v>19</v>
      </c>
      <c r="H1465" s="55">
        <v>1</v>
      </c>
      <c r="I1465" s="57"/>
    </row>
    <row r="1466" spans="1:9">
      <c r="A1466" s="53">
        <v>46171</v>
      </c>
      <c r="B1466" s="54">
        <f>Table134[[#This Row],[Date]]</f>
        <v>46171</v>
      </c>
      <c r="C1466" s="55" t="s">
        <v>23</v>
      </c>
      <c r="D1466" s="55"/>
      <c r="E1466" s="59" t="s">
        <v>146</v>
      </c>
      <c r="F1466" s="63" t="s">
        <v>148</v>
      </c>
      <c r="G1466" s="55" t="s">
        <v>19</v>
      </c>
      <c r="H1466" s="55">
        <v>1</v>
      </c>
      <c r="I1466" s="57"/>
    </row>
    <row r="1467" spans="1:9">
      <c r="A1467" s="53">
        <v>46174</v>
      </c>
      <c r="B1467" s="54">
        <f>Table134[[#This Row],[Date]]</f>
        <v>46174</v>
      </c>
      <c r="C1467" s="55" t="s">
        <v>23</v>
      </c>
      <c r="D1467" s="55"/>
      <c r="E1467" s="91" t="s">
        <v>24</v>
      </c>
      <c r="F1467" s="64" t="s">
        <v>18</v>
      </c>
      <c r="G1467" s="55" t="s">
        <v>19</v>
      </c>
      <c r="H1467" s="55">
        <v>1</v>
      </c>
      <c r="I1467" s="57"/>
    </row>
    <row r="1468" spans="1:9">
      <c r="A1468" s="103">
        <v>46174</v>
      </c>
      <c r="B1468" s="104">
        <f>Table134[[#This Row],[Date]]</f>
        <v>46174</v>
      </c>
      <c r="C1468" s="105" t="s">
        <v>23</v>
      </c>
      <c r="D1468" s="105"/>
      <c r="E1468" s="119" t="s">
        <v>25</v>
      </c>
      <c r="F1468" s="107" t="s">
        <v>18</v>
      </c>
      <c r="G1468" s="105" t="s">
        <v>19</v>
      </c>
      <c r="H1468" s="105">
        <v>1</v>
      </c>
      <c r="I1468" s="108"/>
    </row>
    <row r="1469" spans="1:9">
      <c r="A1469" s="103">
        <v>46174</v>
      </c>
      <c r="B1469" s="104">
        <f>Table134[[#This Row],[Date]]</f>
        <v>46174</v>
      </c>
      <c r="C1469" s="105" t="s">
        <v>23</v>
      </c>
      <c r="D1469" s="105"/>
      <c r="E1469" s="119" t="s">
        <v>25</v>
      </c>
      <c r="F1469" s="107" t="s">
        <v>21</v>
      </c>
      <c r="G1469" s="105" t="s">
        <v>19</v>
      </c>
      <c r="H1469" s="105">
        <v>1</v>
      </c>
      <c r="I1469" s="108"/>
    </row>
    <row r="1470" spans="1:9">
      <c r="A1470" s="53">
        <v>46176</v>
      </c>
      <c r="B1470" s="54">
        <f>Table134[[#This Row],[Date]]</f>
        <v>46176</v>
      </c>
      <c r="C1470" s="55" t="s">
        <v>14</v>
      </c>
      <c r="D1470" s="55"/>
      <c r="E1470" s="91" t="s">
        <v>33</v>
      </c>
      <c r="F1470" s="77" t="s">
        <v>18</v>
      </c>
      <c r="G1470" s="55" t="s">
        <v>19</v>
      </c>
      <c r="H1470" s="55">
        <v>1</v>
      </c>
      <c r="I1470" s="57"/>
    </row>
    <row r="1471" spans="1:9">
      <c r="A1471" s="53">
        <v>46176</v>
      </c>
      <c r="B1471" s="54">
        <f>Table134[[#This Row],[Date]]</f>
        <v>46176</v>
      </c>
      <c r="C1471" s="55" t="s">
        <v>14</v>
      </c>
      <c r="D1471" s="55"/>
      <c r="E1471" s="91" t="s">
        <v>33</v>
      </c>
      <c r="F1471" s="55" t="s">
        <v>21</v>
      </c>
      <c r="G1471" s="55" t="s">
        <v>19</v>
      </c>
      <c r="H1471" s="55">
        <v>1</v>
      </c>
      <c r="I1471" s="57"/>
    </row>
    <row r="1472" spans="1:9">
      <c r="A1472" s="53">
        <v>46176</v>
      </c>
      <c r="B1472" s="54">
        <f>Table134[[#This Row],[Date]]</f>
        <v>46176</v>
      </c>
      <c r="C1472" s="55" t="s">
        <v>14</v>
      </c>
      <c r="D1472" s="55"/>
      <c r="E1472" s="91" t="s">
        <v>33</v>
      </c>
      <c r="F1472" s="77" t="s">
        <v>34</v>
      </c>
      <c r="G1472" s="55" t="s">
        <v>19</v>
      </c>
      <c r="H1472" s="55">
        <v>1</v>
      </c>
      <c r="I1472" s="57"/>
    </row>
    <row r="1473" spans="1:9">
      <c r="A1473" s="53">
        <v>46176</v>
      </c>
      <c r="B1473" s="54">
        <f>Table134[[#This Row],[Date]]</f>
        <v>46176</v>
      </c>
      <c r="C1473" s="55" t="s">
        <v>14</v>
      </c>
      <c r="D1473" s="55"/>
      <c r="E1473" s="91" t="s">
        <v>33</v>
      </c>
      <c r="F1473" s="77" t="s">
        <v>35</v>
      </c>
      <c r="G1473" s="55" t="s">
        <v>19</v>
      </c>
      <c r="H1473" s="55">
        <v>1</v>
      </c>
      <c r="I1473" s="57"/>
    </row>
    <row r="1474" spans="1:9">
      <c r="A1474" s="53">
        <v>46177</v>
      </c>
      <c r="B1474" s="54">
        <f>Table134[[#This Row],[Date]]</f>
        <v>46177</v>
      </c>
      <c r="C1474" s="55" t="s">
        <v>14</v>
      </c>
      <c r="D1474" s="55"/>
      <c r="E1474" s="91" t="s">
        <v>33</v>
      </c>
      <c r="F1474" s="64" t="s">
        <v>41</v>
      </c>
      <c r="G1474" s="55" t="s">
        <v>19</v>
      </c>
      <c r="H1474" s="55">
        <v>1</v>
      </c>
      <c r="I1474" s="57"/>
    </row>
    <row r="1475" spans="1:9">
      <c r="A1475" s="53">
        <v>46177</v>
      </c>
      <c r="B1475" s="54">
        <f>Table134[[#This Row],[Date]]</f>
        <v>46177</v>
      </c>
      <c r="C1475" s="55" t="s">
        <v>14</v>
      </c>
      <c r="D1475" s="55"/>
      <c r="E1475" s="91" t="s">
        <v>33</v>
      </c>
      <c r="F1475" s="63" t="s">
        <v>42</v>
      </c>
      <c r="G1475" s="55" t="s">
        <v>19</v>
      </c>
      <c r="H1475" s="55">
        <v>1</v>
      </c>
      <c r="I1475" s="57"/>
    </row>
    <row r="1476" spans="1:9">
      <c r="A1476" s="53">
        <v>46177</v>
      </c>
      <c r="B1476" s="54">
        <f>Table134[[#This Row],[Date]]</f>
        <v>46177</v>
      </c>
      <c r="C1476" s="55" t="s">
        <v>14</v>
      </c>
      <c r="D1476" s="55"/>
      <c r="E1476" s="91" t="s">
        <v>33</v>
      </c>
      <c r="F1476" s="55" t="s">
        <v>43</v>
      </c>
      <c r="G1476" s="55" t="s">
        <v>19</v>
      </c>
      <c r="H1476" s="55">
        <v>1</v>
      </c>
      <c r="I1476" s="57"/>
    </row>
    <row r="1477" spans="1:9">
      <c r="A1477" s="53">
        <v>46177</v>
      </c>
      <c r="B1477" s="54">
        <f>Table134[[#This Row],[Date]]</f>
        <v>46177</v>
      </c>
      <c r="C1477" s="55" t="s">
        <v>14</v>
      </c>
      <c r="D1477" s="55"/>
      <c r="E1477" s="91" t="s">
        <v>33</v>
      </c>
      <c r="F1477" s="64" t="s">
        <v>44</v>
      </c>
      <c r="G1477" s="55" t="s">
        <v>19</v>
      </c>
      <c r="H1477" s="55">
        <v>1</v>
      </c>
      <c r="I1477" s="57"/>
    </row>
    <row r="1478" spans="1:9">
      <c r="A1478" s="53">
        <v>46177</v>
      </c>
      <c r="B1478" s="54">
        <f>Table134[[#This Row],[Date]]</f>
        <v>46177</v>
      </c>
      <c r="C1478" s="55" t="s">
        <v>14</v>
      </c>
      <c r="D1478" s="55"/>
      <c r="E1478" s="91" t="s">
        <v>33</v>
      </c>
      <c r="F1478" s="64" t="s">
        <v>45</v>
      </c>
      <c r="G1478" s="55" t="s">
        <v>19</v>
      </c>
      <c r="H1478" s="55">
        <v>1</v>
      </c>
      <c r="I1478" s="57"/>
    </row>
    <row r="1479" spans="1:9">
      <c r="A1479" s="53">
        <v>46182</v>
      </c>
      <c r="B1479" s="54">
        <f>Table134[[#This Row],[Date]]</f>
        <v>46182</v>
      </c>
      <c r="C1479" s="55" t="s">
        <v>14</v>
      </c>
      <c r="D1479" s="55"/>
      <c r="E1479" s="59" t="s">
        <v>104</v>
      </c>
      <c r="F1479" s="55" t="s">
        <v>59</v>
      </c>
      <c r="G1479" s="55" t="s">
        <v>60</v>
      </c>
      <c r="H1479" s="55">
        <v>1</v>
      </c>
      <c r="I1479" s="57"/>
    </row>
    <row r="1480" spans="1:9">
      <c r="A1480" s="53">
        <v>46182</v>
      </c>
      <c r="B1480" s="54">
        <f>Table134[[#This Row],[Date]]</f>
        <v>46182</v>
      </c>
      <c r="C1480" s="55" t="s">
        <v>14</v>
      </c>
      <c r="D1480" s="55"/>
      <c r="E1480" s="59" t="s">
        <v>104</v>
      </c>
      <c r="F1480" s="55" t="s">
        <v>61</v>
      </c>
      <c r="G1480" s="55" t="s">
        <v>60</v>
      </c>
      <c r="H1480" s="55">
        <v>1</v>
      </c>
      <c r="I1480" s="57"/>
    </row>
    <row r="1481" spans="1:9">
      <c r="A1481" s="53">
        <v>46188</v>
      </c>
      <c r="B1481" s="54">
        <f>Table134[[#This Row],[Date]]</f>
        <v>46188</v>
      </c>
      <c r="C1481" s="55" t="s">
        <v>14</v>
      </c>
      <c r="D1481" s="55"/>
      <c r="E1481" s="59" t="s">
        <v>96</v>
      </c>
      <c r="F1481" s="55" t="s">
        <v>18</v>
      </c>
      <c r="G1481" s="55" t="s">
        <v>19</v>
      </c>
      <c r="H1481" s="55">
        <v>1</v>
      </c>
      <c r="I1481" s="57"/>
    </row>
    <row r="1482" spans="1:9">
      <c r="A1482" s="96">
        <v>46188</v>
      </c>
      <c r="B1482" s="37">
        <f>Table134[[#This Row],[Date]]</f>
        <v>46188</v>
      </c>
      <c r="C1482" s="38" t="s">
        <v>14</v>
      </c>
      <c r="D1482" s="38"/>
      <c r="E1482" s="39" t="s">
        <v>97</v>
      </c>
      <c r="F1482" s="38" t="s">
        <v>18</v>
      </c>
      <c r="G1482" s="38" t="s">
        <v>19</v>
      </c>
      <c r="H1482" s="38">
        <v>1</v>
      </c>
      <c r="I1482" s="97"/>
    </row>
    <row r="1483" spans="1:9">
      <c r="A1483" s="53">
        <v>46188</v>
      </c>
      <c r="B1483" s="54">
        <f>Table134[[#This Row],[Date]]</f>
        <v>46188</v>
      </c>
      <c r="C1483" s="55" t="s">
        <v>23</v>
      </c>
      <c r="D1483" s="55"/>
      <c r="E1483" s="61" t="s">
        <v>163</v>
      </c>
      <c r="F1483" s="55" t="s">
        <v>18</v>
      </c>
      <c r="G1483" s="55" t="s">
        <v>99</v>
      </c>
      <c r="H1483" s="55">
        <v>1</v>
      </c>
      <c r="I1483" s="57"/>
    </row>
    <row r="1484" spans="1:9">
      <c r="A1484" s="53">
        <v>46189</v>
      </c>
      <c r="B1484" s="54">
        <f>Table134[[#This Row],[Date]]</f>
        <v>46189</v>
      </c>
      <c r="C1484" s="55" t="s">
        <v>14</v>
      </c>
      <c r="D1484" s="55"/>
      <c r="E1484" s="59" t="s">
        <v>104</v>
      </c>
      <c r="F1484" s="55" t="s">
        <v>72</v>
      </c>
      <c r="G1484" s="55" t="s">
        <v>60</v>
      </c>
      <c r="H1484" s="55">
        <v>1</v>
      </c>
      <c r="I1484" s="57"/>
    </row>
    <row r="1485" spans="1:9">
      <c r="A1485" s="53">
        <v>46189</v>
      </c>
      <c r="B1485" s="54">
        <f>Table134[[#This Row],[Date]]</f>
        <v>46189</v>
      </c>
      <c r="C1485" s="55" t="s">
        <v>14</v>
      </c>
      <c r="D1485" s="55"/>
      <c r="E1485" s="59" t="s">
        <v>104</v>
      </c>
      <c r="F1485" s="55" t="s">
        <v>76</v>
      </c>
      <c r="G1485" s="55" t="s">
        <v>60</v>
      </c>
      <c r="H1485" s="55">
        <v>1</v>
      </c>
      <c r="I1485" s="57"/>
    </row>
    <row r="1486" spans="1:9">
      <c r="A1486" s="53">
        <v>46192</v>
      </c>
      <c r="B1486" s="54">
        <f>Table134[[#This Row],[Date]]</f>
        <v>46192</v>
      </c>
      <c r="C1486" s="55" t="s">
        <v>23</v>
      </c>
      <c r="D1486" s="55"/>
      <c r="E1486" s="59" t="s">
        <v>114</v>
      </c>
      <c r="F1486" s="55" t="s">
        <v>18</v>
      </c>
      <c r="G1486" s="55" t="s">
        <v>19</v>
      </c>
      <c r="H1486" s="55">
        <v>1</v>
      </c>
      <c r="I1486" s="57"/>
    </row>
    <row r="1487" spans="1:9">
      <c r="A1487" s="53">
        <v>46192</v>
      </c>
      <c r="B1487" s="54">
        <f>Table134[[#This Row],[Date]]</f>
        <v>46192</v>
      </c>
      <c r="C1487" s="55" t="s">
        <v>23</v>
      </c>
      <c r="D1487" s="55"/>
      <c r="E1487" s="59" t="s">
        <v>114</v>
      </c>
      <c r="F1487" s="55" t="s">
        <v>21</v>
      </c>
      <c r="G1487" s="55" t="s">
        <v>19</v>
      </c>
      <c r="H1487" s="55">
        <v>1</v>
      </c>
      <c r="I1487" s="57"/>
    </row>
    <row r="1488" spans="1:9">
      <c r="A1488" s="98">
        <v>46192</v>
      </c>
      <c r="B1488" s="99">
        <f>Table134[[#This Row],[Date]]</f>
        <v>46192</v>
      </c>
      <c r="C1488" s="100" t="s">
        <v>26</v>
      </c>
      <c r="D1488" s="100"/>
      <c r="E1488" s="102" t="s">
        <v>102</v>
      </c>
      <c r="F1488" s="121" t="s">
        <v>18</v>
      </c>
      <c r="G1488" s="100" t="s">
        <v>19</v>
      </c>
      <c r="H1488" s="100">
        <v>1</v>
      </c>
      <c r="I1488" s="101"/>
    </row>
    <row r="1489" spans="1:9">
      <c r="A1489" s="53">
        <v>46196</v>
      </c>
      <c r="B1489" s="54">
        <f>Table134[[#This Row],[Date]]</f>
        <v>46196</v>
      </c>
      <c r="C1489" s="55" t="s">
        <v>14</v>
      </c>
      <c r="D1489" s="55"/>
      <c r="E1489" s="59" t="s">
        <v>104</v>
      </c>
      <c r="F1489" s="55" t="s">
        <v>18</v>
      </c>
      <c r="G1489" s="55" t="s">
        <v>19</v>
      </c>
      <c r="H1489" s="55">
        <v>1</v>
      </c>
      <c r="I1489" s="57"/>
    </row>
    <row r="1490" spans="1:9">
      <c r="A1490" s="53">
        <v>46196</v>
      </c>
      <c r="B1490" s="54">
        <f>Table134[[#This Row],[Date]]</f>
        <v>46196</v>
      </c>
      <c r="C1490" s="55" t="s">
        <v>14</v>
      </c>
      <c r="D1490" s="55"/>
      <c r="E1490" s="59" t="s">
        <v>104</v>
      </c>
      <c r="F1490" s="55" t="s">
        <v>21</v>
      </c>
      <c r="G1490" s="55" t="s">
        <v>19</v>
      </c>
      <c r="H1490" s="55">
        <v>1</v>
      </c>
      <c r="I1490" s="57"/>
    </row>
    <row r="1491" spans="1:9">
      <c r="A1491" s="53">
        <v>46198</v>
      </c>
      <c r="B1491" s="54">
        <f>Table134[[#This Row],[Date]]</f>
        <v>46198</v>
      </c>
      <c r="C1491" s="55" t="s">
        <v>16</v>
      </c>
      <c r="D1491" s="55"/>
      <c r="E1491" s="59" t="s">
        <v>135</v>
      </c>
      <c r="F1491" s="77" t="s">
        <v>47</v>
      </c>
      <c r="G1491" s="55" t="s">
        <v>19</v>
      </c>
      <c r="H1491" s="55">
        <v>1</v>
      </c>
      <c r="I1491" s="57"/>
    </row>
    <row r="1492" spans="1:9">
      <c r="A1492" s="53">
        <v>46198</v>
      </c>
      <c r="B1492" s="54">
        <f>Table134[[#This Row],[Date]]</f>
        <v>46198</v>
      </c>
      <c r="C1492" s="55" t="s">
        <v>16</v>
      </c>
      <c r="D1492" s="55"/>
      <c r="E1492" s="59" t="s">
        <v>135</v>
      </c>
      <c r="F1492" s="77" t="s">
        <v>53</v>
      </c>
      <c r="G1492" s="55" t="s">
        <v>19</v>
      </c>
      <c r="H1492" s="55">
        <v>1</v>
      </c>
      <c r="I1492" s="57"/>
    </row>
    <row r="1493" spans="1:9">
      <c r="A1493" s="53">
        <v>46202</v>
      </c>
      <c r="B1493" s="54">
        <f>Table134[[#This Row],[Date]]</f>
        <v>46202</v>
      </c>
      <c r="C1493" s="55" t="s">
        <v>23</v>
      </c>
      <c r="D1493" s="55"/>
      <c r="E1493" s="59" t="s">
        <v>146</v>
      </c>
      <c r="F1493" s="55" t="s">
        <v>18</v>
      </c>
      <c r="G1493" s="55" t="s">
        <v>19</v>
      </c>
      <c r="H1493" s="55">
        <v>1</v>
      </c>
      <c r="I1493" s="57"/>
    </row>
    <row r="1494" spans="1:9">
      <c r="A1494" s="53">
        <v>46202</v>
      </c>
      <c r="B1494" s="54">
        <f>Table134[[#This Row],[Date]]</f>
        <v>46202</v>
      </c>
      <c r="C1494" s="55" t="s">
        <v>23</v>
      </c>
      <c r="D1494" s="55"/>
      <c r="E1494" s="59" t="s">
        <v>146</v>
      </c>
      <c r="F1494" s="55" t="s">
        <v>21</v>
      </c>
      <c r="G1494" s="55" t="s">
        <v>19</v>
      </c>
      <c r="H1494" s="55">
        <v>1</v>
      </c>
      <c r="I1494" s="57"/>
    </row>
    <row r="1495" spans="1:9">
      <c r="A1495" s="53">
        <v>46202</v>
      </c>
      <c r="B1495" s="54">
        <f>Table134[[#This Row],[Date]]</f>
        <v>46202</v>
      </c>
      <c r="C1495" s="55" t="s">
        <v>23</v>
      </c>
      <c r="D1495" s="198"/>
      <c r="E1495" s="82" t="s">
        <v>146</v>
      </c>
      <c r="F1495" s="55" t="s">
        <v>147</v>
      </c>
      <c r="G1495" s="55" t="s">
        <v>19</v>
      </c>
      <c r="H1495" s="55">
        <v>1</v>
      </c>
      <c r="I1495" s="57"/>
    </row>
    <row r="1496" spans="1:9">
      <c r="A1496" s="53">
        <v>46202</v>
      </c>
      <c r="B1496" s="54">
        <f>Table134[[#This Row],[Date]]</f>
        <v>46202</v>
      </c>
      <c r="C1496" s="55" t="s">
        <v>23</v>
      </c>
      <c r="D1496" s="198"/>
      <c r="E1496" s="82" t="s">
        <v>146</v>
      </c>
      <c r="F1496" s="55" t="s">
        <v>148</v>
      </c>
      <c r="G1496" s="55" t="s">
        <v>19</v>
      </c>
      <c r="H1496" s="55">
        <v>1</v>
      </c>
      <c r="I1496" s="57"/>
    </row>
    <row r="1497" spans="1:9">
      <c r="A1497" s="48">
        <v>46203</v>
      </c>
      <c r="B1497" s="49">
        <f>Table134[[#This Row],[Date]]</f>
        <v>46203</v>
      </c>
      <c r="C1497" s="50" t="s">
        <v>149</v>
      </c>
      <c r="D1497" s="202"/>
      <c r="E1497" s="134" t="s">
        <v>150</v>
      </c>
      <c r="F1497" s="50"/>
      <c r="G1497" s="50"/>
      <c r="H1497" s="50"/>
      <c r="I1497" s="52"/>
    </row>
    <row r="1498" spans="1:9">
      <c r="A1498" s="53">
        <v>46204</v>
      </c>
      <c r="B1498" s="54">
        <f>Table134[[#This Row],[Date]]</f>
        <v>46204</v>
      </c>
      <c r="C1498" s="55" t="s">
        <v>14</v>
      </c>
      <c r="D1498" s="198"/>
      <c r="E1498" s="92" t="s">
        <v>33</v>
      </c>
      <c r="F1498" s="77" t="s">
        <v>18</v>
      </c>
      <c r="G1498" s="55" t="s">
        <v>19</v>
      </c>
      <c r="H1498" s="55">
        <v>1</v>
      </c>
      <c r="I1498" s="57"/>
    </row>
    <row r="1499" spans="1:9">
      <c r="A1499" s="53">
        <v>46204</v>
      </c>
      <c r="B1499" s="54">
        <f>Table134[[#This Row],[Date]]</f>
        <v>46204</v>
      </c>
      <c r="C1499" s="55" t="s">
        <v>14</v>
      </c>
      <c r="D1499" s="198"/>
      <c r="E1499" s="92" t="s">
        <v>33</v>
      </c>
      <c r="F1499" s="55" t="s">
        <v>21</v>
      </c>
      <c r="G1499" s="55" t="s">
        <v>19</v>
      </c>
      <c r="H1499" s="55">
        <v>1</v>
      </c>
      <c r="I1499" s="57"/>
    </row>
    <row r="1500" spans="1:9">
      <c r="A1500" s="53">
        <v>46204</v>
      </c>
      <c r="B1500" s="54">
        <f>Table134[[#This Row],[Date]]</f>
        <v>46204</v>
      </c>
      <c r="C1500" s="55" t="s">
        <v>14</v>
      </c>
      <c r="D1500" s="55"/>
      <c r="E1500" s="91" t="s">
        <v>33</v>
      </c>
      <c r="F1500" s="77" t="s">
        <v>34</v>
      </c>
      <c r="G1500" s="55" t="s">
        <v>19</v>
      </c>
      <c r="H1500" s="55">
        <v>1</v>
      </c>
      <c r="I1500" s="57"/>
    </row>
    <row r="1501" spans="1:9">
      <c r="A1501" s="53">
        <v>46204</v>
      </c>
      <c r="B1501" s="54">
        <f>Table134[[#This Row],[Date]]</f>
        <v>46204</v>
      </c>
      <c r="C1501" s="55" t="s">
        <v>14</v>
      </c>
      <c r="D1501" s="55"/>
      <c r="E1501" s="91" t="s">
        <v>33</v>
      </c>
      <c r="F1501" s="77" t="s">
        <v>35</v>
      </c>
      <c r="G1501" s="55" t="s">
        <v>19</v>
      </c>
      <c r="H1501" s="55">
        <v>1</v>
      </c>
      <c r="I1501" s="57"/>
    </row>
    <row r="1502" spans="1:9">
      <c r="A1502" s="53">
        <v>46205</v>
      </c>
      <c r="B1502" s="54">
        <f>Table134[[#This Row],[Date]]</f>
        <v>46205</v>
      </c>
      <c r="C1502" s="55" t="s">
        <v>14</v>
      </c>
      <c r="D1502" s="55"/>
      <c r="E1502" s="91" t="s">
        <v>33</v>
      </c>
      <c r="F1502" s="64" t="s">
        <v>41</v>
      </c>
      <c r="G1502" s="55" t="s">
        <v>19</v>
      </c>
      <c r="H1502" s="55">
        <v>1</v>
      </c>
      <c r="I1502" s="57"/>
    </row>
    <row r="1503" spans="1:9">
      <c r="A1503" s="53">
        <v>46205</v>
      </c>
      <c r="B1503" s="54">
        <f>Table134[[#This Row],[Date]]</f>
        <v>46205</v>
      </c>
      <c r="C1503" s="55" t="s">
        <v>14</v>
      </c>
      <c r="D1503" s="55"/>
      <c r="E1503" s="91" t="s">
        <v>33</v>
      </c>
      <c r="F1503" s="55" t="s">
        <v>42</v>
      </c>
      <c r="G1503" s="55" t="s">
        <v>19</v>
      </c>
      <c r="H1503" s="55">
        <v>1</v>
      </c>
      <c r="I1503" s="57"/>
    </row>
    <row r="1504" spans="1:9">
      <c r="A1504" s="53">
        <v>46205</v>
      </c>
      <c r="B1504" s="54">
        <f>Table134[[#This Row],[Date]]</f>
        <v>46205</v>
      </c>
      <c r="C1504" s="55" t="s">
        <v>14</v>
      </c>
      <c r="D1504" s="55"/>
      <c r="E1504" s="91" t="s">
        <v>33</v>
      </c>
      <c r="F1504" s="55" t="s">
        <v>43</v>
      </c>
      <c r="G1504" s="55" t="s">
        <v>19</v>
      </c>
      <c r="H1504" s="55">
        <v>1</v>
      </c>
      <c r="I1504" s="57"/>
    </row>
    <row r="1505" spans="1:9" s="33" customFormat="1">
      <c r="A1505" s="53">
        <v>46205</v>
      </c>
      <c r="B1505" s="54">
        <f>Table134[[#This Row],[Date]]</f>
        <v>46205</v>
      </c>
      <c r="C1505" s="55" t="s">
        <v>14</v>
      </c>
      <c r="D1505" s="55"/>
      <c r="E1505" s="91" t="s">
        <v>33</v>
      </c>
      <c r="F1505" s="64" t="s">
        <v>44</v>
      </c>
      <c r="G1505" s="55" t="s">
        <v>19</v>
      </c>
      <c r="H1505" s="55">
        <v>1</v>
      </c>
      <c r="I1505" s="57"/>
    </row>
    <row r="1506" spans="1:9">
      <c r="A1506" s="53">
        <v>46205</v>
      </c>
      <c r="B1506" s="54">
        <f>Table134[[#This Row],[Date]]</f>
        <v>46205</v>
      </c>
      <c r="C1506" s="55" t="s">
        <v>14</v>
      </c>
      <c r="D1506" s="55"/>
      <c r="E1506" s="91" t="s">
        <v>33</v>
      </c>
      <c r="F1506" s="64" t="s">
        <v>45</v>
      </c>
      <c r="G1506" s="55" t="s">
        <v>19</v>
      </c>
      <c r="H1506" s="55">
        <v>1</v>
      </c>
      <c r="I1506" s="57"/>
    </row>
    <row r="1507" spans="1:9">
      <c r="A1507" s="53">
        <v>46217</v>
      </c>
      <c r="B1507" s="54">
        <f>Table134[[#This Row],[Date]]</f>
        <v>46217</v>
      </c>
      <c r="C1507" s="55" t="s">
        <v>14</v>
      </c>
      <c r="D1507" s="55"/>
      <c r="E1507" s="59" t="s">
        <v>104</v>
      </c>
      <c r="F1507" s="55" t="s">
        <v>59</v>
      </c>
      <c r="G1507" s="55" t="s">
        <v>60</v>
      </c>
      <c r="H1507" s="55">
        <v>1</v>
      </c>
      <c r="I1507" s="57"/>
    </row>
    <row r="1508" spans="1:9">
      <c r="A1508" s="53">
        <v>46217</v>
      </c>
      <c r="B1508" s="54">
        <f>Table134[[#This Row],[Date]]</f>
        <v>46217</v>
      </c>
      <c r="C1508" s="55" t="s">
        <v>14</v>
      </c>
      <c r="D1508" s="55"/>
      <c r="E1508" s="59" t="s">
        <v>104</v>
      </c>
      <c r="F1508" s="55" t="s">
        <v>61</v>
      </c>
      <c r="G1508" s="55" t="s">
        <v>60</v>
      </c>
      <c r="H1508" s="55">
        <v>1</v>
      </c>
      <c r="I1508" s="57"/>
    </row>
    <row r="1509" spans="1:9">
      <c r="A1509" s="53">
        <v>46220</v>
      </c>
      <c r="B1509" s="54">
        <f>Table134[[#This Row],[Date]]</f>
        <v>46220</v>
      </c>
      <c r="C1509" s="55" t="s">
        <v>23</v>
      </c>
      <c r="D1509" s="55"/>
      <c r="E1509" s="59" t="s">
        <v>114</v>
      </c>
      <c r="F1509" s="55" t="s">
        <v>18</v>
      </c>
      <c r="G1509" s="55" t="s">
        <v>19</v>
      </c>
      <c r="H1509" s="55">
        <v>1</v>
      </c>
      <c r="I1509" s="57"/>
    </row>
    <row r="1510" spans="1:9">
      <c r="A1510" s="53">
        <v>46220</v>
      </c>
      <c r="B1510" s="54">
        <f>Table134[[#This Row],[Date]]</f>
        <v>46220</v>
      </c>
      <c r="C1510" s="55" t="s">
        <v>23</v>
      </c>
      <c r="D1510" s="55"/>
      <c r="E1510" s="59" t="s">
        <v>114</v>
      </c>
      <c r="F1510" s="55" t="s">
        <v>21</v>
      </c>
      <c r="G1510" s="55" t="s">
        <v>19</v>
      </c>
      <c r="H1510" s="55">
        <v>1</v>
      </c>
      <c r="I1510" s="57"/>
    </row>
    <row r="1511" spans="1:9">
      <c r="A1511" s="53">
        <v>46223</v>
      </c>
      <c r="B1511" s="54">
        <f>Table134[[#This Row],[Date]]</f>
        <v>46223</v>
      </c>
      <c r="C1511" s="55" t="s">
        <v>14</v>
      </c>
      <c r="D1511" s="55"/>
      <c r="E1511" s="59" t="s">
        <v>96</v>
      </c>
      <c r="F1511" s="55" t="s">
        <v>18</v>
      </c>
      <c r="G1511" s="55" t="s">
        <v>19</v>
      </c>
      <c r="H1511" s="55">
        <v>1</v>
      </c>
      <c r="I1511" s="57"/>
    </row>
    <row r="1512" spans="1:9">
      <c r="A1512" s="96">
        <v>46223</v>
      </c>
      <c r="B1512" s="37">
        <f>Table134[[#This Row],[Date]]</f>
        <v>46223</v>
      </c>
      <c r="C1512" s="38" t="s">
        <v>14</v>
      </c>
      <c r="D1512" s="38"/>
      <c r="E1512" s="39" t="s">
        <v>97</v>
      </c>
      <c r="F1512" s="38" t="s">
        <v>18</v>
      </c>
      <c r="G1512" s="38" t="s">
        <v>19</v>
      </c>
      <c r="H1512" s="38">
        <v>1</v>
      </c>
      <c r="I1512" s="97"/>
    </row>
    <row r="1513" spans="1:9">
      <c r="A1513" s="98">
        <v>46223</v>
      </c>
      <c r="B1513" s="99">
        <f>Table134[[#This Row],[Date]]</f>
        <v>46223</v>
      </c>
      <c r="C1513" s="100" t="s">
        <v>26</v>
      </c>
      <c r="D1513" s="100"/>
      <c r="E1513" s="102" t="s">
        <v>102</v>
      </c>
      <c r="F1513" s="121" t="s">
        <v>18</v>
      </c>
      <c r="G1513" s="100" t="s">
        <v>19</v>
      </c>
      <c r="H1513" s="100">
        <v>1</v>
      </c>
      <c r="I1513" s="101"/>
    </row>
    <row r="1514" spans="1:9">
      <c r="A1514" s="53">
        <v>46224</v>
      </c>
      <c r="B1514" s="54">
        <f>Table134[[#This Row],[Date]]</f>
        <v>46224</v>
      </c>
      <c r="C1514" s="55" t="s">
        <v>14</v>
      </c>
      <c r="D1514" s="55"/>
      <c r="E1514" s="59" t="s">
        <v>104</v>
      </c>
      <c r="F1514" s="55" t="s">
        <v>72</v>
      </c>
      <c r="G1514" s="55" t="s">
        <v>60</v>
      </c>
      <c r="H1514" s="55">
        <v>1</v>
      </c>
      <c r="I1514" s="57"/>
    </row>
    <row r="1515" spans="1:9">
      <c r="A1515" s="53">
        <v>46224</v>
      </c>
      <c r="B1515" s="54">
        <f>Table134[[#This Row],[Date]]</f>
        <v>46224</v>
      </c>
      <c r="C1515" s="55" t="s">
        <v>14</v>
      </c>
      <c r="D1515" s="55"/>
      <c r="E1515" s="59" t="s">
        <v>104</v>
      </c>
      <c r="F1515" s="55" t="s">
        <v>76</v>
      </c>
      <c r="G1515" s="55" t="s">
        <v>60</v>
      </c>
      <c r="H1515" s="55">
        <v>1</v>
      </c>
      <c r="I1515" s="57"/>
    </row>
    <row r="1516" spans="1:9">
      <c r="A1516" s="48">
        <v>46224</v>
      </c>
      <c r="B1516" s="49">
        <f>Table134[[#This Row],[Date]]</f>
        <v>46224</v>
      </c>
      <c r="C1516" s="50" t="s">
        <v>4</v>
      </c>
      <c r="D1516" s="50"/>
      <c r="E1516" s="51" t="s">
        <v>32</v>
      </c>
      <c r="F1516" s="50"/>
      <c r="G1516" s="50"/>
      <c r="H1516" s="50"/>
      <c r="I1516" s="52"/>
    </row>
    <row r="1517" spans="1:9">
      <c r="A1517" s="53">
        <v>46226</v>
      </c>
      <c r="B1517" s="54">
        <f>Table134[[#This Row],[Date]]</f>
        <v>46226</v>
      </c>
      <c r="C1517" s="55" t="s">
        <v>16</v>
      </c>
      <c r="D1517" s="55"/>
      <c r="E1517" s="59" t="s">
        <v>135</v>
      </c>
      <c r="F1517" s="77" t="s">
        <v>47</v>
      </c>
      <c r="G1517" s="55" t="s">
        <v>19</v>
      </c>
      <c r="H1517" s="55">
        <v>1</v>
      </c>
      <c r="I1517" s="57"/>
    </row>
    <row r="1518" spans="1:9">
      <c r="A1518" s="53">
        <v>46226</v>
      </c>
      <c r="B1518" s="54">
        <f>Table134[[#This Row],[Date]]</f>
        <v>46226</v>
      </c>
      <c r="C1518" s="55" t="s">
        <v>16</v>
      </c>
      <c r="D1518" s="55"/>
      <c r="E1518" s="59" t="s">
        <v>135</v>
      </c>
      <c r="F1518" s="77" t="s">
        <v>53</v>
      </c>
      <c r="G1518" s="55" t="s">
        <v>19</v>
      </c>
      <c r="H1518" s="55">
        <v>1</v>
      </c>
      <c r="I1518" s="57"/>
    </row>
    <row r="1519" spans="1:9">
      <c r="A1519" s="53">
        <v>46231</v>
      </c>
      <c r="B1519" s="54">
        <f>Table134[[#This Row],[Date]]</f>
        <v>46231</v>
      </c>
      <c r="C1519" s="55" t="s">
        <v>14</v>
      </c>
      <c r="D1519" s="55"/>
      <c r="E1519" s="59" t="s">
        <v>104</v>
      </c>
      <c r="F1519" s="55" t="s">
        <v>18</v>
      </c>
      <c r="G1519" s="55" t="s">
        <v>19</v>
      </c>
      <c r="H1519" s="55">
        <v>1</v>
      </c>
      <c r="I1519" s="57"/>
    </row>
    <row r="1520" spans="1:9">
      <c r="A1520" s="53">
        <v>46231</v>
      </c>
      <c r="B1520" s="54">
        <f>Table134[[#This Row],[Date]]</f>
        <v>46231</v>
      </c>
      <c r="C1520" s="55" t="s">
        <v>14</v>
      </c>
      <c r="D1520" s="55"/>
      <c r="E1520" s="59" t="s">
        <v>104</v>
      </c>
      <c r="F1520" s="55" t="s">
        <v>21</v>
      </c>
      <c r="G1520" s="55" t="s">
        <v>19</v>
      </c>
      <c r="H1520" s="55">
        <v>1</v>
      </c>
      <c r="I1520" s="57"/>
    </row>
    <row r="1521" spans="1:9">
      <c r="A1521" s="48">
        <v>46231</v>
      </c>
      <c r="B1521" s="49">
        <f>Table134[[#This Row],[Date]]</f>
        <v>46231</v>
      </c>
      <c r="C1521" s="50" t="s">
        <v>149</v>
      </c>
      <c r="D1521" s="50"/>
      <c r="E1521" s="51" t="s">
        <v>150</v>
      </c>
      <c r="F1521" s="50"/>
      <c r="G1521" s="50"/>
      <c r="H1521" s="50"/>
      <c r="I1521" s="52"/>
    </row>
    <row r="1522" spans="1:9">
      <c r="A1522" s="53">
        <v>46239</v>
      </c>
      <c r="B1522" s="54">
        <f>Table134[[#This Row],[Date]]</f>
        <v>46239</v>
      </c>
      <c r="C1522" s="55" t="s">
        <v>14</v>
      </c>
      <c r="D1522" s="55"/>
      <c r="E1522" s="91" t="s">
        <v>33</v>
      </c>
      <c r="F1522" s="77" t="s">
        <v>18</v>
      </c>
      <c r="G1522" s="55" t="s">
        <v>19</v>
      </c>
      <c r="H1522" s="55">
        <v>1</v>
      </c>
      <c r="I1522" s="57"/>
    </row>
    <row r="1523" spans="1:9">
      <c r="A1523" s="53">
        <v>46239</v>
      </c>
      <c r="B1523" s="54">
        <f>Table134[[#This Row],[Date]]</f>
        <v>46239</v>
      </c>
      <c r="C1523" s="55" t="s">
        <v>14</v>
      </c>
      <c r="D1523" s="55"/>
      <c r="E1523" s="91" t="s">
        <v>33</v>
      </c>
      <c r="F1523" s="55" t="s">
        <v>21</v>
      </c>
      <c r="G1523" s="55" t="s">
        <v>19</v>
      </c>
      <c r="H1523" s="55">
        <v>1</v>
      </c>
      <c r="I1523" s="57"/>
    </row>
    <row r="1524" spans="1:9">
      <c r="A1524" s="53">
        <v>46239</v>
      </c>
      <c r="B1524" s="54">
        <f>Table134[[#This Row],[Date]]</f>
        <v>46239</v>
      </c>
      <c r="C1524" s="55" t="s">
        <v>14</v>
      </c>
      <c r="D1524" s="55"/>
      <c r="E1524" s="91" t="s">
        <v>33</v>
      </c>
      <c r="F1524" s="77" t="s">
        <v>34</v>
      </c>
      <c r="G1524" s="55" t="s">
        <v>19</v>
      </c>
      <c r="H1524" s="55">
        <v>1</v>
      </c>
      <c r="I1524" s="57"/>
    </row>
    <row r="1525" spans="1:9">
      <c r="A1525" s="53">
        <v>46239</v>
      </c>
      <c r="B1525" s="54">
        <f>Table134[[#This Row],[Date]]</f>
        <v>46239</v>
      </c>
      <c r="C1525" s="55" t="s">
        <v>14</v>
      </c>
      <c r="D1525" s="55"/>
      <c r="E1525" s="91" t="s">
        <v>33</v>
      </c>
      <c r="F1525" s="77" t="s">
        <v>35</v>
      </c>
      <c r="G1525" s="55" t="s">
        <v>19</v>
      </c>
      <c r="H1525" s="55">
        <v>1</v>
      </c>
      <c r="I1525" s="57"/>
    </row>
    <row r="1526" spans="1:9">
      <c r="A1526" s="53">
        <v>46240</v>
      </c>
      <c r="B1526" s="54">
        <f>Table134[[#This Row],[Date]]</f>
        <v>46240</v>
      </c>
      <c r="C1526" s="55" t="s">
        <v>14</v>
      </c>
      <c r="D1526" s="55"/>
      <c r="E1526" s="91" t="s">
        <v>33</v>
      </c>
      <c r="F1526" s="64" t="s">
        <v>41</v>
      </c>
      <c r="G1526" s="55" t="s">
        <v>19</v>
      </c>
      <c r="H1526" s="55">
        <v>1</v>
      </c>
      <c r="I1526" s="57"/>
    </row>
    <row r="1527" spans="1:9">
      <c r="A1527" s="53">
        <v>46240</v>
      </c>
      <c r="B1527" s="54">
        <f>Table134[[#This Row],[Date]]</f>
        <v>46240</v>
      </c>
      <c r="C1527" s="55" t="s">
        <v>14</v>
      </c>
      <c r="D1527" s="55"/>
      <c r="E1527" s="91" t="s">
        <v>33</v>
      </c>
      <c r="F1527" s="55" t="s">
        <v>42</v>
      </c>
      <c r="G1527" s="55" t="s">
        <v>19</v>
      </c>
      <c r="H1527" s="55">
        <v>1</v>
      </c>
      <c r="I1527" s="57"/>
    </row>
    <row r="1528" spans="1:9">
      <c r="A1528" s="53">
        <v>46240</v>
      </c>
      <c r="B1528" s="54">
        <f>Table134[[#This Row],[Date]]</f>
        <v>46240</v>
      </c>
      <c r="C1528" s="55" t="s">
        <v>14</v>
      </c>
      <c r="D1528" s="55"/>
      <c r="E1528" s="91" t="s">
        <v>33</v>
      </c>
      <c r="F1528" s="55" t="s">
        <v>43</v>
      </c>
      <c r="G1528" s="55" t="s">
        <v>19</v>
      </c>
      <c r="H1528" s="55">
        <v>1</v>
      </c>
      <c r="I1528" s="57"/>
    </row>
    <row r="1529" spans="1:9">
      <c r="A1529" s="53">
        <v>46240</v>
      </c>
      <c r="B1529" s="54">
        <f>Table134[[#This Row],[Date]]</f>
        <v>46240</v>
      </c>
      <c r="C1529" s="55" t="s">
        <v>14</v>
      </c>
      <c r="D1529" s="55"/>
      <c r="E1529" s="91" t="s">
        <v>33</v>
      </c>
      <c r="F1529" s="64" t="s">
        <v>44</v>
      </c>
      <c r="G1529" s="55" t="s">
        <v>19</v>
      </c>
      <c r="H1529" s="55">
        <v>1</v>
      </c>
      <c r="I1529" s="57"/>
    </row>
    <row r="1530" spans="1:9">
      <c r="A1530" s="53">
        <v>46240</v>
      </c>
      <c r="B1530" s="54">
        <f>Table134[[#This Row],[Date]]</f>
        <v>46240</v>
      </c>
      <c r="C1530" s="55" t="s">
        <v>14</v>
      </c>
      <c r="D1530" s="55"/>
      <c r="E1530" s="91" t="s">
        <v>33</v>
      </c>
      <c r="F1530" s="64" t="s">
        <v>45</v>
      </c>
      <c r="G1530" s="55" t="s">
        <v>19</v>
      </c>
      <c r="H1530" s="55">
        <v>1</v>
      </c>
      <c r="I1530" s="57"/>
    </row>
    <row r="1531" spans="1:9">
      <c r="A1531" s="53">
        <v>46245</v>
      </c>
      <c r="B1531" s="54">
        <f>Table134[[#This Row],[Date]]</f>
        <v>46245</v>
      </c>
      <c r="C1531" s="55" t="s">
        <v>14</v>
      </c>
      <c r="D1531" s="55"/>
      <c r="E1531" s="59" t="s">
        <v>104</v>
      </c>
      <c r="F1531" s="55" t="s">
        <v>59</v>
      </c>
      <c r="G1531" s="55" t="s">
        <v>60</v>
      </c>
      <c r="H1531" s="55">
        <v>1</v>
      </c>
      <c r="I1531" s="57"/>
    </row>
    <row r="1532" spans="1:9">
      <c r="A1532" s="53">
        <v>46245</v>
      </c>
      <c r="B1532" s="54">
        <f>Table134[[#This Row],[Date]]</f>
        <v>46245</v>
      </c>
      <c r="C1532" s="55" t="s">
        <v>14</v>
      </c>
      <c r="D1532" s="55"/>
      <c r="E1532" s="59" t="s">
        <v>104</v>
      </c>
      <c r="F1532" s="55" t="s">
        <v>61</v>
      </c>
      <c r="G1532" s="55" t="s">
        <v>60</v>
      </c>
      <c r="H1532" s="55">
        <v>1</v>
      </c>
      <c r="I1532" s="57"/>
    </row>
    <row r="1533" spans="1:9">
      <c r="A1533" s="53">
        <v>46251</v>
      </c>
      <c r="B1533" s="54">
        <f>Table134[[#This Row],[Date]]</f>
        <v>46251</v>
      </c>
      <c r="C1533" s="55" t="s">
        <v>14</v>
      </c>
      <c r="D1533" s="55"/>
      <c r="E1533" s="59" t="s">
        <v>96</v>
      </c>
      <c r="F1533" s="55" t="s">
        <v>18</v>
      </c>
      <c r="G1533" s="55" t="s">
        <v>19</v>
      </c>
      <c r="H1533" s="55">
        <v>1</v>
      </c>
      <c r="I1533" s="57"/>
    </row>
    <row r="1534" spans="1:9">
      <c r="A1534" s="96">
        <v>46251</v>
      </c>
      <c r="B1534" s="37">
        <f>Table134[[#This Row],[Date]]</f>
        <v>46251</v>
      </c>
      <c r="C1534" s="38" t="s">
        <v>14</v>
      </c>
      <c r="D1534" s="38"/>
      <c r="E1534" s="39" t="s">
        <v>97</v>
      </c>
      <c r="F1534" s="38" t="s">
        <v>18</v>
      </c>
      <c r="G1534" s="38" t="s">
        <v>19</v>
      </c>
      <c r="H1534" s="38">
        <v>1</v>
      </c>
      <c r="I1534" s="97"/>
    </row>
    <row r="1535" spans="1:9">
      <c r="A1535" s="53">
        <v>46252</v>
      </c>
      <c r="B1535" s="54">
        <f>Table134[[#This Row],[Date]]</f>
        <v>46252</v>
      </c>
      <c r="C1535" s="55" t="s">
        <v>14</v>
      </c>
      <c r="D1535" s="55"/>
      <c r="E1535" s="59" t="s">
        <v>104</v>
      </c>
      <c r="F1535" s="55" t="s">
        <v>72</v>
      </c>
      <c r="G1535" s="55" t="s">
        <v>60</v>
      </c>
      <c r="H1535" s="55">
        <v>1</v>
      </c>
      <c r="I1535" s="57"/>
    </row>
    <row r="1536" spans="1:9">
      <c r="A1536" s="53">
        <v>46252</v>
      </c>
      <c r="B1536" s="54">
        <f>Table134[[#This Row],[Date]]</f>
        <v>46252</v>
      </c>
      <c r="C1536" s="55" t="s">
        <v>14</v>
      </c>
      <c r="D1536" s="55"/>
      <c r="E1536" s="59" t="s">
        <v>104</v>
      </c>
      <c r="F1536" s="55" t="s">
        <v>76</v>
      </c>
      <c r="G1536" s="55" t="s">
        <v>60</v>
      </c>
      <c r="H1536" s="55">
        <v>1</v>
      </c>
      <c r="I1536" s="57"/>
    </row>
    <row r="1537" spans="1:9">
      <c r="A1537" s="53">
        <v>46255</v>
      </c>
      <c r="B1537" s="54">
        <f>Table134[[#This Row],[Date]]</f>
        <v>46255</v>
      </c>
      <c r="C1537" s="55" t="s">
        <v>23</v>
      </c>
      <c r="D1537" s="55"/>
      <c r="E1537" s="59" t="s">
        <v>114</v>
      </c>
      <c r="F1537" s="55" t="s">
        <v>18</v>
      </c>
      <c r="G1537" s="55" t="s">
        <v>19</v>
      </c>
      <c r="H1537" s="55">
        <v>1</v>
      </c>
      <c r="I1537" s="57"/>
    </row>
    <row r="1538" spans="1:9">
      <c r="A1538" s="53">
        <v>46255</v>
      </c>
      <c r="B1538" s="54">
        <f>Table134[[#This Row],[Date]]</f>
        <v>46255</v>
      </c>
      <c r="C1538" s="55" t="s">
        <v>23</v>
      </c>
      <c r="D1538" s="55"/>
      <c r="E1538" s="59" t="s">
        <v>114</v>
      </c>
      <c r="F1538" s="55" t="s">
        <v>21</v>
      </c>
      <c r="G1538" s="55" t="s">
        <v>19</v>
      </c>
      <c r="H1538" s="55">
        <v>1</v>
      </c>
      <c r="I1538" s="57"/>
    </row>
    <row r="1539" spans="1:9">
      <c r="A1539" s="53">
        <v>46259</v>
      </c>
      <c r="B1539" s="54">
        <f>Table134[[#This Row],[Date]]</f>
        <v>46259</v>
      </c>
      <c r="C1539" s="55" t="s">
        <v>14</v>
      </c>
      <c r="D1539" s="55"/>
      <c r="E1539" s="59" t="s">
        <v>104</v>
      </c>
      <c r="F1539" s="55" t="s">
        <v>18</v>
      </c>
      <c r="G1539" s="55" t="s">
        <v>19</v>
      </c>
      <c r="H1539" s="55">
        <v>1</v>
      </c>
      <c r="I1539" s="57"/>
    </row>
    <row r="1540" spans="1:9">
      <c r="A1540" s="53">
        <v>46259</v>
      </c>
      <c r="B1540" s="54">
        <f>Table134[[#This Row],[Date]]</f>
        <v>46259</v>
      </c>
      <c r="C1540" s="55" t="s">
        <v>14</v>
      </c>
      <c r="D1540" s="55"/>
      <c r="E1540" s="59" t="s">
        <v>104</v>
      </c>
      <c r="F1540" s="55" t="s">
        <v>21</v>
      </c>
      <c r="G1540" s="55" t="s">
        <v>19</v>
      </c>
      <c r="H1540" s="55">
        <v>1</v>
      </c>
      <c r="I1540" s="57"/>
    </row>
    <row r="1541" spans="1:9">
      <c r="A1541" s="48">
        <v>46259</v>
      </c>
      <c r="B1541" s="49">
        <f>Table134[[#This Row],[Date]]</f>
        <v>46259</v>
      </c>
      <c r="C1541" s="50" t="s">
        <v>149</v>
      </c>
      <c r="D1541" s="50"/>
      <c r="E1541" s="51" t="s">
        <v>150</v>
      </c>
      <c r="F1541" s="50"/>
      <c r="G1541" s="50"/>
      <c r="H1541" s="50"/>
      <c r="I1541" s="52"/>
    </row>
    <row r="1542" spans="1:9">
      <c r="A1542" s="53">
        <v>46261</v>
      </c>
      <c r="B1542" s="54">
        <f>Table134[[#This Row],[Date]]</f>
        <v>46261</v>
      </c>
      <c r="C1542" s="55" t="s">
        <v>16</v>
      </c>
      <c r="D1542" s="55"/>
      <c r="E1542" s="59" t="s">
        <v>135</v>
      </c>
      <c r="F1542" s="77" t="s">
        <v>47</v>
      </c>
      <c r="G1542" s="55" t="s">
        <v>19</v>
      </c>
      <c r="H1542" s="55">
        <v>1</v>
      </c>
      <c r="I1542" s="57"/>
    </row>
    <row r="1543" spans="1:9">
      <c r="A1543" s="53">
        <v>46261</v>
      </c>
      <c r="B1543" s="54">
        <f>Table134[[#This Row],[Date]]</f>
        <v>46261</v>
      </c>
      <c r="C1543" s="55" t="s">
        <v>16</v>
      </c>
      <c r="D1543" s="55"/>
      <c r="E1543" s="59" t="s">
        <v>135</v>
      </c>
      <c r="F1543" s="77" t="s">
        <v>53</v>
      </c>
      <c r="G1543" s="55" t="s">
        <v>19</v>
      </c>
      <c r="H1543" s="55">
        <v>1</v>
      </c>
      <c r="I1543" s="57"/>
    </row>
    <row r="1544" spans="1:9">
      <c r="A1544" s="53">
        <v>46283</v>
      </c>
      <c r="B1544" s="54">
        <f>Table134[[#This Row],[Date]]</f>
        <v>46283</v>
      </c>
      <c r="C1544" s="55" t="s">
        <v>23</v>
      </c>
      <c r="D1544" s="55"/>
      <c r="E1544" s="59" t="s">
        <v>114</v>
      </c>
      <c r="F1544" s="55" t="s">
        <v>18</v>
      </c>
      <c r="G1544" s="55" t="s">
        <v>19</v>
      </c>
      <c r="H1544" s="55">
        <v>1</v>
      </c>
      <c r="I1544" s="57"/>
    </row>
    <row r="1545" spans="1:9">
      <c r="A1545" s="53">
        <v>46283</v>
      </c>
      <c r="B1545" s="54">
        <f>Table134[[#This Row],[Date]]</f>
        <v>46283</v>
      </c>
      <c r="C1545" s="55" t="s">
        <v>23</v>
      </c>
      <c r="D1545" s="55"/>
      <c r="E1545" s="59" t="s">
        <v>114</v>
      </c>
      <c r="F1545" s="55" t="s">
        <v>21</v>
      </c>
      <c r="G1545" s="55" t="s">
        <v>19</v>
      </c>
      <c r="H1545" s="55">
        <v>1</v>
      </c>
      <c r="I1545" s="57"/>
    </row>
    <row r="1546" spans="1:9">
      <c r="A1546" s="53">
        <v>46286</v>
      </c>
      <c r="B1546" s="54">
        <f>Table134[[#This Row],[Date]]</f>
        <v>46286</v>
      </c>
      <c r="C1546" s="55" t="s">
        <v>14</v>
      </c>
      <c r="D1546" s="55"/>
      <c r="E1546" s="59" t="s">
        <v>96</v>
      </c>
      <c r="F1546" s="55" t="s">
        <v>18</v>
      </c>
      <c r="G1546" s="55" t="s">
        <v>19</v>
      </c>
      <c r="H1546" s="55">
        <v>1</v>
      </c>
      <c r="I1546" s="57"/>
    </row>
    <row r="1547" spans="1:9">
      <c r="A1547" s="96">
        <v>46286</v>
      </c>
      <c r="B1547" s="37">
        <f>Table134[[#This Row],[Date]]</f>
        <v>46286</v>
      </c>
      <c r="C1547" s="38" t="s">
        <v>14</v>
      </c>
      <c r="D1547" s="38"/>
      <c r="E1547" s="39" t="s">
        <v>97</v>
      </c>
      <c r="F1547" s="38" t="s">
        <v>18</v>
      </c>
      <c r="G1547" s="38" t="s">
        <v>19</v>
      </c>
      <c r="H1547" s="38">
        <v>1</v>
      </c>
      <c r="I1547" s="97"/>
    </row>
    <row r="1548" spans="1:9">
      <c r="A1548" s="48">
        <v>46294</v>
      </c>
      <c r="B1548" s="49">
        <f>Table134[[#This Row],[Date]]</f>
        <v>46294</v>
      </c>
      <c r="C1548" s="50" t="s">
        <v>149</v>
      </c>
      <c r="D1548" s="50"/>
      <c r="E1548" s="51" t="s">
        <v>150</v>
      </c>
      <c r="F1548" s="50"/>
      <c r="G1548" s="50"/>
      <c r="H1548" s="50"/>
      <c r="I1548" s="52"/>
    </row>
    <row r="1549" spans="1:9">
      <c r="A1549" s="53">
        <v>46311</v>
      </c>
      <c r="B1549" s="54">
        <f>Table134[[#This Row],[Date]]</f>
        <v>46311</v>
      </c>
      <c r="C1549" s="55" t="s">
        <v>23</v>
      </c>
      <c r="D1549" s="55"/>
      <c r="E1549" s="59" t="s">
        <v>114</v>
      </c>
      <c r="F1549" s="55" t="s">
        <v>18</v>
      </c>
      <c r="G1549" s="55" t="s">
        <v>19</v>
      </c>
      <c r="H1549" s="55">
        <v>1</v>
      </c>
      <c r="I1549" s="57"/>
    </row>
    <row r="1550" spans="1:9">
      <c r="A1550" s="53">
        <v>46311</v>
      </c>
      <c r="B1550" s="54">
        <f>Table134[[#This Row],[Date]]</f>
        <v>46311</v>
      </c>
      <c r="C1550" s="55" t="s">
        <v>23</v>
      </c>
      <c r="D1550" s="55"/>
      <c r="E1550" s="59" t="s">
        <v>114</v>
      </c>
      <c r="F1550" s="55" t="s">
        <v>21</v>
      </c>
      <c r="G1550" s="55" t="s">
        <v>19</v>
      </c>
      <c r="H1550" s="55">
        <v>1</v>
      </c>
      <c r="I1550" s="57"/>
    </row>
    <row r="1551" spans="1:9">
      <c r="A1551" s="53">
        <v>46346</v>
      </c>
      <c r="B1551" s="54">
        <f>Table134[[#This Row],[Date]]</f>
        <v>46346</v>
      </c>
      <c r="C1551" s="55" t="s">
        <v>23</v>
      </c>
      <c r="D1551" s="55"/>
      <c r="E1551" s="59" t="s">
        <v>114</v>
      </c>
      <c r="F1551" s="55" t="s">
        <v>18</v>
      </c>
      <c r="G1551" s="55" t="s">
        <v>19</v>
      </c>
      <c r="H1551" s="55">
        <v>1</v>
      </c>
      <c r="I1551" s="57"/>
    </row>
    <row r="1552" spans="1:9">
      <c r="A1552" s="53">
        <v>46346</v>
      </c>
      <c r="B1552" s="54">
        <f>Table134[[#This Row],[Date]]</f>
        <v>46346</v>
      </c>
      <c r="C1552" s="55" t="s">
        <v>23</v>
      </c>
      <c r="D1552" s="55"/>
      <c r="E1552" s="59" t="s">
        <v>114</v>
      </c>
      <c r="F1552" s="55" t="s">
        <v>21</v>
      </c>
      <c r="G1552" s="55" t="s">
        <v>19</v>
      </c>
      <c r="H1552" s="55">
        <v>1</v>
      </c>
      <c r="I1552" s="57"/>
    </row>
    <row r="1553" spans="1:9">
      <c r="A1553" s="15">
        <v>46346</v>
      </c>
      <c r="B1553" s="17">
        <f>Table134[[#This Row],[Date]]</f>
        <v>46346</v>
      </c>
      <c r="C1553" s="1" t="s">
        <v>23</v>
      </c>
      <c r="D1553" s="1"/>
      <c r="E1553" s="2" t="s">
        <v>126</v>
      </c>
      <c r="F1553" s="55" t="s">
        <v>18</v>
      </c>
      <c r="G1553" s="1" t="s">
        <v>99</v>
      </c>
      <c r="H1553" s="28">
        <v>1</v>
      </c>
      <c r="I1553" s="3"/>
    </row>
    <row r="1554" spans="1:9">
      <c r="A1554" s="53">
        <v>46374</v>
      </c>
      <c r="B1554" s="54">
        <f>Table134[[#This Row],[Date]]</f>
        <v>46374</v>
      </c>
      <c r="C1554" s="55" t="s">
        <v>23</v>
      </c>
      <c r="D1554" s="55"/>
      <c r="E1554" s="59" t="s">
        <v>114</v>
      </c>
      <c r="F1554" s="55" t="s">
        <v>18</v>
      </c>
      <c r="G1554" s="55" t="s">
        <v>19</v>
      </c>
      <c r="H1554" s="55">
        <v>1</v>
      </c>
      <c r="I1554" s="57"/>
    </row>
    <row r="1555" spans="1:9">
      <c r="A1555" s="53">
        <v>46374</v>
      </c>
      <c r="B1555" s="54">
        <f>Table134[[#This Row],[Date]]</f>
        <v>46374</v>
      </c>
      <c r="C1555" s="55" t="s">
        <v>23</v>
      </c>
      <c r="D1555" s="55"/>
      <c r="E1555" s="59" t="s">
        <v>114</v>
      </c>
      <c r="F1555" s="55" t="s">
        <v>21</v>
      </c>
      <c r="G1555" s="55" t="s">
        <v>19</v>
      </c>
      <c r="H1555" s="55">
        <v>1</v>
      </c>
      <c r="I1555" s="57"/>
    </row>
    <row r="1556" spans="1:9">
      <c r="A1556" s="16"/>
      <c r="B1556" s="18">
        <f>Table134[[#This Row],[Date]]</f>
        <v>0</v>
      </c>
      <c r="C1556" s="10"/>
      <c r="D1556" s="10"/>
      <c r="E1556" s="12"/>
      <c r="F1556" s="10"/>
      <c r="G1556" s="10"/>
      <c r="H1556" s="10"/>
      <c r="I1556" s="13"/>
    </row>
    <row r="1557" spans="1:9">
      <c r="A1557" s="60"/>
      <c r="B1557" s="60"/>
      <c r="C1557" s="60"/>
      <c r="D1557" s="60"/>
      <c r="E1557" s="60"/>
      <c r="F1557" s="66"/>
      <c r="G1557" s="66"/>
      <c r="H1557" s="67"/>
      <c r="I1557" s="67"/>
    </row>
    <row r="1560" spans="1:9">
      <c r="D1560" s="60"/>
    </row>
  </sheetData>
  <mergeCells count="1">
    <mergeCell ref="A1:I1"/>
  </mergeCells>
  <dataValidations count="3">
    <dataValidation type="list" allowBlank="1" showInputMessage="1" showErrorMessage="1" sqref="F4:F1556" xr:uid="{7D367770-CE9A-4CDA-88E6-F7C57F98095E}">
      <formula1>"B01,B02,PL1,PL2,PL3,PL4,PL5,PL6,PL7,PL8,SL1,SL2,SL3,SL4,FL1,FL2,FL3,FL4,FL6,FL8,Lift A,Lift B, Lift C, Lift D,ESC1,ESC2,ESC3,ESC4,ESC5,ESC6,ESC7,ESC8"</formula1>
    </dataValidation>
    <dataValidation type="list" allowBlank="1" showInputMessage="1" showErrorMessage="1" sqref="G650:G1253 G1255:G1380 F1557:F1048576 F1:F2 G1382:G1556 G3:G646" xr:uid="{E746504A-798B-4368-80C1-6433922F4718}">
      <formula1>"ELV,ESC,HL,DW"</formula1>
    </dataValidation>
    <dataValidation type="list" allowBlank="1" showInputMessage="1" showErrorMessage="1" sqref="E1557:E1048576 F3 E1:E2" xr:uid="{73D09809-C913-4060-8ACA-A94712DF950E}">
      <formula1>"PL1,PL2,PL3,PL4,PL5,PL6,PL7,PL8,SL,SL1,SL2,SL3,SL4,FL,FL1,FL2,Lift A,Lift B, Lift C, Lift D,ESC1,ESC2,ESC3,ESC4,ESC5,ESC6,ESC7,ESC8"</formula1>
    </dataValidation>
  </dataValidations>
  <printOptions horizontalCentered="1"/>
  <pageMargins left="0.25" right="0.25" top="0.75" bottom="0.75" header="0.3" footer="0.3"/>
  <pageSetup paperSize="9" scale="58" fitToHeight="0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8232DE-0879-430B-8C0B-53733D11CBB9}">
  <dimension ref="A1:F32"/>
  <sheetViews>
    <sheetView workbookViewId="0">
      <selection activeCell="B10" sqref="B10"/>
    </sheetView>
  </sheetViews>
  <sheetFormatPr defaultRowHeight="14.45"/>
  <cols>
    <col min="1" max="1" width="6" style="5" customWidth="1"/>
    <col min="2" max="2" width="26.42578125" customWidth="1"/>
    <col min="3" max="3" width="13.28515625" customWidth="1"/>
    <col min="4" max="4" width="15.5703125" customWidth="1"/>
    <col min="5" max="5" width="10.42578125" customWidth="1"/>
    <col min="6" max="6" width="21.28515625" customWidth="1"/>
  </cols>
  <sheetData>
    <row r="1" spans="1:6" ht="23.45">
      <c r="A1" s="342" t="s">
        <v>347</v>
      </c>
      <c r="B1" s="342"/>
      <c r="C1" s="342"/>
      <c r="D1" s="342"/>
      <c r="E1" s="342"/>
      <c r="F1" s="342"/>
    </row>
    <row r="2" spans="1:6" s="206" customFormat="1">
      <c r="A2" s="208" t="s">
        <v>348</v>
      </c>
      <c r="B2" s="207" t="s">
        <v>349</v>
      </c>
      <c r="C2" s="207" t="s">
        <v>350</v>
      </c>
      <c r="D2" s="207" t="s">
        <v>351</v>
      </c>
      <c r="E2" s="207" t="s">
        <v>352</v>
      </c>
      <c r="F2" s="207" t="s">
        <v>353</v>
      </c>
    </row>
    <row r="3" spans="1:6" s="206" customFormat="1">
      <c r="A3" s="209">
        <v>1</v>
      </c>
      <c r="B3" s="141" t="s">
        <v>354</v>
      </c>
      <c r="C3" s="210"/>
      <c r="D3" s="210"/>
      <c r="E3" s="210"/>
      <c r="F3" s="210"/>
    </row>
    <row r="4" spans="1:6">
      <c r="A4" s="209">
        <v>2</v>
      </c>
      <c r="B4" s="141" t="s">
        <v>355</v>
      </c>
      <c r="C4" s="141"/>
      <c r="D4" s="141"/>
      <c r="E4" s="141"/>
      <c r="F4" s="141"/>
    </row>
    <row r="5" spans="1:6">
      <c r="A5" s="209">
        <v>3</v>
      </c>
      <c r="B5" s="141" t="s">
        <v>356</v>
      </c>
      <c r="C5" s="141"/>
      <c r="D5" s="141"/>
      <c r="E5" s="141"/>
      <c r="F5" s="141"/>
    </row>
    <row r="6" spans="1:6">
      <c r="A6" s="209">
        <v>4</v>
      </c>
      <c r="B6" s="141" t="s">
        <v>357</v>
      </c>
      <c r="C6" s="141"/>
      <c r="D6" s="141"/>
      <c r="E6" s="141"/>
      <c r="F6" s="141"/>
    </row>
    <row r="7" spans="1:6">
      <c r="A7" s="209">
        <v>5</v>
      </c>
      <c r="B7" s="141" t="s">
        <v>358</v>
      </c>
      <c r="C7" s="141"/>
      <c r="D7" s="141"/>
      <c r="E7" s="141"/>
      <c r="F7" s="141"/>
    </row>
    <row r="8" spans="1:6">
      <c r="A8" s="209">
        <v>6</v>
      </c>
      <c r="B8" s="141" t="s">
        <v>359</v>
      </c>
      <c r="C8" s="141"/>
      <c r="D8" s="141"/>
      <c r="E8" s="141"/>
      <c r="F8" s="141"/>
    </row>
    <row r="9" spans="1:6">
      <c r="A9" s="209"/>
      <c r="B9" s="141"/>
      <c r="C9" s="141"/>
      <c r="D9" s="141"/>
      <c r="E9" s="141"/>
      <c r="F9" s="141"/>
    </row>
    <row r="10" spans="1:6">
      <c r="A10" s="209"/>
      <c r="B10" s="141"/>
      <c r="C10" s="141"/>
      <c r="D10" s="141"/>
      <c r="E10" s="141"/>
      <c r="F10" s="141"/>
    </row>
    <row r="11" spans="1:6">
      <c r="A11" s="209"/>
      <c r="B11" s="141"/>
      <c r="C11" s="141"/>
      <c r="D11" s="141"/>
      <c r="E11" s="141"/>
      <c r="F11" s="141"/>
    </row>
    <row r="12" spans="1:6">
      <c r="A12" s="209"/>
      <c r="B12" s="141"/>
      <c r="C12" s="141"/>
      <c r="D12" s="141"/>
      <c r="E12" s="141"/>
      <c r="F12" s="141"/>
    </row>
    <row r="13" spans="1:6">
      <c r="A13" s="209"/>
      <c r="B13" s="141"/>
      <c r="C13" s="141"/>
      <c r="D13" s="141"/>
      <c r="E13" s="141"/>
      <c r="F13" s="141"/>
    </row>
    <row r="14" spans="1:6">
      <c r="A14" s="209"/>
      <c r="B14" s="141"/>
      <c r="C14" s="141"/>
      <c r="D14" s="141"/>
      <c r="E14" s="141"/>
      <c r="F14" s="141"/>
    </row>
    <row r="15" spans="1:6">
      <c r="A15" s="209"/>
      <c r="B15" s="141"/>
      <c r="C15" s="141"/>
      <c r="D15" s="141"/>
      <c r="E15" s="141"/>
      <c r="F15" s="141"/>
    </row>
    <row r="16" spans="1:6">
      <c r="A16" s="209"/>
      <c r="B16" s="141"/>
      <c r="C16" s="141"/>
      <c r="D16" s="141"/>
      <c r="E16" s="141"/>
      <c r="F16" s="141"/>
    </row>
    <row r="17" spans="1:6">
      <c r="A17" s="209"/>
      <c r="B17" s="141"/>
      <c r="C17" s="141"/>
      <c r="D17" s="141"/>
      <c r="E17" s="141"/>
      <c r="F17" s="141"/>
    </row>
    <row r="18" spans="1:6">
      <c r="A18" s="209"/>
      <c r="B18" s="141"/>
      <c r="C18" s="141"/>
      <c r="D18" s="141"/>
      <c r="E18" s="141"/>
      <c r="F18" s="141"/>
    </row>
    <row r="19" spans="1:6">
      <c r="A19" s="209"/>
      <c r="B19" s="141"/>
      <c r="C19" s="141"/>
      <c r="D19" s="141"/>
      <c r="E19" s="141"/>
      <c r="F19" s="141"/>
    </row>
    <row r="20" spans="1:6">
      <c r="A20" s="209"/>
      <c r="B20" s="141"/>
      <c r="C20" s="141"/>
      <c r="D20" s="141"/>
      <c r="E20" s="141"/>
      <c r="F20" s="141"/>
    </row>
    <row r="21" spans="1:6">
      <c r="A21" s="209"/>
      <c r="B21" s="141"/>
      <c r="C21" s="141"/>
      <c r="D21" s="141"/>
      <c r="E21" s="141"/>
      <c r="F21" s="141"/>
    </row>
    <row r="22" spans="1:6">
      <c r="A22" s="209"/>
      <c r="B22" s="141"/>
      <c r="C22" s="141"/>
      <c r="D22" s="141"/>
      <c r="E22" s="141"/>
      <c r="F22" s="141"/>
    </row>
    <row r="23" spans="1:6">
      <c r="A23" s="209"/>
      <c r="B23" s="141"/>
      <c r="C23" s="141"/>
      <c r="D23" s="141"/>
      <c r="E23" s="141"/>
      <c r="F23" s="141"/>
    </row>
    <row r="24" spans="1:6">
      <c r="A24" s="209"/>
      <c r="B24" s="141"/>
      <c r="C24" s="141"/>
      <c r="D24" s="141"/>
      <c r="E24" s="141"/>
      <c r="F24" s="141"/>
    </row>
    <row r="25" spans="1:6">
      <c r="A25" s="209"/>
      <c r="B25" s="141"/>
      <c r="C25" s="141"/>
      <c r="D25" s="141"/>
      <c r="E25" s="141"/>
      <c r="F25" s="141"/>
    </row>
    <row r="26" spans="1:6">
      <c r="A26" s="209"/>
      <c r="B26" s="141"/>
      <c r="C26" s="141"/>
      <c r="D26" s="141"/>
      <c r="E26" s="141"/>
      <c r="F26" s="141"/>
    </row>
    <row r="27" spans="1:6">
      <c r="A27" s="209"/>
      <c r="B27" s="141"/>
      <c r="C27" s="141"/>
      <c r="D27" s="141"/>
      <c r="E27" s="141"/>
      <c r="F27" s="141"/>
    </row>
    <row r="28" spans="1:6">
      <c r="A28" s="209"/>
      <c r="B28" s="141"/>
      <c r="C28" s="141"/>
      <c r="D28" s="141"/>
      <c r="E28" s="141"/>
      <c r="F28" s="141"/>
    </row>
    <row r="29" spans="1:6">
      <c r="A29" s="209"/>
      <c r="B29" s="141"/>
      <c r="C29" s="141"/>
      <c r="D29" s="141"/>
      <c r="E29" s="141"/>
      <c r="F29" s="141"/>
    </row>
    <row r="30" spans="1:6">
      <c r="A30" s="209"/>
      <c r="B30" s="141"/>
      <c r="C30" s="141"/>
      <c r="D30" s="141"/>
      <c r="E30" s="141"/>
      <c r="F30" s="141"/>
    </row>
    <row r="31" spans="1:6">
      <c r="A31" s="209"/>
      <c r="B31" s="141"/>
      <c r="C31" s="141"/>
      <c r="D31" s="141"/>
      <c r="E31" s="141"/>
      <c r="F31" s="141"/>
    </row>
    <row r="32" spans="1:6">
      <c r="A32" s="209"/>
      <c r="B32" s="141"/>
      <c r="C32" s="141"/>
      <c r="D32" s="141"/>
      <c r="E32" s="141"/>
      <c r="F32" s="141"/>
    </row>
  </sheetData>
  <mergeCells count="1">
    <mergeCell ref="A1:F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8BFC72-742B-4E64-8E0D-284644799DCC}">
  <dimension ref="A2:J300"/>
  <sheetViews>
    <sheetView topLeftCell="A160" workbookViewId="0">
      <selection activeCell="A184" sqref="A184"/>
    </sheetView>
  </sheetViews>
  <sheetFormatPr defaultRowHeight="14.45"/>
  <cols>
    <col min="1" max="1" width="38.28515625" customWidth="1"/>
    <col min="2" max="2" width="43.140625" customWidth="1"/>
    <col min="10" max="10" width="9.5703125" bestFit="1" customWidth="1"/>
  </cols>
  <sheetData>
    <row r="2" spans="1:8">
      <c r="A2" s="329" t="s">
        <v>258</v>
      </c>
      <c r="B2" s="282" t="s">
        <v>133</v>
      </c>
      <c r="C2" s="283"/>
      <c r="D2" s="284" t="s">
        <v>258</v>
      </c>
      <c r="E2" s="283"/>
      <c r="F2" s="283"/>
      <c r="G2" s="283"/>
      <c r="H2" s="283"/>
    </row>
    <row r="3" spans="1:8">
      <c r="A3" s="330" t="s">
        <v>134</v>
      </c>
      <c r="B3" s="282" t="s">
        <v>134</v>
      </c>
      <c r="C3" s="283"/>
      <c r="D3" s="285" t="s">
        <v>134</v>
      </c>
      <c r="E3" s="283"/>
      <c r="F3" s="283"/>
      <c r="G3" s="283"/>
      <c r="H3" s="283"/>
    </row>
    <row r="4" spans="1:8">
      <c r="A4" s="329" t="s">
        <v>262</v>
      </c>
      <c r="B4" s="286" t="s">
        <v>17</v>
      </c>
      <c r="C4" s="283"/>
      <c r="D4" s="284" t="s">
        <v>262</v>
      </c>
      <c r="E4" s="283"/>
      <c r="F4" s="283"/>
      <c r="G4" s="283"/>
      <c r="H4" s="283"/>
    </row>
    <row r="5" spans="1:8">
      <c r="A5" s="330" t="s">
        <v>81</v>
      </c>
      <c r="B5" s="282" t="s">
        <v>81</v>
      </c>
      <c r="C5" s="283"/>
      <c r="D5" s="285" t="s">
        <v>81</v>
      </c>
      <c r="E5" s="283"/>
      <c r="F5" s="283"/>
      <c r="G5" s="283"/>
      <c r="H5" s="283"/>
    </row>
    <row r="6" spans="1:8">
      <c r="A6" s="329" t="s">
        <v>20</v>
      </c>
      <c r="B6" s="282" t="s">
        <v>20</v>
      </c>
      <c r="C6" s="283"/>
      <c r="D6" s="284" t="s">
        <v>20</v>
      </c>
      <c r="E6" s="283"/>
      <c r="F6" s="283"/>
      <c r="G6" s="283"/>
      <c r="H6" s="283"/>
    </row>
    <row r="7" spans="1:8">
      <c r="A7" s="330" t="s">
        <v>130</v>
      </c>
      <c r="B7" s="286" t="s">
        <v>150</v>
      </c>
      <c r="C7" s="283"/>
      <c r="D7" s="285" t="s">
        <v>130</v>
      </c>
      <c r="E7" s="283"/>
      <c r="F7" s="283"/>
      <c r="G7" s="283"/>
      <c r="H7" s="283"/>
    </row>
    <row r="8" spans="1:8">
      <c r="A8" s="329" t="s">
        <v>56</v>
      </c>
      <c r="B8" s="282" t="s">
        <v>130</v>
      </c>
      <c r="C8" s="283"/>
      <c r="D8" s="284" t="s">
        <v>56</v>
      </c>
      <c r="E8" s="283"/>
      <c r="F8" s="283"/>
      <c r="G8" s="283"/>
      <c r="H8" s="283"/>
    </row>
    <row r="9" spans="1:8">
      <c r="A9" s="330" t="s">
        <v>266</v>
      </c>
      <c r="B9" s="282" t="s">
        <v>56</v>
      </c>
      <c r="C9" s="283"/>
      <c r="D9" s="285" t="s">
        <v>145</v>
      </c>
      <c r="E9" s="283"/>
      <c r="F9" s="283"/>
      <c r="G9" s="283"/>
      <c r="H9" s="283"/>
    </row>
    <row r="10" spans="1:8">
      <c r="A10" s="329" t="s">
        <v>266</v>
      </c>
      <c r="B10" s="282" t="s">
        <v>145</v>
      </c>
      <c r="C10" s="283"/>
      <c r="D10" s="284" t="s">
        <v>266</v>
      </c>
      <c r="E10" s="283"/>
      <c r="F10" s="283"/>
      <c r="G10" s="283"/>
      <c r="H10" s="283"/>
    </row>
    <row r="11" spans="1:8">
      <c r="A11" s="330" t="s">
        <v>266</v>
      </c>
      <c r="B11" s="282" t="s">
        <v>104</v>
      </c>
      <c r="C11" s="283"/>
      <c r="D11" s="285" t="s">
        <v>266</v>
      </c>
      <c r="E11" s="283"/>
      <c r="F11" s="283"/>
      <c r="G11" s="283"/>
      <c r="H11" s="283"/>
    </row>
    <row r="12" spans="1:8">
      <c r="A12" s="329" t="s">
        <v>266</v>
      </c>
      <c r="B12" s="282" t="s">
        <v>104</v>
      </c>
      <c r="C12" s="283"/>
      <c r="D12" s="284" t="s">
        <v>266</v>
      </c>
      <c r="E12" s="283"/>
      <c r="F12" s="283"/>
      <c r="G12" s="283"/>
      <c r="H12" s="283"/>
    </row>
    <row r="13" spans="1:8">
      <c r="A13" s="330" t="s">
        <v>266</v>
      </c>
      <c r="B13" s="282" t="s">
        <v>104</v>
      </c>
      <c r="C13" s="283"/>
      <c r="D13" s="285" t="s">
        <v>266</v>
      </c>
      <c r="E13" s="283"/>
      <c r="F13" s="283"/>
      <c r="G13" s="283"/>
      <c r="H13" s="283"/>
    </row>
    <row r="14" spans="1:8">
      <c r="A14" s="329" t="s">
        <v>266</v>
      </c>
      <c r="B14" s="282" t="s">
        <v>104</v>
      </c>
      <c r="C14" s="283"/>
      <c r="D14" s="284" t="s">
        <v>266</v>
      </c>
      <c r="E14" s="283"/>
      <c r="F14" s="283"/>
      <c r="G14" s="283"/>
      <c r="H14" s="283"/>
    </row>
    <row r="15" spans="1:8">
      <c r="A15" s="330" t="s">
        <v>114</v>
      </c>
      <c r="B15" s="282" t="s">
        <v>104</v>
      </c>
      <c r="C15" s="283"/>
      <c r="D15" s="285" t="s">
        <v>266</v>
      </c>
      <c r="E15" s="283"/>
      <c r="F15" s="283"/>
      <c r="G15" s="283"/>
      <c r="H15" s="283"/>
    </row>
    <row r="16" spans="1:8">
      <c r="A16" s="329" t="s">
        <v>114</v>
      </c>
      <c r="B16" s="282" t="s">
        <v>104</v>
      </c>
      <c r="C16" s="283"/>
      <c r="D16" s="284" t="s">
        <v>114</v>
      </c>
      <c r="E16" s="283"/>
      <c r="F16" s="283"/>
      <c r="G16" s="283"/>
      <c r="H16" s="283"/>
    </row>
    <row r="17" spans="1:8">
      <c r="A17" s="330" t="s">
        <v>110</v>
      </c>
      <c r="B17" s="282" t="s">
        <v>114</v>
      </c>
      <c r="C17" s="283"/>
      <c r="D17" s="285" t="s">
        <v>114</v>
      </c>
      <c r="E17" s="283"/>
      <c r="F17" s="283"/>
      <c r="G17" s="283"/>
      <c r="H17" s="283"/>
    </row>
    <row r="18" spans="1:8">
      <c r="A18" s="329" t="s">
        <v>110</v>
      </c>
      <c r="B18" s="282" t="s">
        <v>114</v>
      </c>
      <c r="C18" s="283"/>
      <c r="D18" s="284" t="s">
        <v>110</v>
      </c>
      <c r="E18" s="283"/>
      <c r="F18" s="283"/>
      <c r="G18" s="283"/>
      <c r="H18" s="283"/>
    </row>
    <row r="19" spans="1:8">
      <c r="A19" s="330" t="s">
        <v>24</v>
      </c>
      <c r="B19" s="282" t="s">
        <v>110</v>
      </c>
      <c r="C19" s="283"/>
      <c r="D19" s="285" t="s">
        <v>110</v>
      </c>
      <c r="E19" s="283"/>
      <c r="F19" s="283"/>
      <c r="G19" s="283"/>
      <c r="H19" s="283"/>
    </row>
    <row r="20" spans="1:8">
      <c r="A20" s="329" t="s">
        <v>139</v>
      </c>
      <c r="B20" s="282" t="s">
        <v>110</v>
      </c>
      <c r="C20" s="283"/>
      <c r="D20" s="284" t="s">
        <v>24</v>
      </c>
      <c r="E20" s="283"/>
      <c r="F20" s="283"/>
      <c r="G20" s="283"/>
      <c r="H20" s="283"/>
    </row>
    <row r="21" spans="1:8">
      <c r="A21" s="330" t="s">
        <v>136</v>
      </c>
      <c r="B21" s="287" t="s">
        <v>24</v>
      </c>
      <c r="C21" s="283"/>
      <c r="D21" s="285" t="s">
        <v>139</v>
      </c>
      <c r="E21" s="283"/>
      <c r="F21" s="283"/>
      <c r="G21" s="283"/>
      <c r="H21" s="283"/>
    </row>
    <row r="22" spans="1:8">
      <c r="A22" s="329" t="s">
        <v>140</v>
      </c>
      <c r="B22" s="282" t="s">
        <v>139</v>
      </c>
      <c r="C22" s="283"/>
      <c r="D22" s="284" t="s">
        <v>136</v>
      </c>
      <c r="E22" s="283"/>
      <c r="F22" s="283"/>
      <c r="G22" s="283"/>
      <c r="H22" s="283"/>
    </row>
    <row r="23" spans="1:8">
      <c r="A23" s="330" t="s">
        <v>137</v>
      </c>
      <c r="B23" s="282" t="s">
        <v>136</v>
      </c>
      <c r="C23" s="283"/>
      <c r="D23" s="285" t="s">
        <v>140</v>
      </c>
      <c r="E23" s="283"/>
      <c r="F23" s="283"/>
      <c r="G23" s="283"/>
      <c r="H23" s="283"/>
    </row>
    <row r="24" spans="1:8">
      <c r="A24" s="329" t="s">
        <v>141</v>
      </c>
      <c r="B24" s="282" t="s">
        <v>140</v>
      </c>
      <c r="C24" s="283"/>
      <c r="D24" s="284" t="s">
        <v>137</v>
      </c>
      <c r="E24" s="283"/>
      <c r="F24" s="283"/>
      <c r="G24" s="283"/>
      <c r="H24" s="283"/>
    </row>
    <row r="25" spans="1:8">
      <c r="A25" s="330" t="s">
        <v>138</v>
      </c>
      <c r="B25" s="282" t="s">
        <v>137</v>
      </c>
      <c r="C25" s="283"/>
      <c r="D25" s="285" t="s">
        <v>141</v>
      </c>
      <c r="E25" s="283"/>
      <c r="F25" s="283"/>
      <c r="G25" s="283"/>
      <c r="H25" s="283"/>
    </row>
    <row r="26" spans="1:8">
      <c r="A26" s="329" t="s">
        <v>142</v>
      </c>
      <c r="B26" s="282" t="s">
        <v>141</v>
      </c>
      <c r="C26" s="283"/>
      <c r="D26" s="284" t="s">
        <v>138</v>
      </c>
      <c r="E26" s="283"/>
      <c r="F26" s="283"/>
      <c r="G26" s="283"/>
      <c r="H26" s="283"/>
    </row>
    <row r="27" spans="1:8">
      <c r="A27" s="330" t="s">
        <v>82</v>
      </c>
      <c r="B27" s="282" t="s">
        <v>138</v>
      </c>
      <c r="C27" s="283"/>
      <c r="D27" s="285" t="s">
        <v>142</v>
      </c>
      <c r="E27" s="283"/>
      <c r="F27" s="283"/>
      <c r="G27" s="283"/>
      <c r="H27" s="283"/>
    </row>
    <row r="28" spans="1:8">
      <c r="A28" s="329" t="s">
        <v>108</v>
      </c>
      <c r="B28" s="282" t="s">
        <v>142</v>
      </c>
      <c r="C28" s="283"/>
      <c r="D28" s="284" t="s">
        <v>82</v>
      </c>
      <c r="E28" s="283"/>
      <c r="F28" s="283"/>
      <c r="G28" s="283"/>
      <c r="H28" s="283"/>
    </row>
    <row r="29" spans="1:8">
      <c r="A29" s="330" t="s">
        <v>108</v>
      </c>
      <c r="B29" s="282" t="s">
        <v>82</v>
      </c>
      <c r="C29" s="283"/>
      <c r="D29" s="285" t="s">
        <v>108</v>
      </c>
      <c r="E29" s="283"/>
      <c r="F29" s="283"/>
      <c r="G29" s="283"/>
      <c r="H29" s="283"/>
    </row>
    <row r="30" spans="1:8">
      <c r="A30" s="329" t="s">
        <v>108</v>
      </c>
      <c r="B30" s="286" t="s">
        <v>108</v>
      </c>
      <c r="C30" s="283"/>
      <c r="D30" s="284" t="s">
        <v>108</v>
      </c>
      <c r="E30" s="283"/>
      <c r="F30" s="283"/>
      <c r="G30" s="283"/>
      <c r="H30" s="283"/>
    </row>
    <row r="31" spans="1:8">
      <c r="A31" s="330" t="s">
        <v>108</v>
      </c>
      <c r="B31" s="286" t="s">
        <v>108</v>
      </c>
      <c r="C31" s="283"/>
      <c r="D31" s="285" t="s">
        <v>108</v>
      </c>
      <c r="E31" s="283"/>
      <c r="F31" s="283"/>
      <c r="G31" s="283"/>
      <c r="H31" s="283"/>
    </row>
    <row r="32" spans="1:8">
      <c r="A32" s="329" t="s">
        <v>274</v>
      </c>
      <c r="B32" s="286" t="s">
        <v>108</v>
      </c>
      <c r="C32" s="283"/>
      <c r="D32" s="284" t="s">
        <v>108</v>
      </c>
      <c r="E32" s="283"/>
      <c r="F32" s="283"/>
      <c r="G32" s="283"/>
      <c r="H32" s="283"/>
    </row>
    <row r="33" spans="1:9">
      <c r="A33" s="330" t="s">
        <v>274</v>
      </c>
      <c r="B33" s="286" t="s">
        <v>108</v>
      </c>
      <c r="C33" s="283"/>
      <c r="D33" s="285" t="s">
        <v>274</v>
      </c>
      <c r="E33" s="283"/>
      <c r="F33" s="283"/>
      <c r="G33" s="283"/>
      <c r="H33" s="283"/>
    </row>
    <row r="34" spans="1:9">
      <c r="A34" s="329" t="s">
        <v>274</v>
      </c>
      <c r="B34" s="286" t="s">
        <v>123</v>
      </c>
      <c r="C34" s="283"/>
      <c r="D34" s="284" t="s">
        <v>274</v>
      </c>
      <c r="E34" s="283"/>
      <c r="F34" s="283"/>
      <c r="G34" s="283"/>
      <c r="H34" s="283"/>
    </row>
    <row r="35" spans="1:9">
      <c r="A35" s="330" t="s">
        <v>115</v>
      </c>
      <c r="B35" s="288" t="s">
        <v>123</v>
      </c>
      <c r="C35" s="283"/>
      <c r="D35" s="285" t="s">
        <v>274</v>
      </c>
      <c r="E35" s="283"/>
      <c r="F35" s="283"/>
      <c r="G35" s="283"/>
      <c r="H35" s="283"/>
    </row>
    <row r="36" spans="1:9">
      <c r="A36" s="329" t="s">
        <v>96</v>
      </c>
      <c r="B36" s="288" t="s">
        <v>123</v>
      </c>
      <c r="C36" s="283"/>
      <c r="D36" s="284" t="s">
        <v>115</v>
      </c>
      <c r="E36" s="283"/>
      <c r="F36" s="283"/>
      <c r="G36" s="283"/>
      <c r="H36" s="283"/>
    </row>
    <row r="37" spans="1:9">
      <c r="A37" s="330" t="s">
        <v>119</v>
      </c>
      <c r="B37" s="288" t="s">
        <v>115</v>
      </c>
      <c r="C37" s="283"/>
      <c r="D37" s="285" t="s">
        <v>275</v>
      </c>
      <c r="E37" s="283"/>
      <c r="F37" s="283"/>
      <c r="G37" s="283"/>
      <c r="H37" s="283"/>
    </row>
    <row r="38" spans="1:9">
      <c r="A38" s="329" t="s">
        <v>119</v>
      </c>
      <c r="B38" s="289" t="s">
        <v>96</v>
      </c>
      <c r="C38" s="283"/>
      <c r="D38" s="284" t="s">
        <v>96</v>
      </c>
      <c r="E38" s="283"/>
      <c r="F38" s="283"/>
      <c r="G38" s="283"/>
      <c r="H38" s="283"/>
    </row>
    <row r="39" spans="1:9">
      <c r="A39" s="330" t="s">
        <v>119</v>
      </c>
      <c r="B39" s="288" t="s">
        <v>190</v>
      </c>
      <c r="C39" s="283"/>
      <c r="D39" s="285" t="s">
        <v>119</v>
      </c>
      <c r="E39" s="283"/>
      <c r="F39" s="283"/>
      <c r="G39" s="283"/>
      <c r="H39" s="283"/>
      <c r="I39" s="283"/>
    </row>
    <row r="40" spans="1:9">
      <c r="A40" s="329" t="s">
        <v>135</v>
      </c>
      <c r="B40" s="288" t="s">
        <v>190</v>
      </c>
      <c r="C40" s="283"/>
      <c r="D40" s="284" t="s">
        <v>119</v>
      </c>
      <c r="E40" s="283"/>
      <c r="F40" s="283"/>
      <c r="G40" s="283"/>
      <c r="H40" s="283"/>
      <c r="I40" s="283"/>
    </row>
    <row r="41" spans="1:9">
      <c r="A41" s="330" t="s">
        <v>135</v>
      </c>
      <c r="B41" s="286" t="s">
        <v>191</v>
      </c>
      <c r="C41" s="283"/>
      <c r="D41" s="285" t="s">
        <v>119</v>
      </c>
      <c r="E41" s="283"/>
      <c r="F41" s="283"/>
      <c r="G41" s="283"/>
      <c r="H41" s="283"/>
      <c r="I41" s="283"/>
    </row>
    <row r="42" spans="1:9">
      <c r="A42" s="329" t="s">
        <v>105</v>
      </c>
      <c r="B42" s="282" t="s">
        <v>119</v>
      </c>
      <c r="C42" s="283"/>
      <c r="D42" s="284" t="s">
        <v>135</v>
      </c>
      <c r="E42" s="283"/>
      <c r="F42" s="283"/>
      <c r="G42" s="283"/>
      <c r="H42" s="283"/>
      <c r="I42" s="283"/>
    </row>
    <row r="43" spans="1:9">
      <c r="A43" s="330" t="s">
        <v>105</v>
      </c>
      <c r="B43" s="282" t="s">
        <v>119</v>
      </c>
      <c r="C43" s="283"/>
      <c r="D43" s="285" t="s">
        <v>135</v>
      </c>
      <c r="E43" s="283"/>
      <c r="F43" s="283"/>
      <c r="G43" s="283"/>
      <c r="H43" s="283"/>
      <c r="I43" s="283"/>
    </row>
    <row r="44" spans="1:9">
      <c r="A44" s="329" t="s">
        <v>105</v>
      </c>
      <c r="B44" s="289" t="s">
        <v>119</v>
      </c>
      <c r="C44" s="283"/>
      <c r="D44" s="284" t="s">
        <v>105</v>
      </c>
      <c r="E44" s="283"/>
      <c r="F44" s="283"/>
      <c r="G44" s="283"/>
      <c r="H44" s="283"/>
      <c r="I44" s="283"/>
    </row>
    <row r="45" spans="1:9">
      <c r="A45" s="330" t="s">
        <v>105</v>
      </c>
      <c r="B45" s="289" t="s">
        <v>135</v>
      </c>
      <c r="C45" s="283"/>
      <c r="D45" s="285" t="s">
        <v>105</v>
      </c>
      <c r="E45" s="283"/>
      <c r="F45" s="283"/>
      <c r="G45" s="283"/>
      <c r="H45" s="283"/>
      <c r="I45" s="283"/>
    </row>
    <row r="46" spans="1:9">
      <c r="A46" s="329" t="s">
        <v>105</v>
      </c>
      <c r="B46" s="289" t="s">
        <v>135</v>
      </c>
      <c r="C46" s="283"/>
      <c r="D46" s="284" t="s">
        <v>105</v>
      </c>
      <c r="E46" s="283"/>
      <c r="F46" s="283"/>
      <c r="G46" s="283"/>
      <c r="H46" s="283"/>
      <c r="I46" s="283"/>
    </row>
    <row r="47" spans="1:9">
      <c r="A47" s="330" t="s">
        <v>105</v>
      </c>
      <c r="B47" s="289" t="s">
        <v>105</v>
      </c>
      <c r="C47" s="283"/>
      <c r="D47" s="285" t="s">
        <v>105</v>
      </c>
      <c r="E47" s="283"/>
      <c r="F47" s="283"/>
      <c r="G47" s="283"/>
      <c r="H47" s="283"/>
      <c r="I47" s="283"/>
    </row>
    <row r="48" spans="1:9">
      <c r="A48" s="329" t="s">
        <v>105</v>
      </c>
      <c r="B48" s="289" t="s">
        <v>105</v>
      </c>
      <c r="C48" s="283"/>
      <c r="D48" s="284" t="s">
        <v>105</v>
      </c>
      <c r="E48" s="283"/>
      <c r="F48" s="283"/>
      <c r="G48" s="283"/>
      <c r="H48" s="283"/>
      <c r="I48" s="283"/>
    </row>
    <row r="49" spans="1:9">
      <c r="A49" s="330" t="s">
        <v>105</v>
      </c>
      <c r="B49" s="289" t="s">
        <v>105</v>
      </c>
      <c r="C49" s="283"/>
      <c r="D49" s="285" t="s">
        <v>105</v>
      </c>
      <c r="E49" s="283"/>
      <c r="F49" s="283"/>
      <c r="G49" s="283"/>
      <c r="H49" s="283"/>
      <c r="I49" s="283"/>
    </row>
    <row r="50" spans="1:9">
      <c r="A50" s="329" t="s">
        <v>105</v>
      </c>
      <c r="B50" s="289" t="s">
        <v>105</v>
      </c>
      <c r="C50" s="283"/>
      <c r="D50" s="284" t="s">
        <v>105</v>
      </c>
      <c r="E50" s="283"/>
      <c r="F50" s="283"/>
      <c r="G50" s="283"/>
      <c r="H50" s="283"/>
      <c r="I50" s="283"/>
    </row>
    <row r="51" spans="1:9">
      <c r="A51" s="330" t="s">
        <v>105</v>
      </c>
      <c r="B51" s="289" t="s">
        <v>105</v>
      </c>
      <c r="C51" s="283"/>
      <c r="D51" s="285" t="s">
        <v>105</v>
      </c>
      <c r="E51" s="283"/>
      <c r="F51" s="283"/>
      <c r="G51" s="283"/>
      <c r="H51" s="283"/>
      <c r="I51" s="283"/>
    </row>
    <row r="52" spans="1:9">
      <c r="A52" s="329" t="s">
        <v>97</v>
      </c>
      <c r="B52" s="289" t="s">
        <v>105</v>
      </c>
      <c r="C52" s="283"/>
      <c r="D52" s="284" t="s">
        <v>105</v>
      </c>
      <c r="E52" s="283"/>
      <c r="F52" s="283"/>
      <c r="G52" s="283"/>
      <c r="H52" s="283"/>
      <c r="I52" s="283"/>
    </row>
    <row r="53" spans="1:9">
      <c r="A53" s="330" t="s">
        <v>65</v>
      </c>
      <c r="B53" s="289" t="s">
        <v>105</v>
      </c>
      <c r="C53" s="283"/>
      <c r="D53" s="285" t="s">
        <v>105</v>
      </c>
      <c r="E53" s="283"/>
      <c r="F53" s="283"/>
      <c r="G53" s="283"/>
      <c r="H53" s="283"/>
      <c r="I53" s="283"/>
    </row>
    <row r="54" spans="1:9">
      <c r="A54" s="329" t="s">
        <v>124</v>
      </c>
      <c r="B54" s="289" t="s">
        <v>105</v>
      </c>
      <c r="C54" s="283"/>
      <c r="D54" s="284" t="s">
        <v>97</v>
      </c>
      <c r="E54" s="283"/>
      <c r="F54" s="283"/>
      <c r="G54" s="283"/>
      <c r="H54" s="283"/>
      <c r="I54" s="283"/>
    </row>
    <row r="55" spans="1:9">
      <c r="A55" s="330" t="s">
        <v>92</v>
      </c>
      <c r="B55" s="289" t="s">
        <v>105</v>
      </c>
      <c r="C55" s="283"/>
      <c r="D55" s="285" t="s">
        <v>65</v>
      </c>
      <c r="E55" s="283"/>
      <c r="F55" s="283"/>
      <c r="G55" s="283"/>
      <c r="H55" s="283"/>
      <c r="I55" s="283"/>
    </row>
    <row r="56" spans="1:9">
      <c r="A56" s="329" t="s">
        <v>92</v>
      </c>
      <c r="B56" s="282" t="s">
        <v>105</v>
      </c>
      <c r="C56" s="283"/>
      <c r="D56" s="284" t="s">
        <v>124</v>
      </c>
      <c r="E56" s="283"/>
      <c r="F56" s="283"/>
      <c r="G56" s="283"/>
      <c r="H56" s="283"/>
      <c r="I56" s="283"/>
    </row>
    <row r="57" spans="1:9">
      <c r="A57" s="330" t="s">
        <v>92</v>
      </c>
      <c r="B57" s="282" t="s">
        <v>97</v>
      </c>
      <c r="D57" s="290" t="s">
        <v>36</v>
      </c>
    </row>
    <row r="58" spans="1:9">
      <c r="A58" s="329" t="s">
        <v>92</v>
      </c>
      <c r="B58" s="289" t="s">
        <v>65</v>
      </c>
      <c r="D58" s="284" t="s">
        <v>128</v>
      </c>
    </row>
    <row r="59" spans="1:9">
      <c r="A59" s="330" t="s">
        <v>92</v>
      </c>
      <c r="B59" s="289" t="s">
        <v>124</v>
      </c>
      <c r="D59" s="285" t="s">
        <v>129</v>
      </c>
    </row>
    <row r="60" spans="1:9">
      <c r="A60" s="329" t="s">
        <v>36</v>
      </c>
      <c r="B60" s="7" t="s">
        <v>92</v>
      </c>
      <c r="D60" s="284" t="s">
        <v>50</v>
      </c>
    </row>
    <row r="61" spans="1:9">
      <c r="A61" s="330" t="s">
        <v>128</v>
      </c>
      <c r="B61" s="7" t="s">
        <v>92</v>
      </c>
      <c r="D61" s="285" t="s">
        <v>50</v>
      </c>
    </row>
    <row r="62" spans="1:9">
      <c r="A62" s="329" t="s">
        <v>129</v>
      </c>
      <c r="B62" s="7" t="s">
        <v>92</v>
      </c>
      <c r="D62" s="284" t="s">
        <v>50</v>
      </c>
    </row>
    <row r="63" spans="1:9">
      <c r="A63" s="330" t="s">
        <v>50</v>
      </c>
      <c r="B63" s="7" t="s">
        <v>92</v>
      </c>
      <c r="D63" s="285" t="s">
        <v>286</v>
      </c>
    </row>
    <row r="64" spans="1:9">
      <c r="A64" s="329" t="s">
        <v>50</v>
      </c>
      <c r="B64" s="7" t="s">
        <v>92</v>
      </c>
      <c r="D64" s="284" t="s">
        <v>286</v>
      </c>
    </row>
    <row r="65" spans="1:4">
      <c r="A65" s="330" t="s">
        <v>50</v>
      </c>
      <c r="B65" s="291" t="s">
        <v>179</v>
      </c>
      <c r="D65" s="285" t="s">
        <v>102</v>
      </c>
    </row>
    <row r="66" spans="1:4">
      <c r="A66" s="329" t="s">
        <v>286</v>
      </c>
      <c r="B66" s="282" t="s">
        <v>128</v>
      </c>
      <c r="D66" s="284" t="s">
        <v>288</v>
      </c>
    </row>
    <row r="67" spans="1:4">
      <c r="A67" s="330" t="s">
        <v>286</v>
      </c>
      <c r="B67" s="282" t="s">
        <v>129</v>
      </c>
      <c r="D67" s="285" t="s">
        <v>288</v>
      </c>
    </row>
    <row r="68" spans="1:4">
      <c r="A68" s="329" t="s">
        <v>37</v>
      </c>
      <c r="B68" s="292" t="s">
        <v>50</v>
      </c>
      <c r="D68" s="284" t="s">
        <v>288</v>
      </c>
    </row>
    <row r="69" spans="1:4">
      <c r="A69" s="330" t="s">
        <v>102</v>
      </c>
      <c r="B69" s="292" t="s">
        <v>50</v>
      </c>
      <c r="D69" s="285" t="s">
        <v>100</v>
      </c>
    </row>
    <row r="70" spans="1:4">
      <c r="A70" s="329" t="s">
        <v>51</v>
      </c>
      <c r="B70" s="292" t="s">
        <v>50</v>
      </c>
      <c r="D70" s="284" t="s">
        <v>125</v>
      </c>
    </row>
    <row r="71" spans="1:4">
      <c r="A71" s="330" t="s">
        <v>288</v>
      </c>
      <c r="B71" s="287" t="s">
        <v>25</v>
      </c>
      <c r="D71" s="294" t="s">
        <v>126</v>
      </c>
    </row>
    <row r="72" spans="1:4">
      <c r="A72" s="329" t="s">
        <v>288</v>
      </c>
      <c r="B72" s="287" t="s">
        <v>25</v>
      </c>
      <c r="D72" s="284" t="s">
        <v>62</v>
      </c>
    </row>
    <row r="73" spans="1:4">
      <c r="A73" s="330" t="s">
        <v>288</v>
      </c>
      <c r="B73" s="51" t="s">
        <v>32</v>
      </c>
      <c r="D73" s="285" t="s">
        <v>131</v>
      </c>
    </row>
    <row r="74" spans="1:4">
      <c r="A74" s="329" t="s">
        <v>100</v>
      </c>
      <c r="B74" s="51" t="s">
        <v>32</v>
      </c>
      <c r="D74" s="284" t="s">
        <v>66</v>
      </c>
    </row>
    <row r="75" spans="1:4">
      <c r="A75" s="330" t="s">
        <v>125</v>
      </c>
      <c r="B75" s="51" t="s">
        <v>32</v>
      </c>
      <c r="D75" s="285" t="s">
        <v>291</v>
      </c>
    </row>
    <row r="76" spans="1:4">
      <c r="A76" s="329" t="s">
        <v>126</v>
      </c>
      <c r="B76" s="51" t="s">
        <v>32</v>
      </c>
      <c r="D76" s="284" t="s">
        <v>291</v>
      </c>
    </row>
    <row r="77" spans="1:4">
      <c r="A77" s="330" t="s">
        <v>62</v>
      </c>
      <c r="B77" s="286" t="s">
        <v>102</v>
      </c>
      <c r="D77" s="285" t="s">
        <v>294</v>
      </c>
    </row>
    <row r="78" spans="1:4">
      <c r="A78" s="329" t="s">
        <v>131</v>
      </c>
      <c r="B78" s="109" t="s">
        <v>51</v>
      </c>
      <c r="D78" s="284" t="s">
        <v>294</v>
      </c>
    </row>
    <row r="79" spans="1:4">
      <c r="A79" s="330" t="s">
        <v>66</v>
      </c>
      <c r="B79" s="282" t="s">
        <v>101</v>
      </c>
      <c r="D79" s="285" t="s">
        <v>294</v>
      </c>
    </row>
    <row r="80" spans="1:4">
      <c r="A80" s="329" t="s">
        <v>291</v>
      </c>
      <c r="B80" s="289" t="s">
        <v>101</v>
      </c>
      <c r="D80" s="284" t="s">
        <v>294</v>
      </c>
    </row>
    <row r="81" spans="1:10">
      <c r="A81" s="330" t="s">
        <v>291</v>
      </c>
      <c r="B81" s="289" t="s">
        <v>101</v>
      </c>
      <c r="D81" s="285" t="s">
        <v>111</v>
      </c>
    </row>
    <row r="82" spans="1:10">
      <c r="A82" s="329" t="s">
        <v>67</v>
      </c>
      <c r="B82" s="293" t="s">
        <v>100</v>
      </c>
      <c r="D82" s="284" t="s">
        <v>106</v>
      </c>
    </row>
    <row r="83" spans="1:10">
      <c r="A83" s="330" t="s">
        <v>294</v>
      </c>
      <c r="B83" s="286" t="s">
        <v>125</v>
      </c>
      <c r="D83" s="285" t="s">
        <v>106</v>
      </c>
    </row>
    <row r="84" spans="1:10">
      <c r="A84" s="329" t="s">
        <v>294</v>
      </c>
      <c r="B84" s="289" t="s">
        <v>62</v>
      </c>
      <c r="D84" s="284" t="s">
        <v>106</v>
      </c>
      <c r="I84" t="s">
        <v>360</v>
      </c>
      <c r="J84" s="307">
        <v>46032</v>
      </c>
    </row>
    <row r="85" spans="1:10">
      <c r="A85" s="330" t="s">
        <v>294</v>
      </c>
      <c r="B85" s="282" t="s">
        <v>131</v>
      </c>
      <c r="D85" s="285" t="s">
        <v>106</v>
      </c>
    </row>
    <row r="86" spans="1:10">
      <c r="A86" s="329" t="s">
        <v>294</v>
      </c>
      <c r="B86" s="295" t="s">
        <v>66</v>
      </c>
      <c r="D86" s="284" t="s">
        <v>106</v>
      </c>
    </row>
    <row r="87" spans="1:10">
      <c r="A87" s="330" t="s">
        <v>111</v>
      </c>
      <c r="B87" s="296" t="s">
        <v>52</v>
      </c>
      <c r="D87" s="285" t="s">
        <v>106</v>
      </c>
    </row>
    <row r="88" spans="1:10">
      <c r="A88" s="329" t="s">
        <v>106</v>
      </c>
      <c r="B88" s="296" t="s">
        <v>52</v>
      </c>
      <c r="D88" s="284" t="s">
        <v>46</v>
      </c>
    </row>
    <row r="89" spans="1:10">
      <c r="A89" s="330" t="s">
        <v>106</v>
      </c>
      <c r="B89" s="297" t="s">
        <v>194</v>
      </c>
      <c r="D89" s="285" t="s">
        <v>46</v>
      </c>
    </row>
    <row r="90" spans="1:10">
      <c r="A90" s="329" t="s">
        <v>106</v>
      </c>
      <c r="B90" s="289" t="s">
        <v>146</v>
      </c>
      <c r="D90" s="284" t="s">
        <v>46</v>
      </c>
    </row>
    <row r="91" spans="1:10">
      <c r="A91" s="330" t="s">
        <v>106</v>
      </c>
      <c r="B91" s="289" t="s">
        <v>146</v>
      </c>
      <c r="D91" s="285" t="s">
        <v>63</v>
      </c>
    </row>
    <row r="92" spans="1:10">
      <c r="A92" s="329" t="s">
        <v>106</v>
      </c>
      <c r="B92" s="282" t="s">
        <v>146</v>
      </c>
      <c r="D92" s="284" t="s">
        <v>121</v>
      </c>
    </row>
    <row r="93" spans="1:10">
      <c r="A93" s="330" t="s">
        <v>106</v>
      </c>
      <c r="B93" s="282" t="s">
        <v>146</v>
      </c>
      <c r="D93" s="294" t="s">
        <v>83</v>
      </c>
    </row>
    <row r="94" spans="1:10">
      <c r="A94" s="329" t="s">
        <v>74</v>
      </c>
      <c r="B94" s="289" t="s">
        <v>111</v>
      </c>
      <c r="D94" s="280" t="s">
        <v>48</v>
      </c>
    </row>
    <row r="95" spans="1:10">
      <c r="A95" s="330" t="s">
        <v>74</v>
      </c>
      <c r="B95" s="286" t="s">
        <v>106</v>
      </c>
      <c r="D95" s="281" t="s">
        <v>48</v>
      </c>
    </row>
    <row r="96" spans="1:10">
      <c r="A96" s="329" t="s">
        <v>74</v>
      </c>
      <c r="B96" s="288" t="s">
        <v>106</v>
      </c>
      <c r="D96" s="280" t="s">
        <v>48</v>
      </c>
    </row>
    <row r="97" spans="1:4">
      <c r="A97" s="330" t="s">
        <v>74</v>
      </c>
      <c r="B97" s="286" t="s">
        <v>106</v>
      </c>
      <c r="D97" s="281" t="s">
        <v>48</v>
      </c>
    </row>
    <row r="98" spans="1:4">
      <c r="A98" s="329" t="s">
        <v>74</v>
      </c>
      <c r="B98" s="282" t="s">
        <v>106</v>
      </c>
      <c r="D98" s="280" t="s">
        <v>55</v>
      </c>
    </row>
    <row r="99" spans="1:4">
      <c r="A99" s="330" t="s">
        <v>74</v>
      </c>
      <c r="B99" s="289" t="s">
        <v>106</v>
      </c>
      <c r="D99" s="281" t="s">
        <v>55</v>
      </c>
    </row>
    <row r="100" spans="1:4">
      <c r="A100" s="329" t="s">
        <v>74</v>
      </c>
      <c r="B100" s="289" t="s">
        <v>106</v>
      </c>
      <c r="D100" s="280" t="s">
        <v>69</v>
      </c>
    </row>
    <row r="101" spans="1:4">
      <c r="A101" s="330" t="s">
        <v>46</v>
      </c>
      <c r="B101" s="289" t="s">
        <v>46</v>
      </c>
      <c r="D101" s="281" t="s">
        <v>69</v>
      </c>
    </row>
    <row r="102" spans="1:4">
      <c r="A102" s="329" t="s">
        <v>46</v>
      </c>
      <c r="B102" s="282" t="s">
        <v>46</v>
      </c>
      <c r="D102" s="280" t="s">
        <v>69</v>
      </c>
    </row>
    <row r="103" spans="1:4">
      <c r="A103" s="330" t="s">
        <v>46</v>
      </c>
      <c r="B103" s="282" t="s">
        <v>46</v>
      </c>
      <c r="D103" s="281" t="s">
        <v>69</v>
      </c>
    </row>
    <row r="104" spans="1:4">
      <c r="A104" s="329" t="s">
        <v>63</v>
      </c>
      <c r="B104" s="289" t="s">
        <v>63</v>
      </c>
      <c r="D104" s="280" t="s">
        <v>70</v>
      </c>
    </row>
    <row r="105" spans="1:4">
      <c r="A105" s="330" t="s">
        <v>120</v>
      </c>
      <c r="B105" s="282" t="s">
        <v>121</v>
      </c>
      <c r="D105" s="281" t="s">
        <v>70</v>
      </c>
    </row>
    <row r="106" spans="1:4">
      <c r="A106" s="329" t="s">
        <v>121</v>
      </c>
      <c r="B106" s="128" t="s">
        <v>79</v>
      </c>
      <c r="D106" s="280" t="s">
        <v>70</v>
      </c>
    </row>
    <row r="107" spans="1:4">
      <c r="A107" s="330" t="s">
        <v>83</v>
      </c>
      <c r="B107" s="109" t="s">
        <v>79</v>
      </c>
      <c r="D107" s="281" t="s">
        <v>70</v>
      </c>
    </row>
    <row r="108" spans="1:4">
      <c r="A108" s="329" t="s">
        <v>303</v>
      </c>
      <c r="B108" s="109" t="s">
        <v>80</v>
      </c>
      <c r="D108" s="280" t="s">
        <v>78</v>
      </c>
    </row>
    <row r="109" spans="1:4">
      <c r="A109" s="330" t="s">
        <v>303</v>
      </c>
      <c r="B109" s="128" t="s">
        <v>80</v>
      </c>
      <c r="D109" s="281" t="s">
        <v>78</v>
      </c>
    </row>
    <row r="110" spans="1:4">
      <c r="A110" s="329" t="s">
        <v>305</v>
      </c>
      <c r="B110" s="128" t="s">
        <v>71</v>
      </c>
      <c r="D110" s="280" t="s">
        <v>78</v>
      </c>
    </row>
    <row r="111" spans="1:4">
      <c r="A111" s="330" t="s">
        <v>305</v>
      </c>
      <c r="B111" s="128" t="s">
        <v>71</v>
      </c>
      <c r="D111" s="281" t="s">
        <v>309</v>
      </c>
    </row>
    <row r="112" spans="1:4">
      <c r="A112" s="329" t="s">
        <v>361</v>
      </c>
      <c r="B112" s="109" t="s">
        <v>71</v>
      </c>
      <c r="D112" s="280" t="s">
        <v>309</v>
      </c>
    </row>
    <row r="113" spans="1:4">
      <c r="A113" s="330" t="s">
        <v>361</v>
      </c>
      <c r="B113" s="109" t="s">
        <v>71</v>
      </c>
      <c r="D113" s="281" t="s">
        <v>309</v>
      </c>
    </row>
    <row r="114" spans="1:4">
      <c r="A114" s="329" t="s">
        <v>361</v>
      </c>
      <c r="B114" s="128" t="s">
        <v>71</v>
      </c>
      <c r="D114" s="280" t="s">
        <v>40</v>
      </c>
    </row>
    <row r="115" spans="1:4">
      <c r="A115" s="330" t="s">
        <v>361</v>
      </c>
      <c r="B115" s="109" t="s">
        <v>71</v>
      </c>
      <c r="D115" s="281" t="s">
        <v>40</v>
      </c>
    </row>
    <row r="116" spans="1:4">
      <c r="A116" s="329" t="s">
        <v>361</v>
      </c>
      <c r="B116" s="70" t="s">
        <v>132</v>
      </c>
      <c r="D116" s="280" t="s">
        <v>27</v>
      </c>
    </row>
    <row r="117" spans="1:4">
      <c r="A117" s="330" t="s">
        <v>361</v>
      </c>
      <c r="B117" s="61" t="s">
        <v>48</v>
      </c>
      <c r="D117" s="281" t="s">
        <v>27</v>
      </c>
    </row>
    <row r="118" spans="1:4">
      <c r="A118" s="329" t="s">
        <v>48</v>
      </c>
      <c r="B118" s="61" t="s">
        <v>48</v>
      </c>
      <c r="D118" s="280" t="s">
        <v>29</v>
      </c>
    </row>
    <row r="119" spans="1:4">
      <c r="A119" s="330" t="s">
        <v>48</v>
      </c>
      <c r="B119" s="61" t="s">
        <v>48</v>
      </c>
      <c r="D119" s="281" t="s">
        <v>29</v>
      </c>
    </row>
    <row r="120" spans="1:4">
      <c r="A120" s="329" t="s">
        <v>48</v>
      </c>
      <c r="B120" s="61" t="s">
        <v>48</v>
      </c>
      <c r="D120" s="280" t="s">
        <v>30</v>
      </c>
    </row>
    <row r="121" spans="1:4">
      <c r="A121" s="330" t="s">
        <v>48</v>
      </c>
      <c r="B121" s="61" t="s">
        <v>55</v>
      </c>
      <c r="D121" s="281" t="s">
        <v>30</v>
      </c>
    </row>
    <row r="122" spans="1:4">
      <c r="A122" s="329" t="s">
        <v>55</v>
      </c>
      <c r="B122" s="61" t="s">
        <v>55</v>
      </c>
      <c r="D122" s="280" t="s">
        <v>31</v>
      </c>
    </row>
    <row r="123" spans="1:4">
      <c r="A123" s="330" t="s">
        <v>55</v>
      </c>
      <c r="B123" s="61" t="s">
        <v>69</v>
      </c>
      <c r="D123" s="281" t="s">
        <v>31</v>
      </c>
    </row>
    <row r="124" spans="1:4">
      <c r="A124" s="329" t="s">
        <v>69</v>
      </c>
      <c r="B124" s="61" t="s">
        <v>69</v>
      </c>
    </row>
    <row r="125" spans="1:4">
      <c r="A125" s="330" t="s">
        <v>69</v>
      </c>
      <c r="B125" s="75" t="s">
        <v>69</v>
      </c>
    </row>
    <row r="126" spans="1:4">
      <c r="A126" s="329" t="s">
        <v>69</v>
      </c>
      <c r="B126" s="75" t="s">
        <v>69</v>
      </c>
    </row>
    <row r="127" spans="1:4">
      <c r="A127" s="330" t="s">
        <v>69</v>
      </c>
      <c r="B127" s="75" t="s">
        <v>70</v>
      </c>
    </row>
    <row r="128" spans="1:4">
      <c r="A128" s="329" t="s">
        <v>70</v>
      </c>
      <c r="B128" s="75" t="s">
        <v>70</v>
      </c>
    </row>
    <row r="129" spans="1:2">
      <c r="A129" s="330" t="s">
        <v>70</v>
      </c>
      <c r="B129" s="75" t="s">
        <v>70</v>
      </c>
    </row>
    <row r="130" spans="1:2">
      <c r="A130" s="329" t="s">
        <v>70</v>
      </c>
      <c r="B130" s="61" t="s">
        <v>70</v>
      </c>
    </row>
    <row r="131" spans="1:2">
      <c r="A131" s="330" t="s">
        <v>70</v>
      </c>
      <c r="B131" s="61" t="s">
        <v>75</v>
      </c>
    </row>
    <row r="132" spans="1:2">
      <c r="A132" s="329" t="s">
        <v>78</v>
      </c>
      <c r="B132" s="75" t="s">
        <v>75</v>
      </c>
    </row>
    <row r="133" spans="1:2">
      <c r="A133" s="330" t="s">
        <v>78</v>
      </c>
      <c r="B133" s="75" t="s">
        <v>75</v>
      </c>
    </row>
    <row r="134" spans="1:2">
      <c r="A134" s="329" t="s">
        <v>78</v>
      </c>
      <c r="B134" s="61" t="s">
        <v>78</v>
      </c>
    </row>
    <row r="135" spans="1:2">
      <c r="A135" s="330" t="s">
        <v>309</v>
      </c>
      <c r="B135" s="61" t="s">
        <v>78</v>
      </c>
    </row>
    <row r="136" spans="1:2">
      <c r="A136" s="329" t="s">
        <v>309</v>
      </c>
      <c r="B136" s="61" t="s">
        <v>78</v>
      </c>
    </row>
    <row r="137" spans="1:2">
      <c r="A137" s="330" t="s">
        <v>309</v>
      </c>
      <c r="B137" s="74" t="s">
        <v>39</v>
      </c>
    </row>
    <row r="138" spans="1:2">
      <c r="A138" s="329" t="s">
        <v>40</v>
      </c>
      <c r="B138" s="74" t="s">
        <v>39</v>
      </c>
    </row>
    <row r="139" spans="1:2">
      <c r="A139" s="330" t="s">
        <v>40</v>
      </c>
      <c r="B139" s="74" t="s">
        <v>40</v>
      </c>
    </row>
    <row r="140" spans="1:2">
      <c r="A140" s="329" t="s">
        <v>27</v>
      </c>
      <c r="B140" s="74" t="s">
        <v>40</v>
      </c>
    </row>
    <row r="141" spans="1:2">
      <c r="A141" s="330" t="s">
        <v>27</v>
      </c>
      <c r="B141" s="74" t="s">
        <v>27</v>
      </c>
    </row>
    <row r="142" spans="1:2">
      <c r="A142" s="329" t="s">
        <v>29</v>
      </c>
      <c r="B142" s="74" t="s">
        <v>27</v>
      </c>
    </row>
    <row r="143" spans="1:2">
      <c r="A143" s="330" t="s">
        <v>29</v>
      </c>
      <c r="B143" s="74" t="s">
        <v>29</v>
      </c>
    </row>
    <row r="144" spans="1:2">
      <c r="A144" s="329" t="s">
        <v>30</v>
      </c>
      <c r="B144" s="74" t="s">
        <v>29</v>
      </c>
    </row>
    <row r="145" spans="1:2">
      <c r="A145" s="330" t="s">
        <v>30</v>
      </c>
      <c r="B145" s="74" t="s">
        <v>30</v>
      </c>
    </row>
    <row r="146" spans="1:2">
      <c r="A146" s="329" t="s">
        <v>31</v>
      </c>
      <c r="B146" s="74" t="s">
        <v>30</v>
      </c>
    </row>
    <row r="147" spans="1:2">
      <c r="A147" s="330" t="s">
        <v>31</v>
      </c>
      <c r="B147" s="74" t="s">
        <v>31</v>
      </c>
    </row>
    <row r="148" spans="1:2">
      <c r="A148" s="329" t="s">
        <v>58</v>
      </c>
      <c r="B148" s="74" t="s">
        <v>31</v>
      </c>
    </row>
    <row r="149" spans="1:2">
      <c r="A149" s="330" t="s">
        <v>58</v>
      </c>
      <c r="B149" s="9" t="s">
        <v>58</v>
      </c>
    </row>
    <row r="150" spans="1:2">
      <c r="A150" s="329" t="s">
        <v>58</v>
      </c>
      <c r="B150" s="9" t="s">
        <v>58</v>
      </c>
    </row>
    <row r="151" spans="1:2">
      <c r="A151" s="330" t="s">
        <v>58</v>
      </c>
      <c r="B151" s="9" t="s">
        <v>58</v>
      </c>
    </row>
    <row r="152" spans="1:2">
      <c r="A152" s="329" t="s">
        <v>58</v>
      </c>
      <c r="B152" s="46" t="s">
        <v>58</v>
      </c>
    </row>
    <row r="153" spans="1:2">
      <c r="A153" s="330" t="s">
        <v>58</v>
      </c>
      <c r="B153" s="9" t="s">
        <v>58</v>
      </c>
    </row>
    <row r="154" spans="1:2">
      <c r="A154" s="329" t="s">
        <v>58</v>
      </c>
      <c r="B154" s="9" t="s">
        <v>58</v>
      </c>
    </row>
    <row r="155" spans="1:2">
      <c r="A155" s="330" t="s">
        <v>58</v>
      </c>
      <c r="B155" s="11" t="s">
        <v>58</v>
      </c>
    </row>
    <row r="156" spans="1:2">
      <c r="A156" s="329" t="s">
        <v>58</v>
      </c>
      <c r="B156" s="9" t="s">
        <v>58</v>
      </c>
    </row>
    <row r="157" spans="1:2">
      <c r="A157" s="330" t="s">
        <v>58</v>
      </c>
      <c r="B157" s="12" t="s">
        <v>58</v>
      </c>
    </row>
    <row r="158" spans="1:2">
      <c r="A158" s="329" t="s">
        <v>58</v>
      </c>
      <c r="B158" s="12" t="s">
        <v>58</v>
      </c>
    </row>
    <row r="159" spans="1:2">
      <c r="A159" s="330" t="s">
        <v>58</v>
      </c>
      <c r="B159" s="11" t="s">
        <v>87</v>
      </c>
    </row>
    <row r="160" spans="1:2">
      <c r="A160" s="329" t="s">
        <v>58</v>
      </c>
      <c r="B160" s="11" t="s">
        <v>87</v>
      </c>
    </row>
    <row r="161" spans="1:4">
      <c r="A161" s="330" t="s">
        <v>58</v>
      </c>
      <c r="B161" s="11" t="s">
        <v>87</v>
      </c>
    </row>
    <row r="162" spans="1:4">
      <c r="A162" s="329" t="s">
        <v>58</v>
      </c>
      <c r="B162" s="11" t="s">
        <v>87</v>
      </c>
    </row>
    <row r="163" spans="1:4">
      <c r="A163" s="330" t="s">
        <v>58</v>
      </c>
      <c r="B163" s="9" t="s">
        <v>87</v>
      </c>
    </row>
    <row r="164" spans="1:4">
      <c r="A164" s="329" t="s">
        <v>58</v>
      </c>
      <c r="B164" s="9" t="s">
        <v>87</v>
      </c>
    </row>
    <row r="165" spans="1:4">
      <c r="A165" s="330" t="s">
        <v>58</v>
      </c>
      <c r="B165" s="9" t="s">
        <v>87</v>
      </c>
    </row>
    <row r="166" spans="1:4">
      <c r="A166" s="329" t="s">
        <v>103</v>
      </c>
      <c r="B166" s="9" t="s">
        <v>87</v>
      </c>
    </row>
    <row r="167" spans="1:4">
      <c r="A167" s="330" t="s">
        <v>103</v>
      </c>
      <c r="B167" s="286" t="s">
        <v>103</v>
      </c>
      <c r="D167" s="284" t="s">
        <v>103</v>
      </c>
    </row>
    <row r="168" spans="1:4">
      <c r="A168" s="329" t="s">
        <v>54</v>
      </c>
      <c r="B168" s="286" t="s">
        <v>103</v>
      </c>
      <c r="D168" s="285" t="s">
        <v>103</v>
      </c>
    </row>
    <row r="169" spans="1:4">
      <c r="A169" s="330" t="s">
        <v>54</v>
      </c>
      <c r="B169" s="287" t="s">
        <v>54</v>
      </c>
      <c r="D169" s="284" t="s">
        <v>54</v>
      </c>
    </row>
    <row r="170" spans="1:4">
      <c r="A170" s="329" t="s">
        <v>112</v>
      </c>
      <c r="B170" s="287" t="s">
        <v>54</v>
      </c>
      <c r="D170" s="285" t="s">
        <v>54</v>
      </c>
    </row>
    <row r="171" spans="1:4">
      <c r="A171" s="330" t="s">
        <v>38</v>
      </c>
      <c r="B171" s="286" t="s">
        <v>112</v>
      </c>
      <c r="D171" s="284" t="s">
        <v>112</v>
      </c>
    </row>
    <row r="172" spans="1:4">
      <c r="A172" s="329" t="s">
        <v>84</v>
      </c>
      <c r="B172" s="299" t="s">
        <v>38</v>
      </c>
      <c r="D172" s="285" t="s">
        <v>38</v>
      </c>
    </row>
    <row r="173" spans="1:4">
      <c r="A173" s="281" t="s">
        <v>319</v>
      </c>
      <c r="B173" s="106" t="s">
        <v>84</v>
      </c>
      <c r="D173" s="298" t="s">
        <v>319</v>
      </c>
    </row>
    <row r="174" spans="1:4">
      <c r="A174" s="329" t="s">
        <v>116</v>
      </c>
      <c r="B174" s="286" t="s">
        <v>116</v>
      </c>
      <c r="D174" s="285" t="s">
        <v>116</v>
      </c>
    </row>
    <row r="175" spans="1:4">
      <c r="A175" s="330" t="s">
        <v>22</v>
      </c>
      <c r="B175" s="301" t="s">
        <v>22</v>
      </c>
      <c r="D175" s="284" t="s">
        <v>22</v>
      </c>
    </row>
    <row r="176" spans="1:4">
      <c r="A176" s="329" t="s">
        <v>127</v>
      </c>
      <c r="B176" s="286" t="s">
        <v>127</v>
      </c>
      <c r="D176" s="285" t="s">
        <v>127</v>
      </c>
    </row>
    <row r="177" spans="1:4">
      <c r="A177" s="330" t="s">
        <v>57</v>
      </c>
      <c r="B177" s="282" t="s">
        <v>57</v>
      </c>
      <c r="D177" s="284" t="s">
        <v>57</v>
      </c>
    </row>
    <row r="178" spans="1:4">
      <c r="A178" s="329" t="s">
        <v>86</v>
      </c>
      <c r="B178" s="282" t="s">
        <v>86</v>
      </c>
      <c r="D178" s="285" t="s">
        <v>86</v>
      </c>
    </row>
    <row r="179" spans="1:4">
      <c r="A179" s="330" t="s">
        <v>86</v>
      </c>
      <c r="B179" s="282" t="s">
        <v>86</v>
      </c>
      <c r="D179" s="284" t="s">
        <v>86</v>
      </c>
    </row>
    <row r="180" spans="1:4">
      <c r="A180" s="329" t="s">
        <v>86</v>
      </c>
      <c r="B180" s="282" t="s">
        <v>86</v>
      </c>
      <c r="D180" s="285" t="s">
        <v>86</v>
      </c>
    </row>
    <row r="181" spans="1:4">
      <c r="A181" s="330" t="s">
        <v>86</v>
      </c>
      <c r="B181" s="282" t="s">
        <v>143</v>
      </c>
      <c r="D181" s="284" t="s">
        <v>86</v>
      </c>
    </row>
    <row r="182" spans="1:4">
      <c r="A182" s="329" t="s">
        <v>86</v>
      </c>
      <c r="B182" s="282" t="s">
        <v>143</v>
      </c>
      <c r="D182" s="285" t="s">
        <v>86</v>
      </c>
    </row>
    <row r="183" spans="1:4">
      <c r="A183" s="330" t="s">
        <v>122</v>
      </c>
      <c r="B183" s="302" t="s">
        <v>122</v>
      </c>
      <c r="D183" s="284" t="s">
        <v>122</v>
      </c>
    </row>
    <row r="184" spans="1:4">
      <c r="A184" s="329" t="s">
        <v>198</v>
      </c>
      <c r="B184" s="287" t="s">
        <v>33</v>
      </c>
      <c r="D184" s="285" t="s">
        <v>198</v>
      </c>
    </row>
    <row r="185" spans="1:4">
      <c r="A185" s="330" t="s">
        <v>33</v>
      </c>
      <c r="B185" s="287" t="s">
        <v>33</v>
      </c>
      <c r="D185" s="284" t="s">
        <v>33</v>
      </c>
    </row>
    <row r="186" spans="1:4">
      <c r="A186" s="329" t="s">
        <v>33</v>
      </c>
      <c r="B186" s="287" t="s">
        <v>33</v>
      </c>
      <c r="D186" s="285" t="s">
        <v>33</v>
      </c>
    </row>
    <row r="187" spans="1:4">
      <c r="A187" s="330" t="s">
        <v>33</v>
      </c>
      <c r="B187" s="287" t="s">
        <v>33</v>
      </c>
      <c r="D187" s="284" t="s">
        <v>33</v>
      </c>
    </row>
    <row r="188" spans="1:4">
      <c r="A188" s="329" t="s">
        <v>33</v>
      </c>
      <c r="B188" s="287" t="s">
        <v>33</v>
      </c>
      <c r="D188" s="285" t="s">
        <v>33</v>
      </c>
    </row>
    <row r="189" spans="1:4">
      <c r="A189" s="330" t="s">
        <v>33</v>
      </c>
      <c r="B189" s="287" t="s">
        <v>33</v>
      </c>
      <c r="D189" s="284" t="s">
        <v>33</v>
      </c>
    </row>
    <row r="190" spans="1:4">
      <c r="A190" s="329" t="s">
        <v>33</v>
      </c>
      <c r="B190" s="287" t="s">
        <v>33</v>
      </c>
      <c r="D190" s="285" t="s">
        <v>33</v>
      </c>
    </row>
    <row r="191" spans="1:4">
      <c r="A191" s="330" t="s">
        <v>33</v>
      </c>
      <c r="B191" s="287" t="s">
        <v>33</v>
      </c>
      <c r="D191" s="284" t="s">
        <v>33</v>
      </c>
    </row>
    <row r="192" spans="1:4">
      <c r="A192" s="329" t="s">
        <v>33</v>
      </c>
      <c r="B192" s="287" t="s">
        <v>33</v>
      </c>
      <c r="D192" s="285" t="s">
        <v>33</v>
      </c>
    </row>
    <row r="193" spans="1:4">
      <c r="A193" s="330" t="s">
        <v>85</v>
      </c>
      <c r="B193" s="106" t="s">
        <v>85</v>
      </c>
      <c r="D193" s="284" t="s">
        <v>323</v>
      </c>
    </row>
    <row r="194" spans="1:4">
      <c r="A194" s="329" t="s">
        <v>85</v>
      </c>
      <c r="B194" s="106" t="s">
        <v>85</v>
      </c>
      <c r="D194" s="285" t="s">
        <v>323</v>
      </c>
    </row>
    <row r="195" spans="1:4">
      <c r="A195" s="330" t="s">
        <v>323</v>
      </c>
      <c r="B195" s="282" t="s">
        <v>144</v>
      </c>
      <c r="D195" s="284" t="s">
        <v>324</v>
      </c>
    </row>
    <row r="196" spans="1:4">
      <c r="A196" s="329" t="s">
        <v>323</v>
      </c>
      <c r="B196" s="282" t="s">
        <v>144</v>
      </c>
      <c r="D196" s="285" t="s">
        <v>324</v>
      </c>
    </row>
    <row r="197" spans="1:4">
      <c r="A197" s="330" t="s">
        <v>324</v>
      </c>
      <c r="B197" s="282" t="s">
        <v>68</v>
      </c>
      <c r="D197" s="284" t="s">
        <v>324</v>
      </c>
    </row>
    <row r="198" spans="1:4">
      <c r="A198" s="329" t="s">
        <v>324</v>
      </c>
      <c r="B198" s="282" t="s">
        <v>68</v>
      </c>
      <c r="D198" s="285" t="s">
        <v>324</v>
      </c>
    </row>
    <row r="199" spans="1:4">
      <c r="A199" s="330" t="s">
        <v>324</v>
      </c>
      <c r="B199" s="282" t="s">
        <v>68</v>
      </c>
      <c r="D199" s="300" t="s">
        <v>324</v>
      </c>
    </row>
    <row r="200" spans="1:4">
      <c r="A200" s="329" t="s">
        <v>324</v>
      </c>
      <c r="B200" s="282" t="s">
        <v>68</v>
      </c>
    </row>
    <row r="201" spans="1:4">
      <c r="A201" s="331" t="s">
        <v>324</v>
      </c>
      <c r="B201" s="303" t="s">
        <v>68</v>
      </c>
    </row>
    <row r="202" spans="1:4">
      <c r="A202" t="s">
        <v>160</v>
      </c>
    </row>
    <row r="203" spans="1:4">
      <c r="A203" t="s">
        <v>165</v>
      </c>
    </row>
    <row r="204" spans="1:4">
      <c r="A204" t="s">
        <v>165</v>
      </c>
    </row>
    <row r="205" spans="1:4">
      <c r="A205" t="s">
        <v>166</v>
      </c>
    </row>
    <row r="206" spans="1:4">
      <c r="A206" t="s">
        <v>166</v>
      </c>
    </row>
    <row r="207" spans="1:4">
      <c r="A207" t="s">
        <v>69</v>
      </c>
    </row>
    <row r="208" spans="1:4">
      <c r="A208" t="s">
        <v>69</v>
      </c>
    </row>
    <row r="209" spans="1:1">
      <c r="A209" t="s">
        <v>69</v>
      </c>
    </row>
    <row r="210" spans="1:1">
      <c r="A210" t="s">
        <v>69</v>
      </c>
    </row>
    <row r="211" spans="1:1">
      <c r="A211" t="s">
        <v>70</v>
      </c>
    </row>
    <row r="212" spans="1:1">
      <c r="A212" t="s">
        <v>70</v>
      </c>
    </row>
    <row r="213" spans="1:1">
      <c r="A213" t="s">
        <v>70</v>
      </c>
    </row>
    <row r="214" spans="1:1">
      <c r="A214" t="s">
        <v>70</v>
      </c>
    </row>
    <row r="215" spans="1:1">
      <c r="A215" t="s">
        <v>78</v>
      </c>
    </row>
    <row r="216" spans="1:1">
      <c r="A216" t="s">
        <v>78</v>
      </c>
    </row>
    <row r="217" spans="1:1">
      <c r="A217" t="s">
        <v>78</v>
      </c>
    </row>
    <row r="218" spans="1:1">
      <c r="A218" t="s">
        <v>309</v>
      </c>
    </row>
    <row r="219" spans="1:1">
      <c r="A219" t="s">
        <v>309</v>
      </c>
    </row>
    <row r="220" spans="1:1">
      <c r="A220" t="s">
        <v>309</v>
      </c>
    </row>
    <row r="221" spans="1:1">
      <c r="A221" t="s">
        <v>151</v>
      </c>
    </row>
    <row r="222" spans="1:1">
      <c r="A222" t="s">
        <v>151</v>
      </c>
    </row>
    <row r="223" spans="1:1">
      <c r="A223" t="s">
        <v>39</v>
      </c>
    </row>
    <row r="224" spans="1:1">
      <c r="A224" t="s">
        <v>39</v>
      </c>
    </row>
    <row r="225" spans="1:1">
      <c r="A225" t="s">
        <v>40</v>
      </c>
    </row>
    <row r="226" spans="1:1">
      <c r="A226" t="s">
        <v>40</v>
      </c>
    </row>
    <row r="227" spans="1:1">
      <c r="A227" t="s">
        <v>152</v>
      </c>
    </row>
    <row r="228" spans="1:1">
      <c r="A228" t="s">
        <v>152</v>
      </c>
    </row>
    <row r="229" spans="1:1">
      <c r="A229" t="s">
        <v>310</v>
      </c>
    </row>
    <row r="230" spans="1:1">
      <c r="A230" t="s">
        <v>310</v>
      </c>
    </row>
    <row r="231" spans="1:1">
      <c r="A231" t="s">
        <v>311</v>
      </c>
    </row>
    <row r="232" spans="1:1">
      <c r="A232" t="s">
        <v>311</v>
      </c>
    </row>
    <row r="233" spans="1:1">
      <c r="A233" t="s">
        <v>312</v>
      </c>
    </row>
    <row r="234" spans="1:1">
      <c r="A234" t="s">
        <v>312</v>
      </c>
    </row>
    <row r="235" spans="1:1">
      <c r="A235" t="s">
        <v>27</v>
      </c>
    </row>
    <row r="236" spans="1:1">
      <c r="A236" t="s">
        <v>27</v>
      </c>
    </row>
    <row r="237" spans="1:1">
      <c r="A237" t="s">
        <v>29</v>
      </c>
    </row>
    <row r="238" spans="1:1">
      <c r="A238" t="s">
        <v>29</v>
      </c>
    </row>
    <row r="239" spans="1:1">
      <c r="A239" t="s">
        <v>30</v>
      </c>
    </row>
    <row r="240" spans="1:1">
      <c r="A240" t="s">
        <v>30</v>
      </c>
    </row>
    <row r="241" spans="1:1">
      <c r="A241" t="s">
        <v>31</v>
      </c>
    </row>
    <row r="242" spans="1:1">
      <c r="A242" t="s">
        <v>31</v>
      </c>
    </row>
    <row r="243" spans="1:1">
      <c r="A243" t="s">
        <v>58</v>
      </c>
    </row>
    <row r="244" spans="1:1">
      <c r="A244" t="s">
        <v>58</v>
      </c>
    </row>
    <row r="245" spans="1:1">
      <c r="A245" t="s">
        <v>58</v>
      </c>
    </row>
    <row r="246" spans="1:1">
      <c r="A246" t="s">
        <v>58</v>
      </c>
    </row>
    <row r="247" spans="1:1">
      <c r="A247" t="s">
        <v>58</v>
      </c>
    </row>
    <row r="248" spans="1:1">
      <c r="A248" t="s">
        <v>58</v>
      </c>
    </row>
    <row r="249" spans="1:1">
      <c r="A249" t="s">
        <v>58</v>
      </c>
    </row>
    <row r="250" spans="1:1">
      <c r="A250" t="s">
        <v>58</v>
      </c>
    </row>
    <row r="251" spans="1:1">
      <c r="A251" t="s">
        <v>58</v>
      </c>
    </row>
    <row r="252" spans="1:1">
      <c r="A252" t="s">
        <v>58</v>
      </c>
    </row>
    <row r="253" spans="1:1">
      <c r="A253" t="s">
        <v>58</v>
      </c>
    </row>
    <row r="254" spans="1:1">
      <c r="A254" t="s">
        <v>58</v>
      </c>
    </row>
    <row r="255" spans="1:1">
      <c r="A255" t="s">
        <v>58</v>
      </c>
    </row>
    <row r="256" spans="1:1">
      <c r="A256" t="s">
        <v>58</v>
      </c>
    </row>
    <row r="257" spans="1:1">
      <c r="A257" t="s">
        <v>58</v>
      </c>
    </row>
    <row r="258" spans="1:1">
      <c r="A258" t="s">
        <v>58</v>
      </c>
    </row>
    <row r="259" spans="1:1">
      <c r="A259" t="s">
        <v>58</v>
      </c>
    </row>
    <row r="260" spans="1:1">
      <c r="A260" t="s">
        <v>58</v>
      </c>
    </row>
    <row r="261" spans="1:1">
      <c r="A261" t="s">
        <v>103</v>
      </c>
    </row>
    <row r="262" spans="1:1">
      <c r="A262" t="s">
        <v>103</v>
      </c>
    </row>
    <row r="263" spans="1:1">
      <c r="A263" t="s">
        <v>54</v>
      </c>
    </row>
    <row r="264" spans="1:1">
      <c r="A264" t="s">
        <v>54</v>
      </c>
    </row>
    <row r="265" spans="1:1">
      <c r="A265" t="s">
        <v>182</v>
      </c>
    </row>
    <row r="266" spans="1:1">
      <c r="A266" t="s">
        <v>112</v>
      </c>
    </row>
    <row r="267" spans="1:1">
      <c r="A267" t="s">
        <v>38</v>
      </c>
    </row>
    <row r="268" spans="1:1">
      <c r="A268" t="s">
        <v>84</v>
      </c>
    </row>
    <row r="269" spans="1:1">
      <c r="A269" t="s">
        <v>319</v>
      </c>
    </row>
    <row r="270" spans="1:1">
      <c r="A270" t="s">
        <v>116</v>
      </c>
    </row>
    <row r="271" spans="1:1">
      <c r="A271" t="s">
        <v>22</v>
      </c>
    </row>
    <row r="272" spans="1:1">
      <c r="A272" t="s">
        <v>127</v>
      </c>
    </row>
    <row r="273" spans="1:1">
      <c r="A273" t="s">
        <v>320</v>
      </c>
    </row>
    <row r="274" spans="1:1">
      <c r="A274" t="s">
        <v>181</v>
      </c>
    </row>
    <row r="275" spans="1:1">
      <c r="A275" t="s">
        <v>57</v>
      </c>
    </row>
    <row r="276" spans="1:1">
      <c r="A276" t="s">
        <v>180</v>
      </c>
    </row>
    <row r="277" spans="1:1">
      <c r="A277" t="s">
        <v>86</v>
      </c>
    </row>
    <row r="278" spans="1:1">
      <c r="A278" t="s">
        <v>86</v>
      </c>
    </row>
    <row r="279" spans="1:1">
      <c r="A279" t="s">
        <v>86</v>
      </c>
    </row>
    <row r="280" spans="1:1">
      <c r="A280" t="s">
        <v>86</v>
      </c>
    </row>
    <row r="281" spans="1:1">
      <c r="A281" t="s">
        <v>86</v>
      </c>
    </row>
    <row r="282" spans="1:1">
      <c r="A282" t="s">
        <v>122</v>
      </c>
    </row>
    <row r="283" spans="1:1">
      <c r="A283" t="s">
        <v>198</v>
      </c>
    </row>
    <row r="284" spans="1:1">
      <c r="A284" t="s">
        <v>33</v>
      </c>
    </row>
    <row r="285" spans="1:1">
      <c r="A285" t="s">
        <v>33</v>
      </c>
    </row>
    <row r="286" spans="1:1">
      <c r="A286" t="s">
        <v>33</v>
      </c>
    </row>
    <row r="287" spans="1:1">
      <c r="A287" t="s">
        <v>33</v>
      </c>
    </row>
    <row r="288" spans="1:1">
      <c r="A288" t="s">
        <v>33</v>
      </c>
    </row>
    <row r="289" spans="1:1">
      <c r="A289" t="s">
        <v>33</v>
      </c>
    </row>
    <row r="290" spans="1:1">
      <c r="A290" t="s">
        <v>33</v>
      </c>
    </row>
    <row r="291" spans="1:1">
      <c r="A291" t="s">
        <v>33</v>
      </c>
    </row>
    <row r="292" spans="1:1">
      <c r="A292" t="s">
        <v>85</v>
      </c>
    </row>
    <row r="293" spans="1:1">
      <c r="A293" t="s">
        <v>85</v>
      </c>
    </row>
    <row r="294" spans="1:1">
      <c r="A294" t="s">
        <v>323</v>
      </c>
    </row>
    <row r="295" spans="1:1">
      <c r="A295" t="s">
        <v>323</v>
      </c>
    </row>
    <row r="296" spans="1:1">
      <c r="A296" t="s">
        <v>324</v>
      </c>
    </row>
    <row r="297" spans="1:1">
      <c r="A297" t="s">
        <v>324</v>
      </c>
    </row>
    <row r="298" spans="1:1">
      <c r="A298" t="s">
        <v>324</v>
      </c>
    </row>
    <row r="299" spans="1:1">
      <c r="A299" t="s">
        <v>324</v>
      </c>
    </row>
    <row r="300" spans="1:1">
      <c r="A300" t="s">
        <v>324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B106868FB5E36468623EC29F0EF5027" ma:contentTypeVersion="5" ma:contentTypeDescription="Create a new document." ma:contentTypeScope="" ma:versionID="dd6e1647cf8977cd1d81bc0ff002fca8">
  <xsd:schema xmlns:xsd="http://www.w3.org/2001/XMLSchema" xmlns:xs="http://www.w3.org/2001/XMLSchema" xmlns:p="http://schemas.microsoft.com/office/2006/metadata/properties" xmlns:ns3="a7716c44-e234-4933-bcf4-473af4db561f" targetNamespace="http://schemas.microsoft.com/office/2006/metadata/properties" ma:root="true" ma:fieldsID="d82d6ced008f6288c453e9b05f955f6f" ns3:_="">
    <xsd:import namespace="a7716c44-e234-4933-bcf4-473af4db561f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716c44-e234-4933-bcf4-473af4db561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8210450-5F2F-4183-9B7F-A977DD91FC21}"/>
</file>

<file path=customXml/itemProps2.xml><?xml version="1.0" encoding="utf-8"?>
<ds:datastoreItem xmlns:ds="http://schemas.openxmlformats.org/officeDocument/2006/customXml" ds:itemID="{61341AB7-B61C-48E7-8AE3-6EE4230C2C09}"/>
</file>

<file path=customXml/itemProps3.xml><?xml version="1.0" encoding="utf-8"?>
<ds:datastoreItem xmlns:ds="http://schemas.openxmlformats.org/officeDocument/2006/customXml" ds:itemID="{CB34C5E3-B35E-48FE-8183-2328F1A787CE}"/>
</file>

<file path=customXml/itemProps4.xml><?xml version="1.0" encoding="utf-8"?>
<ds:datastoreItem xmlns:ds="http://schemas.openxmlformats.org/officeDocument/2006/customXml" ds:itemID="{CF9842CE-5F81-4D18-930B-E9EEDBB0AB2C}"/>
</file>

<file path=docMetadata/LabelInfo.xml><?xml version="1.0" encoding="utf-8"?>
<clbl:labelList xmlns:clbl="http://schemas.microsoft.com/office/2020/mipLabelMetadata">
  <clbl:label id="{8d3637c3-91d6-463f-94b0-1f469bf6b666}" enabled="1" method="Standard" siteId="{6885caf1-7ae7-48d9-a7a3-54374ac8e5b4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2026-04-15T09:18:27Z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0x0101008B106868FB5E36468623EC29F0EF5027</vt:lpwstr>
  </property>
</Properties>
</file>